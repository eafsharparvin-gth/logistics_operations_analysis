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2.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Program\pycharm\my projects\Logestics_Operations_Analysis\output\"/>
    </mc:Choice>
  </mc:AlternateContent>
  <xr:revisionPtr revIDLastSave="0" documentId="13_ncr:1_{DA6647A3-D96E-4213-9C45-7BF22BF2CF0C}" xr6:coauthVersionLast="47" xr6:coauthVersionMax="47" xr10:uidLastSave="{00000000-0000-0000-0000-000000000000}"/>
  <bookViews>
    <workbookView xWindow="-108" yWindow="-108" windowWidth="23256" windowHeight="12576" firstSheet="12" activeTab="15" xr2:uid="{00000000-000D-0000-FFFF-FFFF00000000}"/>
  </bookViews>
  <sheets>
    <sheet name="Overall KPI" sheetId="1" r:id="rId1"/>
    <sheet name="Carrier Performance" sheetId="2" r:id="rId2"/>
    <sheet name="Warehouse Performance" sheetId="3" r:id="rId3"/>
    <sheet name="Vehicle Performance" sheetId="4" r:id="rId4"/>
    <sheet name="Route Performance" sheetId="5" r:id="rId5"/>
    <sheet name="Monthly Performance" sheetId="6" r:id="rId6"/>
    <sheet name="Data Quality" sheetId="7" r:id="rId7"/>
    <sheet name="Processed Data" sheetId="8" r:id="rId8"/>
    <sheet name="Sheet1" sheetId="17" r:id="rId9"/>
    <sheet name="Pivot_Monthly" sheetId="10" r:id="rId10"/>
    <sheet name="Pivot_Carrier" sheetId="11" r:id="rId11"/>
    <sheet name="Pivot_Warehouse" sheetId="12" r:id="rId12"/>
    <sheet name="Pivot_Vehicle" sheetId="13" r:id="rId13"/>
    <sheet name="Pivot_Route" sheetId="15" r:id="rId14"/>
    <sheet name="Refresh_Data" sheetId="14" r:id="rId15"/>
    <sheet name="Dashboard" sheetId="16" r:id="rId16"/>
  </sheets>
  <definedNames>
    <definedName name="ExternalData_1" localSheetId="14" hidden="1">Refresh_Data!$A$1:$Z$1471</definedName>
    <definedName name="Slicer_Carrier">#N/A</definedName>
    <definedName name="Slicer_Vehicle_Type1">#N/A</definedName>
    <definedName name="Slicer_Warehouse1">#N/A</definedName>
  </definedNames>
  <calcPr calcId="181029"/>
  <pivotCaches>
    <pivotCache cacheId="0"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16" l="1"/>
  <c r="A5" i="16"/>
  <c r="D5" i="16"/>
  <c r="J9" i="16"/>
  <c r="G9" i="16"/>
  <c r="J5" i="16"/>
  <c r="D9" i="16"/>
  <c r="A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EHSAN</author>
  </authors>
  <commentList>
    <comment ref="H16" authorId="0" shapeId="0" xr:uid="{6958F227-9C83-4ACD-8541-3BBA1AC7E0EA}">
      <text>
        <r>
          <rPr>
            <b/>
            <sz val="9"/>
            <color indexed="81"/>
            <rFont val="Tahoma"/>
            <charset val="1"/>
          </rPr>
          <t>EHSAN:</t>
        </r>
        <r>
          <rPr>
            <sz val="9"/>
            <color indexed="81"/>
            <rFont val="Tahoma"/>
            <charset val="1"/>
          </rPr>
          <t xml:space="preserve">
for dependent KPI on 
dashboard from filtering JULY.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EHSAN</author>
  </authors>
  <commentList>
    <comment ref="B11" authorId="0" shapeId="0" xr:uid="{BCE56638-D074-4752-82E4-0643CC673EFE}">
      <text>
        <r>
          <rPr>
            <b/>
            <sz val="9"/>
            <color indexed="81"/>
            <rFont val="Tahoma"/>
            <charset val="1"/>
          </rPr>
          <t>EHSAN:</t>
        </r>
        <r>
          <rPr>
            <sz val="9"/>
            <color indexed="81"/>
            <rFont val="Tahoma"/>
            <charset val="1"/>
          </rPr>
          <t xml:space="preserve">
here in this pivot we do not need to filter Unknown row because its real existance.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BDFBA8-ABD0-4098-8DAC-A425521DBC10}" keepAlive="1" name="Query - Processed Data" description="Connection to the 'Processed Data' query in the workbook." type="5" refreshedVersion="7" background="1" saveData="1">
    <dbPr connection="Provider=Microsoft.Mashup.OleDb.1;Data Source=$Workbook$;Location=&quot;Processed Data&quot;;Extended Properties=&quot;&quot;" command="SELECT * FROM [Processed Data]"/>
  </connection>
</connections>
</file>

<file path=xl/sharedStrings.xml><?xml version="1.0" encoding="utf-8"?>
<sst xmlns="http://schemas.openxmlformats.org/spreadsheetml/2006/main" count="22250" uniqueCount="1659">
  <si>
    <t>KPI</t>
  </si>
  <si>
    <t>Value</t>
  </si>
  <si>
    <t>Total_Shipments</t>
  </si>
  <si>
    <t>On-Time Delivery Rate</t>
  </si>
  <si>
    <t>Late Delivery Rate</t>
  </si>
  <si>
    <t>Average Delivery Time</t>
  </si>
  <si>
    <t>Average Delay</t>
  </si>
  <si>
    <t>Total Shipping Cost</t>
  </si>
  <si>
    <t>average Shipping Cost Per Shipment</t>
  </si>
  <si>
    <t>Cost per KM</t>
  </si>
  <si>
    <t>Cost per KG</t>
  </si>
  <si>
    <t>Data Quality Issue Rate</t>
  </si>
  <si>
    <t>Max Delay Days</t>
  </si>
  <si>
    <t>Data Quality Issue Count</t>
  </si>
  <si>
    <t>Carrier</t>
  </si>
  <si>
    <t>Shipment_Count</t>
  </si>
  <si>
    <t>Carrier On-Time Rate (%)</t>
  </si>
  <si>
    <t>Carrier Late Rate (%)</t>
  </si>
  <si>
    <t>Carrier Average Delay (Days)</t>
  </si>
  <si>
    <t>Carrier Average Shipping Cost</t>
  </si>
  <si>
    <t>Aras Transport</t>
  </si>
  <si>
    <t>Navid Express</t>
  </si>
  <si>
    <t>Pars Freight</t>
  </si>
  <si>
    <t>Rahbar Logistics</t>
  </si>
  <si>
    <t>Shahin Cargo</t>
  </si>
  <si>
    <t>Warehouse</t>
  </si>
  <si>
    <t>Warehouse_Shipment_Count</t>
  </si>
  <si>
    <t>Warehouse On-Time Rate (%)</t>
  </si>
  <si>
    <t>Warehouse Late Rate (%)</t>
  </si>
  <si>
    <t>Warehouse Average Delay (Days)</t>
  </si>
  <si>
    <t>Warehouse Average Shipping Cost</t>
  </si>
  <si>
    <t>Karaj Hub</t>
  </si>
  <si>
    <t>Qazvin DC</t>
  </si>
  <si>
    <t>Tabriz DC</t>
  </si>
  <si>
    <t>Tehran Central</t>
  </si>
  <si>
    <t>Vehicle Type</t>
  </si>
  <si>
    <t>Vehicle Shipment Count</t>
  </si>
  <si>
    <t>Vehicle Average Capacity Utilization (%)</t>
  </si>
  <si>
    <t>Capacity Error Rate (%)</t>
  </si>
  <si>
    <t>Vehicle On-Time Rate (%)</t>
  </si>
  <si>
    <t>Vehicle Late Rate (%)</t>
  </si>
  <si>
    <t>Vehicle Average Delay (Days)</t>
  </si>
  <si>
    <t>Heavy Truck</t>
  </si>
  <si>
    <t>Light Truck</t>
  </si>
  <si>
    <t>Pickup</t>
  </si>
  <si>
    <t>Van</t>
  </si>
  <si>
    <t>Destination City</t>
  </si>
  <si>
    <t>Route Shipment Count</t>
  </si>
  <si>
    <t>Route Total Shipping Cost</t>
  </si>
  <si>
    <t>Route Average Shipping Cost</t>
  </si>
  <si>
    <t>Route On-Time Rate (%)</t>
  </si>
  <si>
    <t>Route Late Rate (%)</t>
  </si>
  <si>
    <t>Arak</t>
  </si>
  <si>
    <t>Hamedan</t>
  </si>
  <si>
    <t>Isfahan</t>
  </si>
  <si>
    <t>Karaj</t>
  </si>
  <si>
    <t>Mashhad</t>
  </si>
  <si>
    <t>Qazvin</t>
  </si>
  <si>
    <t>Qom</t>
  </si>
  <si>
    <t>Rasht</t>
  </si>
  <si>
    <t>Tabriz</t>
  </si>
  <si>
    <t>Tehran</t>
  </si>
  <si>
    <t>Urmia</t>
  </si>
  <si>
    <t>Zanjan</t>
  </si>
  <si>
    <t>Shipment Month</t>
  </si>
  <si>
    <t>Monthly Shipment Count</t>
  </si>
  <si>
    <t>Monthly On-Time Rate (%)</t>
  </si>
  <si>
    <t>Monthly Late Rate (%)</t>
  </si>
  <si>
    <t>Monthly Average Delay (Days)</t>
  </si>
  <si>
    <t>Monthly Total Shipping Cost</t>
  </si>
  <si>
    <t>Monthly Average Shipping Cost</t>
  </si>
  <si>
    <t>Monthly Data Quality Issue Count</t>
  </si>
  <si>
    <t>Monthly Data Quality Issue Rate (%)</t>
  </si>
  <si>
    <t>Data Quality Flag</t>
  </si>
  <si>
    <t>Flag Count</t>
  </si>
  <si>
    <t>Flag Rate (%)</t>
  </si>
  <si>
    <t>Date_Error</t>
  </si>
  <si>
    <t>Numeric_Error</t>
  </si>
  <si>
    <t>Capacity_Error</t>
  </si>
  <si>
    <t>Distance_Outlier</t>
  </si>
  <si>
    <t>Shipment_ID</t>
  </si>
  <si>
    <t>Order_Date</t>
  </si>
  <si>
    <t>Ship_Date</t>
  </si>
  <si>
    <t>Planned_Delivery_Date</t>
  </si>
  <si>
    <t>Actual_Delivery_Date</t>
  </si>
  <si>
    <t>Destination_City</t>
  </si>
  <si>
    <t>Vehicle_Type</t>
  </si>
  <si>
    <t>Distance_KM</t>
  </si>
  <si>
    <t>Weight_KG</t>
  </si>
  <si>
    <t>Shipping_Cost</t>
  </si>
  <si>
    <t>Vehicle_Capacity_KG</t>
  </si>
  <si>
    <t>Data_Quality_Issue</t>
  </si>
  <si>
    <t>Delivery_Status</t>
  </si>
  <si>
    <t>Shipment_Month</t>
  </si>
  <si>
    <t>Delay_Days</t>
  </si>
  <si>
    <t>SHP-01117</t>
  </si>
  <si>
    <t>On Time</t>
  </si>
  <si>
    <t>2026-07</t>
  </si>
  <si>
    <t>SHP-01369</t>
  </si>
  <si>
    <t>2026-06</t>
  </si>
  <si>
    <t>SHP-00423</t>
  </si>
  <si>
    <t>Late</t>
  </si>
  <si>
    <t>2026-05</t>
  </si>
  <si>
    <t>SHP-00414</t>
  </si>
  <si>
    <t>2026-01</t>
  </si>
  <si>
    <t>SHP-00452</t>
  </si>
  <si>
    <t>SHP-00862</t>
  </si>
  <si>
    <t>Unknown</t>
  </si>
  <si>
    <t>SHP-01064</t>
  </si>
  <si>
    <t>SHP-00742</t>
  </si>
  <si>
    <t>SHP-01273</t>
  </si>
  <si>
    <t>SHP-00260</t>
  </si>
  <si>
    <t>2026-04</t>
  </si>
  <si>
    <t>SHP-00889</t>
  </si>
  <si>
    <t>SHP-01433</t>
  </si>
  <si>
    <t>2026-02</t>
  </si>
  <si>
    <t>SHP-00713</t>
  </si>
  <si>
    <t>SHP-01383</t>
  </si>
  <si>
    <t>2026-03</t>
  </si>
  <si>
    <t>SHP-00071</t>
  </si>
  <si>
    <t>SHP-01269</t>
  </si>
  <si>
    <t>SHP-00605</t>
  </si>
  <si>
    <t>SHP-00608</t>
  </si>
  <si>
    <t>SHP-00434</t>
  </si>
  <si>
    <t>SHP-00052</t>
  </si>
  <si>
    <t>SHP-01200</t>
  </si>
  <si>
    <t>SHP-01129</t>
  </si>
  <si>
    <t>SHP-01191</t>
  </si>
  <si>
    <t>SHP-01250</t>
  </si>
  <si>
    <t>SHP-01420</t>
  </si>
  <si>
    <t>SHP-00433</t>
  </si>
  <si>
    <t>SHP-01453</t>
  </si>
  <si>
    <t>SHP-00295</t>
  </si>
  <si>
    <t>SHP-01235</t>
  </si>
  <si>
    <t>SHP-01282</t>
  </si>
  <si>
    <t>SHP-01086</t>
  </si>
  <si>
    <t>SHP-00611</t>
  </si>
  <si>
    <t>SHP-01285</t>
  </si>
  <si>
    <t>SHP-01042</t>
  </si>
  <si>
    <t>SHP-00221</t>
  </si>
  <si>
    <t>SHP-00340</t>
  </si>
  <si>
    <t>SHP-00424</t>
  </si>
  <si>
    <t>SHP-00429</t>
  </si>
  <si>
    <t>SHP-01106</t>
  </si>
  <si>
    <t>SHP-00077</t>
  </si>
  <si>
    <t>SHP-01392</t>
  </si>
  <si>
    <t>SHP-00440</t>
  </si>
  <si>
    <t>SHP-01337</t>
  </si>
  <si>
    <t>SHP-00865</t>
  </si>
  <si>
    <t>SHP-01081</t>
  </si>
  <si>
    <t>SHP-00355</t>
  </si>
  <si>
    <t>SHP-00366</t>
  </si>
  <si>
    <t>SHP-00310</t>
  </si>
  <si>
    <t>SHP-00737</t>
  </si>
  <si>
    <t>SHP-00999</t>
  </si>
  <si>
    <t>SHP-00622</t>
  </si>
  <si>
    <t>SHP-00544</t>
  </si>
  <si>
    <t>SHP-01141</t>
  </si>
  <si>
    <t>SHP-01297</t>
  </si>
  <si>
    <t>SHP-00555</t>
  </si>
  <si>
    <t>SHP-00680</t>
  </si>
  <si>
    <t>SHP-00050</t>
  </si>
  <si>
    <t>SHP-00491</t>
  </si>
  <si>
    <t>SHP-00317</t>
  </si>
  <si>
    <t>SHP-00905</t>
  </si>
  <si>
    <t>SHP-00637</t>
  </si>
  <si>
    <t>SHP-00561</t>
  </si>
  <si>
    <t>SHP-00487</t>
  </si>
  <si>
    <t>SHP-00068</t>
  </si>
  <si>
    <t>SHP-00812</t>
  </si>
  <si>
    <t>SHP-00494</t>
  </si>
  <si>
    <t>SHP-00311</t>
  </si>
  <si>
    <t>SHP-01097</t>
  </si>
  <si>
    <t>SHP-01248</t>
  </si>
  <si>
    <t>SHP-00185</t>
  </si>
  <si>
    <t>SHP-00307</t>
  </si>
  <si>
    <t>SHP-00853</t>
  </si>
  <si>
    <t>SHP-00793</t>
  </si>
  <si>
    <t>SHP-00290</t>
  </si>
  <si>
    <t>SHP-00707</t>
  </si>
  <si>
    <t>SHP-01330</t>
  </si>
  <si>
    <t>SHP-00655</t>
  </si>
  <si>
    <t>SHP-00523</t>
  </si>
  <si>
    <t>SHP-00462</t>
  </si>
  <si>
    <t>SHP-00931</t>
  </si>
  <si>
    <t>SHP-01035</t>
  </si>
  <si>
    <t>SHP-00030</t>
  </si>
  <si>
    <t>SHP-00241</t>
  </si>
  <si>
    <t>SHP-00799</t>
  </si>
  <si>
    <t>SHP-00818</t>
  </si>
  <si>
    <t>SHP-00066</t>
  </si>
  <si>
    <t>SHP-00602</t>
  </si>
  <si>
    <t>SHP-00925</t>
  </si>
  <si>
    <t>SHP-00755</t>
  </si>
  <si>
    <t>SHP-00927</t>
  </si>
  <si>
    <t>SHP-01102</t>
  </si>
  <si>
    <t>SHP-00248</t>
  </si>
  <si>
    <t>SHP-00278</t>
  </si>
  <si>
    <t>SHP-01403</t>
  </si>
  <si>
    <t>SHP-01067</t>
  </si>
  <si>
    <t>SHP-00480</t>
  </si>
  <si>
    <t>SHP-00427</t>
  </si>
  <si>
    <t>SHP-00124</t>
  </si>
  <si>
    <t>Missing Delivery Record</t>
  </si>
  <si>
    <t>SHP-01170</t>
  </si>
  <si>
    <t>SHP-00395</t>
  </si>
  <si>
    <t>SHP-00986</t>
  </si>
  <si>
    <t>SHP-00716</t>
  </si>
  <si>
    <t>SHP-01135</t>
  </si>
  <si>
    <t>SHP-01085</t>
  </si>
  <si>
    <t>SHP-00498</t>
  </si>
  <si>
    <t>SHP-00045</t>
  </si>
  <si>
    <t>SHP-00060</t>
  </si>
  <si>
    <t>SHP-01162</t>
  </si>
  <si>
    <t>SHP-00024</t>
  </si>
  <si>
    <t>SHP-00875</t>
  </si>
  <si>
    <t>SHP-00482</t>
  </si>
  <si>
    <t>SHP-01325</t>
  </si>
  <si>
    <t>SHP-00746</t>
  </si>
  <si>
    <t>SHP-00232</t>
  </si>
  <si>
    <t>SHP-00125</t>
  </si>
  <si>
    <t>SHP-00428</t>
  </si>
  <si>
    <t>SHP-00819</t>
  </si>
  <si>
    <t>SHP-00169</t>
  </si>
  <si>
    <t>SHP-00116</t>
  </si>
  <si>
    <t>SHP-01089</t>
  </si>
  <si>
    <t>SHP-00987</t>
  </si>
  <si>
    <t>SHP-01396</t>
  </si>
  <si>
    <t>SHP-01425</t>
  </si>
  <si>
    <t>SHP-00416</t>
  </si>
  <si>
    <t>SHP-00142</t>
  </si>
  <si>
    <t>SHP-01234</t>
  </si>
  <si>
    <t>SHP-01294</t>
  </si>
  <si>
    <t>SHP-00763</t>
  </si>
  <si>
    <t>SHP-01207</t>
  </si>
  <si>
    <t>SHP-00463</t>
  </si>
  <si>
    <t>SHP-01244</t>
  </si>
  <si>
    <t>SHP-00079</t>
  </si>
  <si>
    <t>SHP-01005</t>
  </si>
  <si>
    <t>SHP-01442</t>
  </si>
  <si>
    <t>SHP-00572</t>
  </si>
  <si>
    <t>SHP-00016</t>
  </si>
  <si>
    <t>SHP-00495</t>
  </si>
  <si>
    <t>SHP-00351</t>
  </si>
  <si>
    <t>SHP-01000</t>
  </si>
  <si>
    <t>SHP-00275</t>
  </si>
  <si>
    <t>SHP-01192</t>
  </si>
  <si>
    <t>SHP-00272</t>
  </si>
  <si>
    <t>SHP-01370</t>
  </si>
  <si>
    <t>SHP-00238</t>
  </si>
  <si>
    <t>SHP-00586</t>
  </si>
  <si>
    <t>SHP-01313</t>
  </si>
  <si>
    <t>SHP-00695</t>
  </si>
  <si>
    <t>SHP-01002</t>
  </si>
  <si>
    <t>SHP-00323</t>
  </si>
  <si>
    <t>SHP-00783</t>
  </si>
  <si>
    <t>SHP-01359</t>
  </si>
  <si>
    <t>SHP-01204</t>
  </si>
  <si>
    <t>SHP-00971</t>
  </si>
  <si>
    <t>SHP-01467</t>
  </si>
  <si>
    <t>Invalid Date</t>
  </si>
  <si>
    <t>SHP-00527</t>
  </si>
  <si>
    <t>SHP-01426</t>
  </si>
  <si>
    <t>SHP-01171</t>
  </si>
  <si>
    <t>SHP-00176</t>
  </si>
  <si>
    <t>SHP-00359</t>
  </si>
  <si>
    <t>SHP-00044</t>
  </si>
  <si>
    <t>SHP-00417</t>
  </si>
  <si>
    <t>SHP-00345</t>
  </si>
  <si>
    <t>SHP-01027</t>
  </si>
  <si>
    <t>SHP-01402</t>
  </si>
  <si>
    <t>SHP-00102</t>
  </si>
  <si>
    <t>SHP-00108</t>
  </si>
  <si>
    <t>SHP-00343</t>
  </si>
  <si>
    <t>SHP-01053</t>
  </si>
  <si>
    <t>SHP-00965</t>
  </si>
  <si>
    <t>SHP-00381</t>
  </si>
  <si>
    <t>SHP-00245</t>
  </si>
  <si>
    <t>SHP-01100</t>
  </si>
  <si>
    <t>SHP-00501</t>
  </si>
  <si>
    <t>SHP-00701</t>
  </si>
  <si>
    <t>SHP-00129</t>
  </si>
  <si>
    <t>SHP-00240</t>
  </si>
  <si>
    <t>SHP-01115</t>
  </si>
  <si>
    <t>SHP-00683</t>
  </si>
  <si>
    <t>SHP-00483</t>
  </si>
  <si>
    <t>SHP-01306</t>
  </si>
  <si>
    <t>SHP-00276</t>
  </si>
  <si>
    <t>SHP-00583</t>
  </si>
  <si>
    <t>SHP-00204</t>
  </si>
  <si>
    <t>SHP-00033</t>
  </si>
  <si>
    <t>SHP-01320</t>
  </si>
  <si>
    <t>SHP-00814</t>
  </si>
  <si>
    <t>SHP-00998</t>
  </si>
  <si>
    <t>SHP-00382</t>
  </si>
  <si>
    <t>SHP-01074</t>
  </si>
  <si>
    <t>SHP-01349</t>
  </si>
  <si>
    <t>SHP-00579</t>
  </si>
  <si>
    <t>SHP-00888</t>
  </si>
  <si>
    <t>SHP-01326</t>
  </si>
  <si>
    <t>SHP-01327</t>
  </si>
  <si>
    <t>SHP-00942</t>
  </si>
  <si>
    <t>SHP-00164</t>
  </si>
  <si>
    <t>SHP-00910</t>
  </si>
  <si>
    <t>SHP-00298</t>
  </si>
  <si>
    <t>SHP-00756</t>
  </si>
  <si>
    <t>SHP-00406</t>
  </si>
  <si>
    <t>SHP-00969</t>
  </si>
  <si>
    <t>SHP-00606</t>
  </si>
  <si>
    <t>SHP-00421</t>
  </si>
  <si>
    <t>SHP-00465</t>
  </si>
  <si>
    <t>SHP-01188</t>
  </si>
  <si>
    <t>SHP-00940</t>
  </si>
  <si>
    <t>SHP-00193</t>
  </si>
  <si>
    <t>SHP-00675</t>
  </si>
  <si>
    <t>SHP-00352</t>
  </si>
  <si>
    <t>SHP-00859</t>
  </si>
  <si>
    <t>SHP-00064</t>
  </si>
  <si>
    <t>SHP-01174</t>
  </si>
  <si>
    <t>SHP-00766</t>
  </si>
  <si>
    <t>SHP-01441</t>
  </si>
  <si>
    <t>SHP-00262</t>
  </si>
  <si>
    <t>SHP-01221</t>
  </si>
  <si>
    <t>SHP-00472</t>
  </si>
  <si>
    <t>SHP-01335</t>
  </si>
  <si>
    <t>SHP-00199</t>
  </si>
  <si>
    <t>SHP-01232</t>
  </si>
  <si>
    <t>SHP-00918</t>
  </si>
  <si>
    <t>SHP-00744</t>
  </si>
  <si>
    <t>SHP-00571</t>
  </si>
  <si>
    <t>SHP-00219</t>
  </si>
  <si>
    <t>SHP-00454</t>
  </si>
  <si>
    <t>SHP-00031</t>
  </si>
  <si>
    <t>SHP-00057</t>
  </si>
  <si>
    <t>SHP-01211</t>
  </si>
  <si>
    <t>SHP-01386</t>
  </si>
  <si>
    <t>SHP-01066</t>
  </si>
  <si>
    <t>SHP-00431</t>
  </si>
  <si>
    <t>SHP-00725</t>
  </si>
  <si>
    <t>SHP-01145</t>
  </si>
  <si>
    <t>SHP-01006</t>
  </si>
  <si>
    <t>SHP-01051</t>
  </si>
  <si>
    <t>SHP-01346</t>
  </si>
  <si>
    <t>SHP-01237</t>
  </si>
  <si>
    <t>SHP-01236</t>
  </si>
  <si>
    <t>SHP-01449</t>
  </si>
  <si>
    <t>SHP-00621</t>
  </si>
  <si>
    <t>SHP-01068</t>
  </si>
  <si>
    <t>SHP-00839</t>
  </si>
  <si>
    <t>SHP-00100</t>
  </si>
  <si>
    <t>SHP-00533</t>
  </si>
  <si>
    <t>SHP-00529</t>
  </si>
  <si>
    <t>SHP-01347</t>
  </si>
  <si>
    <t>SHP-01173</t>
  </si>
  <si>
    <t>SHP-01179</t>
  </si>
  <si>
    <t>SHP-00630</t>
  </si>
  <si>
    <t>SHP-01028</t>
  </si>
  <si>
    <t>SHP-00271</t>
  </si>
  <si>
    <t>SHP-01342</t>
  </si>
  <si>
    <t>SHP-00627</t>
  </si>
  <si>
    <t>SHP-01043</t>
  </si>
  <si>
    <t>SHP-00977</t>
  </si>
  <si>
    <t>SHP-00372</t>
  </si>
  <si>
    <t>SHP-00589</t>
  </si>
  <si>
    <t>SHP-00968</t>
  </si>
  <si>
    <t>SHP-01166</t>
  </si>
  <si>
    <t>SHP-01147</t>
  </si>
  <si>
    <t>SHP-00237</t>
  </si>
  <si>
    <t>SHP-00597</t>
  </si>
  <si>
    <t>SHP-00963</t>
  </si>
  <si>
    <t>SHP-01446</t>
  </si>
  <si>
    <t>SHP-01164</t>
  </si>
  <si>
    <t>SHP-00591</t>
  </si>
  <si>
    <t>SHP-00209</t>
  </si>
  <si>
    <t>SHP-01075</t>
  </si>
  <si>
    <t>SHP-00900</t>
  </si>
  <si>
    <t>SHP-00354</t>
  </si>
  <si>
    <t>SHP-00059</t>
  </si>
  <si>
    <t>SHP-00304</t>
  </si>
  <si>
    <t>SHP-01448</t>
  </si>
  <si>
    <t>SHP-00844</t>
  </si>
  <si>
    <t>SHP-01262</t>
  </si>
  <si>
    <t>SHP-01431</t>
  </si>
  <si>
    <t>SHP-01210</t>
  </si>
  <si>
    <t>SHP-00368</t>
  </si>
  <si>
    <t>SHP-01358</t>
  </si>
  <si>
    <t>SHP-01198</t>
  </si>
  <si>
    <t>SHP-01305</t>
  </si>
  <si>
    <t>SHP-01233</t>
  </si>
  <si>
    <t>SHP-00705</t>
  </si>
  <si>
    <t>SHP-00234</t>
  </si>
  <si>
    <t>SHP-00619</t>
  </si>
  <si>
    <t>SHP-00197</t>
  </si>
  <si>
    <t>SHP-01260</t>
  </si>
  <si>
    <t>SHP-00082</t>
  </si>
  <si>
    <t>SHP-01405</t>
  </si>
  <si>
    <t>SHP-00598</t>
  </si>
  <si>
    <t>SHP-01157</t>
  </si>
  <si>
    <t>SHP-00112</t>
  </si>
  <si>
    <t>SHP-01277</t>
  </si>
  <si>
    <t>SHP-00781</t>
  </si>
  <si>
    <t>SHP-00984</t>
  </si>
  <si>
    <t>SHP-00800</t>
  </si>
  <si>
    <t>SHP-01266</t>
  </si>
  <si>
    <t>SHP-01151</t>
  </si>
  <si>
    <t>SHP-00825</t>
  </si>
  <si>
    <t>SHP-00383</t>
  </si>
  <si>
    <t>SHP-00539</t>
  </si>
  <si>
    <t>SHP-00569</t>
  </si>
  <si>
    <t>SHP-01113</t>
  </si>
  <si>
    <t>SHP-00325</t>
  </si>
  <si>
    <t>SHP-00362</t>
  </si>
  <si>
    <t>SHP-00660</t>
  </si>
  <si>
    <t>SHP-01030</t>
  </si>
  <si>
    <t>SHP-00708</t>
  </si>
  <si>
    <t>SHP-00333</t>
  </si>
  <si>
    <t>SHP-00430</t>
  </si>
  <si>
    <t>SHP-01243</t>
  </si>
  <si>
    <t>SHP-00426</t>
  </si>
  <si>
    <t>SHP-00629</t>
  </si>
  <si>
    <t>SHP-01112</t>
  </si>
  <si>
    <t>SHP-00678</t>
  </si>
  <si>
    <t>SHP-00694</t>
  </si>
  <si>
    <t>SHP-00758</t>
  </si>
  <si>
    <t>SHP-00255</t>
  </si>
  <si>
    <t>SHP-01095</t>
  </si>
  <si>
    <t>SHP-00917</t>
  </si>
  <si>
    <t>SHP-01186</t>
  </si>
  <si>
    <t>SHP-00669</t>
  </si>
  <si>
    <t>SHP-00842</t>
  </si>
  <si>
    <t>SHP-00807</t>
  </si>
  <si>
    <t>SHP-01457</t>
  </si>
  <si>
    <t>SHP-00087</t>
  </si>
  <si>
    <t>SHP-01422</t>
  </si>
  <si>
    <t>SHP-00266</t>
  </si>
  <si>
    <t>SHP-00288</t>
  </si>
  <si>
    <t>SHP-00813</t>
  </si>
  <si>
    <t>SHP-00893</t>
  </si>
  <si>
    <t>SHP-00938</t>
  </si>
  <si>
    <t>SHP-00979</t>
  </si>
  <si>
    <t>SHP-00535</t>
  </si>
  <si>
    <t>SHP-01001</t>
  </si>
  <si>
    <t>SHP-00222</t>
  </si>
  <si>
    <t>SHP-00114</t>
  </si>
  <si>
    <t>SHP-00673</t>
  </si>
  <si>
    <t>SHP-00584</t>
  </si>
  <si>
    <t>SHP-00175</t>
  </si>
  <si>
    <t>SHP-00536</t>
  </si>
  <si>
    <t>SHP-01079</t>
  </si>
  <si>
    <t>SHP-01177</t>
  </si>
  <si>
    <t>SHP-01107</t>
  </si>
  <si>
    <t>SHP-00983</t>
  </si>
  <si>
    <t>SHP-00286</t>
  </si>
  <si>
    <t>SHP-00868</t>
  </si>
  <si>
    <t>SHP-00375</t>
  </si>
  <si>
    <t>SHP-01197</t>
  </si>
  <si>
    <t>SHP-00032</t>
  </si>
  <si>
    <t>SHP-00552</t>
  </si>
  <si>
    <t>SHP-00211</t>
  </si>
  <si>
    <t>SHP-01047</t>
  </si>
  <si>
    <t>SHP-00924</t>
  </si>
  <si>
    <t>SHP-00810</t>
  </si>
  <si>
    <t>SHP-00618</t>
  </si>
  <si>
    <t>SHP-00933</t>
  </si>
  <si>
    <t>SHP-00620</t>
  </si>
  <si>
    <t>SHP-00189</t>
  </si>
  <si>
    <t>SHP-00711</t>
  </si>
  <si>
    <t>SHP-00937</t>
  </si>
  <si>
    <t>SHP-01169</t>
  </si>
  <si>
    <t>SHP-01220</t>
  </si>
  <si>
    <t>SHP-01098</t>
  </si>
  <si>
    <t>SHP-00902</t>
  </si>
  <si>
    <t>SHP-00084</t>
  </si>
  <si>
    <t>SHP-00702</t>
  </si>
  <si>
    <t>SHP-00049</t>
  </si>
  <si>
    <t>SHP-01284</t>
  </si>
  <si>
    <t>SHP-00156</t>
  </si>
  <si>
    <t>SHP-01152</t>
  </si>
  <si>
    <t>SHP-01142</t>
  </si>
  <si>
    <t>SHP-00975</t>
  </si>
  <si>
    <t>SHP-01058</t>
  </si>
  <si>
    <t>SHP-00808</t>
  </si>
  <si>
    <t>SHP-01230</t>
  </si>
  <si>
    <t>SHP-01437</t>
  </si>
  <si>
    <t>SHP-00180</t>
  </si>
  <si>
    <t>SHP-01356</t>
  </si>
  <si>
    <t>SHP-01247</t>
  </si>
  <si>
    <t>SHP-01041</t>
  </si>
  <si>
    <t>SHP-00950</t>
  </si>
  <si>
    <t>SHP-00817</t>
  </si>
  <si>
    <t>SHP-00364</t>
  </si>
  <si>
    <t>SHP-01178</t>
  </si>
  <si>
    <t>SHP-01199</t>
  </si>
  <si>
    <t>SHP-00347</t>
  </si>
  <si>
    <t>SHP-01011</t>
  </si>
  <si>
    <t>SHP-00615</t>
  </si>
  <si>
    <t>SHP-00966</t>
  </si>
  <si>
    <t>SHP-01274</t>
  </si>
  <si>
    <t>SHP-00590</t>
  </si>
  <si>
    <t>SHP-01289</t>
  </si>
  <si>
    <t>SHP-00632</t>
  </si>
  <si>
    <t>SHP-00244</t>
  </si>
  <si>
    <t>SHP-01375</t>
  </si>
  <si>
    <t>SHP-01452</t>
  </si>
  <si>
    <t>SHP-00765</t>
  </si>
  <si>
    <t>SHP-00988</t>
  </si>
  <si>
    <t>SHP-00412</t>
  </si>
  <si>
    <t>SHP-01421</t>
  </si>
  <si>
    <t>SHP-01226</t>
  </si>
  <si>
    <t>SHP-00309</t>
  </si>
  <si>
    <t>SHP-00882</t>
  </si>
  <si>
    <t>SHP-00399</t>
  </si>
  <si>
    <t>SHP-00371</t>
  </si>
  <si>
    <t>SHP-00055</t>
  </si>
  <si>
    <t>SHP-01339</t>
  </si>
  <si>
    <t>SHP-01183</t>
  </si>
  <si>
    <t>SHP-00313</t>
  </si>
  <si>
    <t>SHP-00922</t>
  </si>
  <si>
    <t>SHP-00110</t>
  </si>
  <si>
    <t>SHP-00719</t>
  </si>
  <si>
    <t>SHP-00692</t>
  </si>
  <si>
    <t>SHP-00101</t>
  </si>
  <si>
    <t>SHP-01126</t>
  </si>
  <si>
    <t>SHP-00670</t>
  </si>
  <si>
    <t>SHP-01376</t>
  </si>
  <si>
    <t>SHP-00267</t>
  </si>
  <si>
    <t>SHP-00679</t>
  </si>
  <si>
    <t>SHP-00297</t>
  </si>
  <si>
    <t>SHP-00530</t>
  </si>
  <si>
    <t>SHP-00945</t>
  </si>
  <si>
    <t>SHP-01014</t>
  </si>
  <si>
    <t>SHP-00951</t>
  </si>
  <si>
    <t>SHP-00378</t>
  </si>
  <si>
    <t>SHP-00287</t>
  </si>
  <si>
    <t>SHP-01439</t>
  </si>
  <si>
    <t>SHP-00731</t>
  </si>
  <si>
    <t>SHP-00127</t>
  </si>
  <si>
    <t>SHP-00328</t>
  </si>
  <si>
    <t>SHP-00293</t>
  </si>
  <si>
    <t>SHP-00549</t>
  </si>
  <si>
    <t>SHP-00728</t>
  </si>
  <si>
    <t>SHP-00909</t>
  </si>
  <si>
    <t>SHP-00356</t>
  </si>
  <si>
    <t>SHP-00171</t>
  </si>
  <si>
    <t>SHP-00967</t>
  </si>
  <si>
    <t>SHP-01134</t>
  </si>
  <si>
    <t>SHP-00652</t>
  </si>
  <si>
    <t>SHP-00210</t>
  </si>
  <si>
    <t>SHP-01398</t>
  </si>
  <si>
    <t>SHP-00141</t>
  </si>
  <si>
    <t>SHP-01084</t>
  </si>
  <si>
    <t>SHP-00991</t>
  </si>
  <si>
    <t>SHP-00651</t>
  </si>
  <si>
    <t>SHP-01189</t>
  </si>
  <si>
    <t>SHP-00894</t>
  </si>
  <si>
    <t>SHP-00486</t>
  </si>
  <si>
    <t>SHP-00528</t>
  </si>
  <si>
    <t>SHP-00200</t>
  </si>
  <si>
    <t>SHP-00890</t>
  </si>
  <si>
    <t>SHP-00845</t>
  </si>
  <si>
    <t>SHP-01069</t>
  </si>
  <si>
    <t>SHP-01206</t>
  </si>
  <si>
    <t>SHP-01055</t>
  </si>
  <si>
    <t>SHP-00011</t>
  </si>
  <si>
    <t>SHP-00148</t>
  </si>
  <si>
    <t>SHP-00722</t>
  </si>
  <si>
    <t>SHP-00283</t>
  </si>
  <si>
    <t>SHP-00299</t>
  </si>
  <si>
    <t>SHP-00614</t>
  </si>
  <si>
    <t>SHP-00292</t>
  </si>
  <si>
    <t>SHP-00650</t>
  </si>
  <si>
    <t>SHP-00599</t>
  </si>
  <si>
    <t>SHP-01044</t>
  </si>
  <si>
    <t>SHP-00553</t>
  </si>
  <si>
    <t>SHP-01299</t>
  </si>
  <si>
    <t>SHP-00130</t>
  </si>
  <si>
    <t>SHP-01062</t>
  </si>
  <si>
    <t>SHP-00332</t>
  </si>
  <si>
    <t>SHP-00324</t>
  </si>
  <si>
    <t>SHP-00681</t>
  </si>
  <si>
    <t>SHP-00479</t>
  </si>
  <si>
    <t>SHP-00562</t>
  </si>
  <si>
    <t>SHP-00136</t>
  </si>
  <si>
    <t>SHP-00507</t>
  </si>
  <si>
    <t>SHP-00514</t>
  </si>
  <si>
    <t>SHP-01372</t>
  </si>
  <si>
    <t>SHP-00436</t>
  </si>
  <si>
    <t>SHP-00874</t>
  </si>
  <si>
    <t>SHP-01463</t>
  </si>
  <si>
    <t>SHP-00753</t>
  </si>
  <si>
    <t>SHP-00666</t>
  </si>
  <si>
    <t>SHP-00159</t>
  </si>
  <si>
    <t>SHP-01254</t>
  </si>
  <si>
    <t>SHP-01293</t>
  </si>
  <si>
    <t>SHP-00576</t>
  </si>
  <si>
    <t>SHP-00353</t>
  </si>
  <si>
    <t>SHP-01296</t>
  </si>
  <si>
    <t>SHP-01393</t>
  </si>
  <si>
    <t>SHP-01301</t>
  </si>
  <si>
    <t>SHP-00592</t>
  </si>
  <si>
    <t>SHP-00665</t>
  </si>
  <si>
    <t>SHP-00196</t>
  </si>
  <si>
    <t>SHP-01241</t>
  </si>
  <si>
    <t>SHP-01049</t>
  </si>
  <si>
    <t>SHP-00439</t>
  </si>
  <si>
    <t>SHP-01436</t>
  </si>
  <si>
    <t>SHP-00644</t>
  </si>
  <si>
    <t>SHP-00097</t>
  </si>
  <si>
    <t>SHP-00585</t>
  </si>
  <si>
    <t>SHP-01215</t>
  </si>
  <si>
    <t>SHP-00157</t>
  </si>
  <si>
    <t>SHP-00420</t>
  </si>
  <si>
    <t>SHP-00411</t>
  </si>
  <si>
    <t>SHP-01223</t>
  </si>
  <si>
    <t>SHP-00478</t>
  </si>
  <si>
    <t>SHP-00515</t>
  </si>
  <si>
    <t>SHP-01286</t>
  </si>
  <si>
    <t>SHP-01454</t>
  </si>
  <si>
    <t>SHP-01119</t>
  </si>
  <si>
    <t>SHP-00448</t>
  </si>
  <si>
    <t>SHP-00179</t>
  </si>
  <si>
    <t>SHP-00391</t>
  </si>
  <si>
    <t>SHP-01290</t>
  </si>
  <si>
    <t>SHP-01308</t>
  </si>
  <si>
    <t>SHP-01367</t>
  </si>
  <si>
    <t>SHP-01048</t>
  </si>
  <si>
    <t>SHP-01143</t>
  </si>
  <si>
    <t>SHP-00635</t>
  </si>
  <si>
    <t>SHP-00866</t>
  </si>
  <si>
    <t>SHP-00788</t>
  </si>
  <si>
    <t>SHP-00745</t>
  </si>
  <si>
    <t>SHP-00860</t>
  </si>
  <si>
    <t>SHP-00545</t>
  </si>
  <si>
    <t>SHP-01363</t>
  </si>
  <si>
    <t>SHP-00089</t>
  </si>
  <si>
    <t>SHP-01032</t>
  </si>
  <si>
    <t>SHP-01380</t>
  </si>
  <si>
    <t>SHP-00577</t>
  </si>
  <si>
    <t>SHP-00907</t>
  </si>
  <si>
    <t>SHP-01388</t>
  </si>
  <si>
    <t>SHP-01092</t>
  </si>
  <si>
    <t>SHP-00944</t>
  </si>
  <si>
    <t>SHP-00291</t>
  </si>
  <si>
    <t>SHP-01419</t>
  </si>
  <si>
    <t>SHP-01019</t>
  </si>
  <si>
    <t>SHP-00349</t>
  </si>
  <si>
    <t>SHP-00568</t>
  </si>
  <si>
    <t>SHP-01413</t>
  </si>
  <si>
    <t>SHP-01059</t>
  </si>
  <si>
    <t>SHP-00600</t>
  </si>
  <si>
    <t>SHP-00459</t>
  </si>
  <si>
    <t>SHP-00376</t>
  </si>
  <si>
    <t>SHP-00334</t>
  </si>
  <si>
    <t>SHP-00757</t>
  </si>
  <si>
    <t>SHP-01324</t>
  </si>
  <si>
    <t>SHP-00712</t>
  </si>
  <si>
    <t>SHP-01390</t>
  </si>
  <si>
    <t>SHP-00567</t>
  </si>
  <si>
    <t>SHP-00329</t>
  </si>
  <si>
    <t>SHP-00319</t>
  </si>
  <si>
    <t>SHP-01303</t>
  </si>
  <si>
    <t>SHP-00953</t>
  </si>
  <si>
    <t>SHP-00013</t>
  </si>
  <si>
    <t>SHP-00172</t>
  </si>
  <si>
    <t>SHP-00261</t>
  </si>
  <si>
    <t>SHP-00820</t>
  </si>
  <si>
    <t>SHP-00090</t>
  </si>
  <si>
    <t>SHP-00797</t>
  </si>
  <si>
    <t>SHP-00139</t>
  </si>
  <si>
    <t>SHP-00550</t>
  </si>
  <si>
    <t>SHP-00616</t>
  </si>
  <si>
    <t>SHP-00846</t>
  </si>
  <si>
    <t>SHP-00778</t>
  </si>
  <si>
    <t>SHP-00559</t>
  </si>
  <si>
    <t>SHP-00140</t>
  </si>
  <si>
    <t>SHP-01310</t>
  </si>
  <si>
    <t>SHP-01024</t>
  </si>
  <si>
    <t>SHP-00225</t>
  </si>
  <si>
    <t>SHP-00964</t>
  </si>
  <si>
    <t>SHP-00410</t>
  </si>
  <si>
    <t>SHP-00326</t>
  </si>
  <si>
    <t>SHP-00300</t>
  </si>
  <si>
    <t>SHP-00994</t>
  </si>
  <si>
    <t>SHP-01033</t>
  </si>
  <si>
    <t>SHP-00671</t>
  </si>
  <si>
    <t>SHP-00947</t>
  </si>
  <si>
    <t>SHP-01270</t>
  </si>
  <si>
    <t>SHP-00574</t>
  </si>
  <si>
    <t>SHP-00504</t>
  </si>
  <si>
    <t>SHP-01038</t>
  </si>
  <si>
    <t>SHP-00004</t>
  </si>
  <si>
    <t>SHP-01469</t>
  </si>
  <si>
    <t>SHP-00468</t>
  </si>
  <si>
    <t>SHP-00322</t>
  </si>
  <si>
    <t>SHP-00006</t>
  </si>
  <si>
    <t>SHP-00974</t>
  </si>
  <si>
    <t>SHP-00548</t>
  </si>
  <si>
    <t>SHP-00040</t>
  </si>
  <si>
    <t>SHP-00543</t>
  </si>
  <si>
    <t>SHP-00243</t>
  </si>
  <si>
    <t>SHP-00137</t>
  </si>
  <si>
    <t>SHP-00603</t>
  </si>
  <si>
    <t>SHP-00773</t>
  </si>
  <si>
    <t>SHP-00847</t>
  </si>
  <si>
    <t>SHP-01091</t>
  </si>
  <si>
    <t>SHP-01366</t>
  </si>
  <si>
    <t>SHP-00582</t>
  </si>
  <si>
    <t>SHP-00789</t>
  </si>
  <si>
    <t>SHP-01389</t>
  </si>
  <si>
    <t>SHP-00377</t>
  </si>
  <si>
    <t>SHP-00315</t>
  </si>
  <si>
    <t>SHP-00443</t>
  </si>
  <si>
    <t>SHP-00320</t>
  </si>
  <si>
    <t>SHP-00794</t>
  </si>
  <si>
    <t>SHP-01133</t>
  </si>
  <si>
    <t>SHP-00425</t>
  </si>
  <si>
    <t>SHP-00554</t>
  </si>
  <si>
    <t>SHP-00595</t>
  </si>
  <si>
    <t>SHP-00662</t>
  </si>
  <si>
    <t>SHP-01218</t>
  </si>
  <si>
    <t>SHP-01165</t>
  </si>
  <si>
    <t>SHP-00228</t>
  </si>
  <si>
    <t>SHP-00715</t>
  </si>
  <si>
    <t>SHP-00811</t>
  </si>
  <si>
    <t>SHP-00980</t>
  </si>
  <si>
    <t>SHP-01076</t>
  </si>
  <si>
    <t>SHP-00067</t>
  </si>
  <si>
    <t>SHP-00394</t>
  </si>
  <si>
    <t>SHP-00580</t>
  </si>
  <si>
    <t>SHP-00990</t>
  </si>
  <si>
    <t>SHP-00212</t>
  </si>
  <si>
    <t>SHP-01160</t>
  </si>
  <si>
    <t>SHP-00782</t>
  </si>
  <si>
    <t>SHP-00537</t>
  </si>
  <si>
    <t>SHP-00775</t>
  </si>
  <si>
    <t>SHP-00086</t>
  </si>
  <si>
    <t>SHP-01350</t>
  </si>
  <si>
    <t>SHP-01217</t>
  </si>
  <si>
    <t>SHP-00916</t>
  </si>
  <si>
    <t>SHP-00661</t>
  </si>
  <si>
    <t>SHP-01351</t>
  </si>
  <si>
    <t>SHP-00631</t>
  </si>
  <si>
    <t>SHP-01034</t>
  </si>
  <si>
    <t>SHP-01400</t>
  </si>
  <si>
    <t>SHP-01093</t>
  </si>
  <si>
    <t>SHP-00274</t>
  </si>
  <si>
    <t>SHP-00723</t>
  </si>
  <si>
    <t>SHP-00363</t>
  </si>
  <si>
    <t>SHP-00623</t>
  </si>
  <si>
    <t>SHP-00003</t>
  </si>
  <si>
    <t>SHP-00007</t>
  </si>
  <si>
    <t>SHP-00312</t>
  </si>
  <si>
    <t>SHP-01168</t>
  </si>
  <si>
    <t>SHP-00939</t>
  </si>
  <si>
    <t>SHP-00519</t>
  </si>
  <si>
    <t>SHP-00216</t>
  </si>
  <si>
    <t>SHP-01321</t>
  </si>
  <si>
    <t>SHP-00028</t>
  </si>
  <si>
    <t>SHP-01466</t>
  </si>
  <si>
    <t>SHP-01025</t>
  </si>
  <si>
    <t>SHP-00786</t>
  </si>
  <si>
    <t>SHP-00639</t>
  </si>
  <si>
    <t>SHP-00830</t>
  </si>
  <si>
    <t>SHP-00827</t>
  </si>
  <si>
    <t>SHP-00625</t>
  </si>
  <si>
    <t>SHP-00850</t>
  </si>
  <si>
    <t>SHP-00257</t>
  </si>
  <si>
    <t>SHP-00026</t>
  </si>
  <si>
    <t>SHP-00337</t>
  </si>
  <si>
    <t>SHP-00573</t>
  </si>
  <si>
    <t>SHP-00048</t>
  </si>
  <si>
    <t>SHP-00107</t>
  </si>
  <si>
    <t>SHP-00350</t>
  </si>
  <si>
    <t>SHP-00056</t>
  </si>
  <si>
    <t>SHP-00809</t>
  </si>
  <si>
    <t>SHP-00214</t>
  </si>
  <si>
    <t>SHP-00121</t>
  </si>
  <si>
    <t>SHP-00870</t>
  </si>
  <si>
    <t>SHP-00856</t>
  </si>
  <si>
    <t>SHP-00073</t>
  </si>
  <si>
    <t>SHP-01381</t>
  </si>
  <si>
    <t>SHP-00721</t>
  </si>
  <si>
    <t>SHP-00046</t>
  </si>
  <si>
    <t>SHP-01264</t>
  </si>
  <si>
    <t>SHP-00524</t>
  </si>
  <si>
    <t>SHP-00869</t>
  </si>
  <si>
    <t>SHP-01108</t>
  </si>
  <si>
    <t>SHP-01275</t>
  </si>
  <si>
    <t>SHP-00803</t>
  </si>
  <si>
    <t>SHP-00534</t>
  </si>
  <si>
    <t>SHP-01138</t>
  </si>
  <si>
    <t>SHP-00604</t>
  </si>
  <si>
    <t>SHP-00466</t>
  </si>
  <si>
    <t>SHP-01203</t>
  </si>
  <si>
    <t>SHP-01278</t>
  </si>
  <si>
    <t>SHP-01444</t>
  </si>
  <si>
    <t>SHP-00989</t>
  </si>
  <si>
    <t>SHP-00061</t>
  </si>
  <si>
    <t>SHP-00886</t>
  </si>
  <si>
    <t>SHP-00093</t>
  </si>
  <si>
    <t>SHP-00667</t>
  </si>
  <si>
    <t>SHP-00706</t>
  </si>
  <si>
    <t>SHP-00195</t>
  </si>
  <si>
    <t>SHP-00281</t>
  </si>
  <si>
    <t>SHP-00696</t>
  </si>
  <si>
    <t>SHP-00360</t>
  </si>
  <si>
    <t>SHP-00520</t>
  </si>
  <si>
    <t>SHP-00768</t>
  </si>
  <si>
    <t>SHP-00183</t>
  </si>
  <si>
    <t>SHP-00111</t>
  </si>
  <si>
    <t>SHP-00043</t>
  </si>
  <si>
    <t>SHP-01007</t>
  </si>
  <si>
    <t>SHP-00205</t>
  </si>
  <si>
    <t>SHP-00821</t>
  </si>
  <si>
    <t>SHP-00053</t>
  </si>
  <si>
    <t>SHP-00546</t>
  </si>
  <si>
    <t>SHP-01132</t>
  </si>
  <si>
    <t>SHP-01158</t>
  </si>
  <si>
    <t>SHP-01468</t>
  </si>
  <si>
    <t>SHP-00911</t>
  </si>
  <si>
    <t>SHP-00184</t>
  </si>
  <si>
    <t>SHP-00138</t>
  </si>
  <si>
    <t>SHP-01150</t>
  </si>
  <si>
    <t>SHP-00081</t>
  </si>
  <si>
    <t>SHP-01213</t>
  </si>
  <si>
    <t>SHP-00106</t>
  </si>
  <si>
    <t>SHP-00542</t>
  </si>
  <si>
    <t>SHP-01314</t>
  </si>
  <si>
    <t>SHP-00481</t>
  </si>
  <si>
    <t>SHP-00166</t>
  </si>
  <si>
    <t>SHP-00249</t>
  </si>
  <si>
    <t>SHP-00308</t>
  </si>
  <si>
    <t>SHP-00447</t>
  </si>
  <si>
    <t>SHP-00747</t>
  </si>
  <si>
    <t>SHP-00335</t>
  </si>
  <si>
    <t>SHP-00098</t>
  </si>
  <si>
    <t>SHP-00760</t>
  </si>
  <si>
    <t>SHP-00738</t>
  </si>
  <si>
    <t>SHP-00837</t>
  </si>
  <si>
    <t>SHP-00943</t>
  </si>
  <si>
    <t>SHP-00103</t>
  </si>
  <si>
    <t>SHP-00435</t>
  </si>
  <si>
    <t>SHP-00075</t>
  </si>
  <si>
    <t>SHP-01341</t>
  </si>
  <si>
    <t>SHP-01125</t>
  </si>
  <si>
    <t>SHP-01360</t>
  </si>
  <si>
    <t>SHP-00303</t>
  </si>
  <si>
    <t>SHP-01263</t>
  </si>
  <si>
    <t>SHP-01224</t>
  </si>
  <si>
    <t>SHP-00734</t>
  </si>
  <si>
    <t>SHP-00389</t>
  </si>
  <si>
    <t>SHP-00236</t>
  </si>
  <si>
    <t>SHP-01246</t>
  </si>
  <si>
    <t>SHP-00268</t>
  </si>
  <si>
    <t>SHP-00306</t>
  </si>
  <si>
    <t>SHP-00118</t>
  </si>
  <si>
    <t>SHP-01212</t>
  </si>
  <si>
    <t>SHP-00674</t>
  </si>
  <si>
    <t>SHP-00250</t>
  </si>
  <si>
    <t>SHP-01094</t>
  </si>
  <si>
    <t>SHP-01080</t>
  </si>
  <si>
    <t>SHP-00072</t>
  </si>
  <si>
    <t>SHP-00095</t>
  </si>
  <si>
    <t>SHP-00848</t>
  </si>
  <si>
    <t>SHP-00034</t>
  </si>
  <si>
    <t>SHP-01101</t>
  </si>
  <si>
    <t>SHP-00449</t>
  </si>
  <si>
    <t>SHP-00446</t>
  </si>
  <si>
    <t>SHP-00772</t>
  </si>
  <si>
    <t>SHP-00717</t>
  </si>
  <si>
    <t>SHP-00887</t>
  </si>
  <si>
    <t>SHP-01245</t>
  </si>
  <si>
    <t>SHP-00901</t>
  </si>
  <si>
    <t>SHP-01036</t>
  </si>
  <si>
    <t>SHP-00078</t>
  </si>
  <si>
    <t>SHP-00085</t>
  </si>
  <si>
    <t>SHP-00835</t>
  </si>
  <si>
    <t>SHP-00083</t>
  </si>
  <si>
    <t>SHP-00458</t>
  </si>
  <si>
    <t>SHP-00919</t>
  </si>
  <si>
    <t>SHP-00677</t>
  </si>
  <si>
    <t>SHP-00985</t>
  </si>
  <si>
    <t>SHP-01240</t>
  </si>
  <si>
    <t>SHP-00437</t>
  </si>
  <si>
    <t>SHP-00771</t>
  </si>
  <si>
    <t>SHP-00645</t>
  </si>
  <si>
    <t>SHP-01120</t>
  </si>
  <si>
    <t>SHP-00906</t>
  </si>
  <si>
    <t>SHP-01194</t>
  </si>
  <si>
    <t>SHP-00405</t>
  </si>
  <si>
    <t>SHP-01304</t>
  </si>
  <si>
    <t>SHP-00934</t>
  </si>
  <si>
    <t>SHP-00105</t>
  </si>
  <si>
    <t>SHP-00610</t>
  </si>
  <si>
    <t>SHP-01456</t>
  </si>
  <si>
    <t>SHP-00689</t>
  </si>
  <si>
    <t>SHP-00949</t>
  </si>
  <si>
    <t>SHP-00932</t>
  </si>
  <si>
    <t>SHP-00063</t>
  </si>
  <si>
    <t>SHP-00282</t>
  </si>
  <si>
    <t>SHP-00779</t>
  </si>
  <si>
    <t>SHP-01394</t>
  </si>
  <si>
    <t>SHP-00239</t>
  </si>
  <si>
    <t>SHP-00224</t>
  </si>
  <si>
    <t>SHP-00146</t>
  </si>
  <si>
    <t>SHP-01399</t>
  </si>
  <si>
    <t>SHP-00374</t>
  </si>
  <si>
    <t>SHP-01229</t>
  </si>
  <si>
    <t>SHP-00119</t>
  </si>
  <si>
    <t>SHP-01167</t>
  </si>
  <si>
    <t>SHP-00251</t>
  </si>
  <si>
    <t>SHP-01445</t>
  </si>
  <si>
    <t>SHP-01023</t>
  </si>
  <si>
    <t>SHP-00010</t>
  </si>
  <si>
    <t>SHP-00450</t>
  </si>
  <si>
    <t>SHP-00883</t>
  </si>
  <si>
    <t>SHP-00709</t>
  </si>
  <si>
    <t>SHP-00256</t>
  </si>
  <si>
    <t>SHP-00594</t>
  </si>
  <si>
    <t>SHP-00390</t>
  </si>
  <si>
    <t>SHP-01088</t>
  </si>
  <si>
    <t>SHP-01201</t>
  </si>
  <si>
    <t>SHP-00558</t>
  </si>
  <si>
    <t>SHP-01288</t>
  </si>
  <si>
    <t>SHP-00840</t>
  </si>
  <si>
    <t>SHP-00461</t>
  </si>
  <si>
    <t>SHP-00724</t>
  </si>
  <si>
    <t>SHP-01382</t>
  </si>
  <si>
    <t>SHP-00145</t>
  </si>
  <si>
    <t>SHP-00502</t>
  </si>
  <si>
    <t>SHP-01099</t>
  </si>
  <si>
    <t>SHP-00740</t>
  </si>
  <si>
    <t>SHP-01385</t>
  </si>
  <si>
    <t>SHP-00732</t>
  </si>
  <si>
    <t>SHP-00540</t>
  </si>
  <si>
    <t>SHP-00178</t>
  </si>
  <si>
    <t>SHP-01447</t>
  </si>
  <si>
    <t>SHP-00698</t>
  </si>
  <si>
    <t>SHP-00941</t>
  </si>
  <si>
    <t>SHP-01050</t>
  </si>
  <si>
    <t>SHP-00923</t>
  </si>
  <si>
    <t>SHP-00899</t>
  </si>
  <si>
    <t>SHP-00008</t>
  </si>
  <si>
    <t>SHP-00863</t>
  </si>
  <si>
    <t>SHP-00668</t>
  </si>
  <si>
    <t>SHP-01161</t>
  </si>
  <si>
    <t>SHP-00358</t>
  </si>
  <si>
    <t>SHP-00784</t>
  </si>
  <si>
    <t>SHP-00736</t>
  </si>
  <si>
    <t>SHP-00330</t>
  </si>
  <si>
    <t>SHP-01056</t>
  </si>
  <si>
    <t>SHP-01149</t>
  </si>
  <si>
    <t>SHP-01118</t>
  </si>
  <si>
    <t>SHP-00259</t>
  </si>
  <si>
    <t>SHP-01176</t>
  </si>
  <si>
    <t>SHP-00373</t>
  </si>
  <si>
    <t>SHP-01104</t>
  </si>
  <si>
    <t>SHP-00926</t>
  </si>
  <si>
    <t>SHP-00143</t>
  </si>
  <si>
    <t>SHP-00526</t>
  </si>
  <si>
    <t>SHP-01139</t>
  </si>
  <si>
    <t>SHP-01008</t>
  </si>
  <si>
    <t>SHP-01122</t>
  </si>
  <si>
    <t>SHP-01424</t>
  </si>
  <si>
    <t>SHP-00441</t>
  </si>
  <si>
    <t>SHP-00532</t>
  </si>
  <si>
    <t>SHP-01202</t>
  </si>
  <si>
    <t>SHP-00227</t>
  </si>
  <si>
    <t>SHP-01037</t>
  </si>
  <si>
    <t>SHP-00229</t>
  </si>
  <si>
    <t>SHP-01280</t>
  </si>
  <si>
    <t>SHP-01450</t>
  </si>
  <si>
    <t>SHP-00213</t>
  </si>
  <si>
    <t>SHP-00080</t>
  </si>
  <si>
    <t>SHP-00149</t>
  </si>
  <si>
    <t>SHP-00815</t>
  </si>
  <si>
    <t>SHP-00904</t>
  </si>
  <si>
    <t>SHP-00959</t>
  </si>
  <si>
    <t>SHP-00672</t>
  </si>
  <si>
    <t>SHP-01156</t>
  </si>
  <si>
    <t>SHP-00556</t>
  </si>
  <si>
    <t>SHP-00908</t>
  </si>
  <si>
    <t>SHP-00134</t>
  </si>
  <si>
    <t>SHP-01109</t>
  </si>
  <si>
    <t>SHP-00824</t>
  </si>
  <si>
    <t>SHP-00409</t>
  </si>
  <si>
    <t>SHP-00369</t>
  </si>
  <si>
    <t>SHP-00508</t>
  </si>
  <si>
    <t>SHP-01182</t>
  </si>
  <si>
    <t>SHP-00505</t>
  </si>
  <si>
    <t>SHP-00348</t>
  </si>
  <si>
    <t>SHP-00387</t>
  </si>
  <si>
    <t>SHP-00001</t>
  </si>
  <si>
    <t>SHP-00361</t>
  </si>
  <si>
    <t>SHP-00895</t>
  </si>
  <si>
    <t>SHP-00829</t>
  </si>
  <si>
    <t>SHP-01416</t>
  </si>
  <si>
    <t>SHP-00476</t>
  </si>
  <si>
    <t>SHP-01281</t>
  </si>
  <si>
    <t>SHP-00058</t>
  </si>
  <si>
    <t>SHP-00638</t>
  </si>
  <si>
    <t>SHP-01331</t>
  </si>
  <si>
    <t>SHP-01054</t>
  </si>
  <si>
    <t>SHP-01371</t>
  </si>
  <si>
    <t>SHP-00173</t>
  </si>
  <si>
    <t>SHP-00451</t>
  </si>
  <si>
    <t>SHP-00126</t>
  </si>
  <si>
    <t>SHP-01180</t>
  </si>
  <si>
    <t>SHP-00531</t>
  </si>
  <si>
    <t>SHP-00858</t>
  </si>
  <si>
    <t>SHP-00714</t>
  </si>
  <si>
    <t>SHP-00091</t>
  </si>
  <si>
    <t>SHP-01451</t>
  </si>
  <si>
    <t>SHP-00182</t>
  </si>
  <si>
    <t>SHP-00876</t>
  </si>
  <si>
    <t>SHP-01031</t>
  </si>
  <si>
    <t>SHP-00787</t>
  </si>
  <si>
    <t>SHP-00415</t>
  </si>
  <si>
    <t>SHP-00252</t>
  </si>
  <si>
    <t>SHP-00070</t>
  </si>
  <si>
    <t>SHP-00804</t>
  </si>
  <si>
    <t>SHP-00132</t>
  </si>
  <si>
    <t>SHP-00301</t>
  </si>
  <si>
    <t>SHP-01430</t>
  </si>
  <si>
    <t>SHP-00327</t>
  </si>
  <si>
    <t>SHP-01465</t>
  </si>
  <si>
    <t>SHP-01114</t>
  </si>
  <si>
    <t>SHP-00500</t>
  </si>
  <si>
    <t>SHP-01378</t>
  </si>
  <si>
    <t>SHP-00833</t>
  </si>
  <si>
    <t>SHP-00365</t>
  </si>
  <si>
    <t>SHP-00496</t>
  </si>
  <si>
    <t>SHP-01395</t>
  </si>
  <si>
    <t>SHP-00339</t>
  </si>
  <si>
    <t>SHP-00422</t>
  </si>
  <si>
    <t>SHP-00165</t>
  </si>
  <si>
    <t>SHP-00029</t>
  </si>
  <si>
    <t>SHP-00517</t>
  </si>
  <si>
    <t>SHP-00194</t>
  </si>
  <si>
    <t>SHP-01328</t>
  </si>
  <si>
    <t>SHP-01362</t>
  </si>
  <si>
    <t>SHP-00946</t>
  </si>
  <si>
    <t>SHP-01361</t>
  </si>
  <si>
    <t>SHP-00170</t>
  </si>
  <si>
    <t>SHP-00168</t>
  </si>
  <si>
    <t>SHP-00653</t>
  </si>
  <si>
    <t>SHP-00174</t>
  </si>
  <si>
    <t>SHP-01214</t>
  </si>
  <si>
    <t>SHP-01401</t>
  </si>
  <si>
    <t>SHP-00913</t>
  </si>
  <si>
    <t>SHP-00492</t>
  </si>
  <si>
    <t>SHP-00954</t>
  </si>
  <si>
    <t>SHP-00074</t>
  </si>
  <si>
    <t>SHP-01253</t>
  </si>
  <si>
    <t>SHP-00588</t>
  </si>
  <si>
    <t>SHP-00751</t>
  </si>
  <si>
    <t>SHP-00658</t>
  </si>
  <si>
    <t>SHP-00843</t>
  </si>
  <si>
    <t>SHP-00235</t>
  </si>
  <si>
    <t>SHP-00733</t>
  </si>
  <si>
    <t>SHP-00215</t>
  </si>
  <si>
    <t>SHP-00163</t>
  </si>
  <si>
    <t>SHP-00133</t>
  </si>
  <si>
    <t>SHP-01312</t>
  </si>
  <si>
    <t>SHP-00223</t>
  </si>
  <si>
    <t>SHP-01228</t>
  </si>
  <si>
    <t>SHP-00935</t>
  </si>
  <si>
    <t>SHP-00186</t>
  </si>
  <si>
    <t>SHP-00042</t>
  </si>
  <si>
    <t>SHP-00693</t>
  </si>
  <si>
    <t>SHP-00109</t>
  </si>
  <si>
    <t>SHP-00039</t>
  </si>
  <si>
    <t>SHP-00995</t>
  </si>
  <si>
    <t>SHP-01343</t>
  </si>
  <si>
    <t>SHP-00484</t>
  </si>
  <si>
    <t>SHP-00469</t>
  </si>
  <si>
    <t>SHP-00891</t>
  </si>
  <si>
    <t>SHP-00948</t>
  </si>
  <si>
    <t>SHP-00025</t>
  </si>
  <si>
    <t>SHP-01010</t>
  </si>
  <si>
    <t>SHP-01193</t>
  </si>
  <si>
    <t>SHP-00069</t>
  </si>
  <si>
    <t>SHP-00885</t>
  </si>
  <si>
    <t>SHP-01355</t>
  </si>
  <si>
    <t>SHP-00367</t>
  </si>
  <si>
    <t>SHP-00506</t>
  </si>
  <si>
    <t>SHP-00851</t>
  </si>
  <si>
    <t>SHP-01316</t>
  </si>
  <si>
    <t>SHP-00384</t>
  </si>
  <si>
    <t>SHP-00735</t>
  </si>
  <si>
    <t>SHP-00718</t>
  </si>
  <si>
    <t>SHP-01336</t>
  </si>
  <si>
    <t>SHP-00455</t>
  </si>
  <si>
    <t>SHP-00265</t>
  </si>
  <si>
    <t>SHP-00076</t>
  </si>
  <si>
    <t>SHP-00915</t>
  </si>
  <si>
    <t>SHP-00233</t>
  </si>
  <si>
    <t>SHP-00445</t>
  </si>
  <si>
    <t>SHP-00396</t>
  </si>
  <si>
    <t>SHP-00612</t>
  </si>
  <si>
    <t>SHP-00177</t>
  </si>
  <si>
    <t>SHP-00019</t>
  </si>
  <si>
    <t>SHP-01311</t>
  </si>
  <si>
    <t>SHP-01222</t>
  </si>
  <si>
    <t>SHP-00342</t>
  </si>
  <si>
    <t>SHP-01348</t>
  </si>
  <si>
    <t>SHP-00880</t>
  </si>
  <si>
    <t>SHP-00596</t>
  </si>
  <si>
    <t>SHP-00062</t>
  </si>
  <si>
    <t>SHP-01261</t>
  </si>
  <si>
    <t>SHP-00273</t>
  </si>
  <si>
    <t>SHP-01209</t>
  </si>
  <si>
    <t>SHP-00873</t>
  </si>
  <si>
    <t>SHP-01121</t>
  </si>
  <si>
    <t>SHP-01407</t>
  </si>
  <si>
    <t>SHP-00279</t>
  </si>
  <si>
    <t>SHP-00037</t>
  </si>
  <si>
    <t>SHP-00663</t>
  </si>
  <si>
    <t>SHP-01352</t>
  </si>
  <si>
    <t>SHP-01090</t>
  </si>
  <si>
    <t>SHP-00978</t>
  </si>
  <si>
    <t>SHP-00739</t>
  </si>
  <si>
    <t>SHP-00192</t>
  </si>
  <si>
    <t>SHP-00920</t>
  </si>
  <si>
    <t>SHP-00457</t>
  </si>
  <si>
    <t>SHP-00676</t>
  </si>
  <si>
    <t>SHP-00761</t>
  </si>
  <si>
    <t>SHP-01353</t>
  </si>
  <si>
    <t>SHP-00729</t>
  </si>
  <si>
    <t>SHP-00413</t>
  </si>
  <si>
    <t>SHP-00826</t>
  </si>
  <si>
    <t>SHP-00617</t>
  </si>
  <si>
    <t>SHP-00115</t>
  </si>
  <si>
    <t>SHP-00418</t>
  </si>
  <si>
    <t>SHP-01429</t>
  </si>
  <si>
    <t>SHP-00970</t>
  </si>
  <si>
    <t>SHP-01435</t>
  </si>
  <si>
    <t>SHP-00849</t>
  </si>
  <si>
    <t>SHP-01146</t>
  </si>
  <si>
    <t>SHP-01434</t>
  </si>
  <si>
    <t>SHP-00754</t>
  </si>
  <si>
    <t>SHP-00499</t>
  </si>
  <si>
    <t>SHP-00012</t>
  </si>
  <si>
    <t>SHP-00397</t>
  </si>
  <si>
    <t>SHP-00285</t>
  </si>
  <si>
    <t>SHP-00691</t>
  </si>
  <si>
    <t>SHP-01231</t>
  </si>
  <si>
    <t>SHP-01404</t>
  </si>
  <si>
    <t>SHP-00690</t>
  </si>
  <si>
    <t>SHP-00852</t>
  </si>
  <si>
    <t>SHP-00160</t>
  </si>
  <si>
    <t>SHP-00896</t>
  </si>
  <si>
    <t>SHP-01190</t>
  </si>
  <si>
    <t>SHP-00258</t>
  </si>
  <si>
    <t>SHP-00336</t>
  </si>
  <si>
    <t>SHP-01408</t>
  </si>
  <si>
    <t>SHP-01040</t>
  </si>
  <si>
    <t>SHP-00516</t>
  </si>
  <si>
    <t>SHP-01016</t>
  </si>
  <si>
    <t>SHP-00769</t>
  </si>
  <si>
    <t>SHP-01317</t>
  </si>
  <si>
    <t>SHP-00762</t>
  </si>
  <si>
    <t>SHP-01103</t>
  </si>
  <si>
    <t>SHP-00522</t>
  </si>
  <si>
    <t>SHP-00023</t>
  </si>
  <si>
    <t>SHP-00357</t>
  </si>
  <si>
    <t>SHP-01272</t>
  </si>
  <si>
    <t>SHP-00341</t>
  </si>
  <si>
    <t>SHP-00432</t>
  </si>
  <si>
    <t>SHP-00474</t>
  </si>
  <si>
    <t>SHP-00218</t>
  </si>
  <si>
    <t>SHP-00912</t>
  </si>
  <si>
    <t>SHP-01205</t>
  </si>
  <si>
    <t>SHP-01012</t>
  </si>
  <si>
    <t>SHP-01459</t>
  </si>
  <si>
    <t>SHP-00094</t>
  </si>
  <si>
    <t>SHP-01009</t>
  </si>
  <si>
    <t>SHP-01071</t>
  </si>
  <si>
    <t>SHP-00697</t>
  </si>
  <si>
    <t>SHP-00997</t>
  </si>
  <si>
    <t>SHP-00154</t>
  </si>
  <si>
    <t>SHP-01300</t>
  </si>
  <si>
    <t>SHP-00790</t>
  </si>
  <si>
    <t>SHP-00581</t>
  </si>
  <si>
    <t>SHP-00704</t>
  </si>
  <si>
    <t>SHP-01259</t>
  </si>
  <si>
    <t>SHP-00488</t>
  </si>
  <si>
    <t>SHP-00560</t>
  </si>
  <si>
    <t>SHP-00802</t>
  </si>
  <si>
    <t>SHP-00513</t>
  </si>
  <si>
    <t>SHP-00634</t>
  </si>
  <si>
    <t>SHP-01111</t>
  </si>
  <si>
    <t>SHP-01287</t>
  </si>
  <si>
    <t>SHP-00791</t>
  </si>
  <si>
    <t>SHP-00117</t>
  </si>
  <si>
    <t>SHP-00741</t>
  </si>
  <si>
    <t>SHP-01082</t>
  </si>
  <si>
    <t>SHP-00831</t>
  </si>
  <si>
    <t>SHP-00120</t>
  </si>
  <si>
    <t>SHP-00657</t>
  </si>
  <si>
    <t>SHP-00636</t>
  </si>
  <si>
    <t>SHP-00370</t>
  </si>
  <si>
    <t>SHP-00269</t>
  </si>
  <si>
    <t>SHP-00656</t>
  </si>
  <si>
    <t>SHP-00936</t>
  </si>
  <si>
    <t>SHP-00823</t>
  </si>
  <si>
    <t>SHP-00867</t>
  </si>
  <si>
    <t>SHP-00047</t>
  </si>
  <si>
    <t>SHP-01291</t>
  </si>
  <si>
    <t>SHP-00992</t>
  </si>
  <si>
    <t>SHP-00877</t>
  </si>
  <si>
    <t>SHP-00774</t>
  </si>
  <si>
    <t>SHP-00005</t>
  </si>
  <si>
    <t>SHP-01004</t>
  </si>
  <si>
    <t>SHP-01302</t>
  </si>
  <si>
    <t>SHP-00264</t>
  </si>
  <si>
    <t>SHP-01334</t>
  </si>
  <si>
    <t>SHP-01443</t>
  </si>
  <si>
    <t>SHP-00444</t>
  </si>
  <si>
    <t>SHP-01003</t>
  </si>
  <si>
    <t>SHP-01078</t>
  </si>
  <si>
    <t>SHP-00838</t>
  </si>
  <si>
    <t>SHP-01340</t>
  </si>
  <si>
    <t>SHP-00305</t>
  </si>
  <si>
    <t>SHP-01175</t>
  </si>
  <si>
    <t>SHP-00314</t>
  </si>
  <si>
    <t>SHP-00150</t>
  </si>
  <si>
    <t>SHP-00575</t>
  </si>
  <si>
    <t>SHP-00051</t>
  </si>
  <si>
    <t>SHP-01415</t>
  </si>
  <si>
    <t>SHP-00727</t>
  </si>
  <si>
    <t>SHP-00834</t>
  </si>
  <si>
    <t>SHP-01116</t>
  </si>
  <si>
    <t>SHP-00471</t>
  </si>
  <si>
    <t>SHP-00972</t>
  </si>
  <si>
    <t>SHP-00654</t>
  </si>
  <si>
    <t>SHP-00400</t>
  </si>
  <si>
    <t>SHP-00512</t>
  </si>
  <si>
    <t>SHP-00321</t>
  </si>
  <si>
    <t>SHP-00020</t>
  </si>
  <si>
    <t>SHP-00685</t>
  </si>
  <si>
    <t>SHP-00036</t>
  </si>
  <si>
    <t>SHP-00903</t>
  </si>
  <si>
    <t>SHP-00828</t>
  </si>
  <si>
    <t>SHP-01345</t>
  </si>
  <si>
    <t>SHP-00408</t>
  </si>
  <si>
    <t>SHP-00921</t>
  </si>
  <si>
    <t>SHP-00538</t>
  </si>
  <si>
    <t>SHP-00759</t>
  </si>
  <si>
    <t>SHP-01063</t>
  </si>
  <si>
    <t>SHP-00246</t>
  </si>
  <si>
    <t>SHP-01128</t>
  </si>
  <si>
    <t>SHP-00785</t>
  </si>
  <si>
    <t>SHP-00490</t>
  </si>
  <si>
    <t>SHP-00155</t>
  </si>
  <si>
    <t>SHP-00962</t>
  </si>
  <si>
    <t>SHP-00854</t>
  </si>
  <si>
    <t>SHP-00626</t>
  </si>
  <si>
    <t>SHP-00686</t>
  </si>
  <si>
    <t>SHP-00570</t>
  </si>
  <si>
    <t>SHP-01427</t>
  </si>
  <si>
    <t>SHP-00018</t>
  </si>
  <si>
    <t>SHP-00128</t>
  </si>
  <si>
    <t>SHP-00928</t>
  </si>
  <si>
    <t>SHP-00981</t>
  </si>
  <si>
    <t>SHP-01470</t>
  </si>
  <si>
    <t>SHP-00191</t>
  </si>
  <si>
    <t>SHP-01140</t>
  </si>
  <si>
    <t>SHP-00993</t>
  </si>
  <si>
    <t>SHP-01464</t>
  </si>
  <si>
    <t>SHP-01252</t>
  </si>
  <si>
    <t>SHP-00607</t>
  </si>
  <si>
    <t>SHP-00181</t>
  </si>
  <si>
    <t>SHP-00302</t>
  </si>
  <si>
    <t>SHP-00497</t>
  </si>
  <si>
    <t>SHP-01315</t>
  </si>
  <si>
    <t>SHP-01256</t>
  </si>
  <si>
    <t>SHP-01238</t>
  </si>
  <si>
    <t>SHP-00518</t>
  </si>
  <si>
    <t>SHP-01070</t>
  </si>
  <si>
    <t>SHP-00477</t>
  </si>
  <si>
    <t>SHP-00158</t>
  </si>
  <si>
    <t>SHP-01196</t>
  </si>
  <si>
    <t>SHP-00017</t>
  </si>
  <si>
    <t>SHP-01073</t>
  </si>
  <si>
    <t>SHP-00547</t>
  </si>
  <si>
    <t>SHP-00659</t>
  </si>
  <si>
    <t>SHP-01227</t>
  </si>
  <si>
    <t>SHP-01020</t>
  </si>
  <si>
    <t>SHP-01319</t>
  </si>
  <si>
    <t>SHP-00960</t>
  </si>
  <si>
    <t>SHP-01410</t>
  </si>
  <si>
    <t>SHP-00284</t>
  </si>
  <si>
    <t>SHP-00798</t>
  </si>
  <si>
    <t>SHP-00226</t>
  </si>
  <si>
    <t>SHP-00027</t>
  </si>
  <si>
    <t>SHP-00438</t>
  </si>
  <si>
    <t>SHP-01458</t>
  </si>
  <si>
    <t>SHP-00230</t>
  </si>
  <si>
    <t>SHP-00038</t>
  </si>
  <si>
    <t>SHP-00750</t>
  </si>
  <si>
    <t>SHP-01046</t>
  </si>
  <si>
    <t>SHP-00470</t>
  </si>
  <si>
    <t>SHP-01279</t>
  </si>
  <si>
    <t>SHP-00688</t>
  </si>
  <si>
    <t>SHP-01379</t>
  </si>
  <si>
    <t>SHP-00640</t>
  </si>
  <si>
    <t>SHP-01417</t>
  </si>
  <si>
    <t>SHP-01219</t>
  </si>
  <si>
    <t>SHP-01159</t>
  </si>
  <si>
    <t>SHP-01251</t>
  </si>
  <si>
    <t>SHP-01440</t>
  </si>
  <si>
    <t>SHP-00801</t>
  </si>
  <si>
    <t>SHP-00161</t>
  </si>
  <si>
    <t>SHP-00957</t>
  </si>
  <si>
    <t>SHP-01187</t>
  </si>
  <si>
    <t>SHP-00822</t>
  </si>
  <si>
    <t>SHP-01271</t>
  </si>
  <si>
    <t>SHP-00878</t>
  </si>
  <si>
    <t>SHP-00914</t>
  </si>
  <si>
    <t>SHP-00153</t>
  </si>
  <si>
    <t>SHP-01374</t>
  </si>
  <si>
    <t>SHP-00510</t>
  </si>
  <si>
    <t>SHP-01136</t>
  </si>
  <si>
    <t>SHP-01322</t>
  </si>
  <si>
    <t>SHP-00104</t>
  </si>
  <si>
    <t>SHP-00587</t>
  </si>
  <si>
    <t>SHP-01329</t>
  </si>
  <si>
    <t>SHP-01144</t>
  </si>
  <si>
    <t>SHP-00054</t>
  </si>
  <si>
    <t>SHP-00152</t>
  </si>
  <si>
    <t>SHP-00404</t>
  </si>
  <si>
    <t>SHP-01455</t>
  </si>
  <si>
    <t>SHP-00208</t>
  </si>
  <si>
    <t>SHP-01418</t>
  </si>
  <si>
    <t>SHP-01123</t>
  </si>
  <si>
    <t>SHP-00009</t>
  </si>
  <si>
    <t>SHP-01015</t>
  </si>
  <si>
    <t>SHP-01344</t>
  </si>
  <si>
    <t>SHP-01061</t>
  </si>
  <si>
    <t>SHP-00453</t>
  </si>
  <si>
    <t>SHP-00254</t>
  </si>
  <si>
    <t>SHP-00897</t>
  </si>
  <si>
    <t>SHP-01309</t>
  </si>
  <si>
    <t>SHP-00881</t>
  </si>
  <si>
    <t>SHP-01428</t>
  </si>
  <si>
    <t>SHP-00624</t>
  </si>
  <si>
    <t>SHP-00346</t>
  </si>
  <si>
    <t>SHP-00263</t>
  </si>
  <si>
    <t>SHP-00151</t>
  </si>
  <si>
    <t>SHP-00473</t>
  </si>
  <si>
    <t>SHP-00641</t>
  </si>
  <si>
    <t>SHP-01411</t>
  </si>
  <si>
    <t>SHP-00551</t>
  </si>
  <si>
    <t>SHP-00929</t>
  </si>
  <si>
    <t>SHP-00489</t>
  </si>
  <si>
    <t>SHP-01357</t>
  </si>
  <si>
    <t>SHP-01172</t>
  </si>
  <si>
    <t>SHP-00147</t>
  </si>
  <si>
    <t>SHP-00403</t>
  </si>
  <si>
    <t>SHP-00955</t>
  </si>
  <si>
    <t>SHP-01406</t>
  </si>
  <si>
    <t>SHP-00464</t>
  </si>
  <si>
    <t>SHP-00187</t>
  </si>
  <si>
    <t>SHP-01148</t>
  </si>
  <si>
    <t>SHP-01225</t>
  </si>
  <si>
    <t>SHP-00609</t>
  </si>
  <si>
    <t>SHP-00144</t>
  </si>
  <si>
    <t>SHP-00752</t>
  </si>
  <si>
    <t>SHP-00982</t>
  </si>
  <si>
    <t>SHP-00198</t>
  </si>
  <si>
    <t>SHP-00884</t>
  </si>
  <si>
    <t>SHP-00280</t>
  </si>
  <si>
    <t>SHP-00294</t>
  </si>
  <si>
    <t>SHP-01365</t>
  </si>
  <si>
    <t>SHP-00401</t>
  </si>
  <si>
    <t>SHP-00123</t>
  </si>
  <si>
    <t>SHP-01208</t>
  </si>
  <si>
    <t>SHP-00203</t>
  </si>
  <si>
    <t>SHP-00836</t>
  </si>
  <si>
    <t>SHP-00247</t>
  </si>
  <si>
    <t>SHP-01423</t>
  </si>
  <si>
    <t>SHP-01409</t>
  </si>
  <si>
    <t>SHP-01154</t>
  </si>
  <si>
    <t>SHP-00385</t>
  </si>
  <si>
    <t>SHP-01323</t>
  </si>
  <si>
    <t>SHP-00855</t>
  </si>
  <si>
    <t>SHP-00220</t>
  </si>
  <si>
    <t>SHP-00642</t>
  </si>
  <si>
    <t>SHP-00002</t>
  </si>
  <si>
    <t>SHP-00113</t>
  </si>
  <si>
    <t>SHP-00699</t>
  </si>
  <si>
    <t>SHP-01432</t>
  </si>
  <si>
    <t>SHP-00952</t>
  </si>
  <si>
    <t>SHP-01318</t>
  </si>
  <si>
    <t>SHP-01292</t>
  </si>
  <si>
    <t>SHP-01354</t>
  </si>
  <si>
    <t>SHP-00442</t>
  </si>
  <si>
    <t>SHP-01137</t>
  </si>
  <si>
    <t>SHP-01257</t>
  </si>
  <si>
    <t>SHP-00664</t>
  </si>
  <si>
    <t>SHP-01373</t>
  </si>
  <si>
    <t>SHP-01258</t>
  </si>
  <si>
    <t>SHP-01332</t>
  </si>
  <si>
    <t>SHP-00318</t>
  </si>
  <si>
    <t>SHP-00649</t>
  </si>
  <si>
    <t>SHP-00710</t>
  </si>
  <si>
    <t>SHP-01283</t>
  </si>
  <si>
    <t>SHP-00973</t>
  </si>
  <si>
    <t>SHP-00628</t>
  </si>
  <si>
    <t>SHP-00633</t>
  </si>
  <si>
    <t>SHP-01307</t>
  </si>
  <si>
    <t>SHP-01249</t>
  </si>
  <si>
    <t>SHP-01462</t>
  </si>
  <si>
    <t>SHP-01255</t>
  </si>
  <si>
    <t>SHP-01384</t>
  </si>
  <si>
    <t>SHP-00796</t>
  </si>
  <si>
    <t>SHP-00646</t>
  </si>
  <si>
    <t>SHP-01013</t>
  </si>
  <si>
    <t>SHP-00557</t>
  </si>
  <si>
    <t>SHP-00682</t>
  </si>
  <si>
    <t>SHP-00578</t>
  </si>
  <si>
    <t>SHP-01110</t>
  </si>
  <si>
    <t>SHP-01267</t>
  </si>
  <si>
    <t>SHP-01184</t>
  </si>
  <si>
    <t>SHP-00525</t>
  </si>
  <si>
    <t>SHP-01060</t>
  </si>
  <si>
    <t>SHP-00541</t>
  </si>
  <si>
    <t>SHP-01195</t>
  </si>
  <si>
    <t>SHP-00749</t>
  </si>
  <si>
    <t>SHP-01387</t>
  </si>
  <si>
    <t>SHP-00485</t>
  </si>
  <si>
    <t>SHP-00096</t>
  </si>
  <si>
    <t>SHP-01021</t>
  </si>
  <si>
    <t>SHP-00564</t>
  </si>
  <si>
    <t>SHP-01265</t>
  </si>
  <si>
    <t>SHP-00743</t>
  </si>
  <si>
    <t>SHP-00864</t>
  </si>
  <si>
    <t>SHP-00892</t>
  </si>
  <si>
    <t>SHP-01039</t>
  </si>
  <si>
    <t>SHP-00207</t>
  </si>
  <si>
    <t>SHP-00393</t>
  </si>
  <si>
    <t>SHP-00795</t>
  </si>
  <si>
    <t>SHP-00871</t>
  </si>
  <si>
    <t>SHP-00398</t>
  </si>
  <si>
    <t>SHP-00767</t>
  </si>
  <si>
    <t>SHP-01377</t>
  </si>
  <si>
    <t>SHP-01242</t>
  </si>
  <si>
    <t>SHP-01029</t>
  </si>
  <si>
    <t>SHP-00643</t>
  </si>
  <si>
    <t>SHP-00613</t>
  </si>
  <si>
    <t>SHP-00961</t>
  </si>
  <si>
    <t>SHP-00726</t>
  </si>
  <si>
    <t>SHP-00684</t>
  </si>
  <si>
    <t>SHP-00099</t>
  </si>
  <si>
    <t>SHP-00805</t>
  </si>
  <si>
    <t>SHP-00407</t>
  </si>
  <si>
    <t>SHP-00503</t>
  </si>
  <si>
    <t>SHP-01072</t>
  </si>
  <si>
    <t>SHP-01057</t>
  </si>
  <si>
    <t>SHP-00930</t>
  </si>
  <si>
    <t>SHP-00780</t>
  </si>
  <si>
    <t>SHP-00201</t>
  </si>
  <si>
    <t>SHP-00135</t>
  </si>
  <si>
    <t>SHP-01052</t>
  </si>
  <si>
    <t>SHP-00041</t>
  </si>
  <si>
    <t>SHP-01018</t>
  </si>
  <si>
    <t>SHP-00231</t>
  </si>
  <si>
    <t>SHP-00379</t>
  </si>
  <si>
    <t>SHP-00289</t>
  </si>
  <si>
    <t>SHP-00419</t>
  </si>
  <si>
    <t>SHP-00392</t>
  </si>
  <si>
    <t>SHP-00593</t>
  </si>
  <si>
    <t>SHP-01163</t>
  </si>
  <si>
    <t>SHP-01087</t>
  </si>
  <si>
    <t>SHP-00648</t>
  </si>
  <si>
    <t>SHP-01153</t>
  </si>
  <si>
    <t>SHP-01368</t>
  </si>
  <si>
    <t>SHP-00521</t>
  </si>
  <si>
    <t>SHP-00065</t>
  </si>
  <si>
    <t>SHP-00015</t>
  </si>
  <si>
    <t>SHP-01181</t>
  </si>
  <si>
    <t>SHP-01065</t>
  </si>
  <si>
    <t>SHP-00493</t>
  </si>
  <si>
    <t>SHP-00380</t>
  </si>
  <si>
    <t>SHP-00188</t>
  </si>
  <si>
    <t>SHP-00764</t>
  </si>
  <si>
    <t>SHP-00217</t>
  </si>
  <si>
    <t>SHP-00792</t>
  </si>
  <si>
    <t>SHP-01077</t>
  </si>
  <si>
    <t>SHP-00879</t>
  </si>
  <si>
    <t>SHP-00338</t>
  </si>
  <si>
    <t>SHP-00720</t>
  </si>
  <si>
    <t>SHP-00296</t>
  </si>
  <si>
    <t>SHP-01017</t>
  </si>
  <si>
    <t>SHP-01276</t>
  </si>
  <si>
    <t>SHP-00456</t>
  </si>
  <si>
    <t>SHP-00816</t>
  </si>
  <si>
    <t>SHP-00270</t>
  </si>
  <si>
    <t>SHP-00996</t>
  </si>
  <si>
    <t>SHP-00202</t>
  </si>
  <si>
    <t>SHP-00162</t>
  </si>
  <si>
    <t>SHP-00730</t>
  </si>
  <si>
    <t>SHP-00402</t>
  </si>
  <si>
    <t>SHP-00703</t>
  </si>
  <si>
    <t>SHP-01130</t>
  </si>
  <si>
    <t>SHP-00566</t>
  </si>
  <si>
    <t>SHP-01414</t>
  </si>
  <si>
    <t>SHP-01022</t>
  </si>
  <si>
    <t>SHP-01026</t>
  </si>
  <si>
    <t>SHP-01412</t>
  </si>
  <si>
    <t>SHP-01105</t>
  </si>
  <si>
    <t>SHP-00206</t>
  </si>
  <si>
    <t>SHP-00035</t>
  </si>
  <si>
    <t>SHP-00776</t>
  </si>
  <si>
    <t>SHP-00509</t>
  </si>
  <si>
    <t>SHP-01391</t>
  </si>
  <si>
    <t>SHP-00092</t>
  </si>
  <si>
    <t>SHP-01364</t>
  </si>
  <si>
    <t>SHP-00898</t>
  </si>
  <si>
    <t>SHP-00565</t>
  </si>
  <si>
    <t>SHP-00777</t>
  </si>
  <si>
    <t>SHP-00242</t>
  </si>
  <si>
    <t>SHP-00014</t>
  </si>
  <si>
    <t>SHP-00316</t>
  </si>
  <si>
    <t>SHP-00601</t>
  </si>
  <si>
    <t>SHP-00388</t>
  </si>
  <si>
    <t>SHP-01298</t>
  </si>
  <si>
    <t>SHP-00167</t>
  </si>
  <si>
    <t>SHP-00841</t>
  </si>
  <si>
    <t>SHP-00021</t>
  </si>
  <si>
    <t>SHP-00647</t>
  </si>
  <si>
    <t>SHP-01155</t>
  </si>
  <si>
    <t>SHP-00832</t>
  </si>
  <si>
    <t>SHP-01268</t>
  </si>
  <si>
    <t>SHP-00563</t>
  </si>
  <si>
    <t>SHP-01461</t>
  </si>
  <si>
    <t>SHP-00687</t>
  </si>
  <si>
    <t>SHP-00958</t>
  </si>
  <si>
    <t>SHP-00190</t>
  </si>
  <si>
    <t>SHP-00976</t>
  </si>
  <si>
    <t>SHP-00700</t>
  </si>
  <si>
    <t>SHP-00511</t>
  </si>
  <si>
    <t>SHP-01083</t>
  </si>
  <si>
    <t>SHP-00475</t>
  </si>
  <si>
    <t>SHP-00857</t>
  </si>
  <si>
    <t>SHP-00748</t>
  </si>
  <si>
    <t>SHP-00253</t>
  </si>
  <si>
    <t>SHP-00022</t>
  </si>
  <si>
    <t>SHP-01338</t>
  </si>
  <si>
    <t>SHP-00460</t>
  </si>
  <si>
    <t>SHP-01185</t>
  </si>
  <si>
    <t>SHP-00277</t>
  </si>
  <si>
    <t>SHP-00956</t>
  </si>
  <si>
    <t>SHP-01216</t>
  </si>
  <si>
    <t>SHP-00386</t>
  </si>
  <si>
    <t>SHP-00806</t>
  </si>
  <si>
    <t>SHP-01438</t>
  </si>
  <si>
    <t>SHP-00344</t>
  </si>
  <si>
    <t>SHP-00770</t>
  </si>
  <si>
    <t>SHP-01333</t>
  </si>
  <si>
    <t>SHP-00131</t>
  </si>
  <si>
    <t>SHP-00872</t>
  </si>
  <si>
    <t>SHP-01124</t>
  </si>
  <si>
    <t>SHP-01397</t>
  </si>
  <si>
    <t>SHP-00088</t>
  </si>
  <si>
    <t>SHP-00331</t>
  </si>
  <si>
    <t>SHP-01239</t>
  </si>
  <si>
    <t>SHP-00467</t>
  </si>
  <si>
    <t>SHP-00122</t>
  </si>
  <si>
    <t>SHP-01045</t>
  </si>
  <si>
    <t>SHP-01096</t>
  </si>
  <si>
    <t>SHP-01131</t>
  </si>
  <si>
    <t>SHP-01295</t>
  </si>
  <si>
    <t>SHP-00861</t>
  </si>
  <si>
    <t>SHP-01460</t>
  </si>
  <si>
    <t>SHP-01127</t>
  </si>
  <si>
    <t>Row Labels</t>
  </si>
  <si>
    <t>Grand Total</t>
  </si>
  <si>
    <t>Count of Shipment_ID</t>
  </si>
  <si>
    <t>Shipment Count</t>
  </si>
  <si>
    <t>Shipment Cost</t>
  </si>
  <si>
    <t>Average Shipping Cost</t>
  </si>
  <si>
    <t>Column Labels</t>
  </si>
  <si>
    <t>Shpment Count</t>
  </si>
  <si>
    <t>Average Delay ( Days )</t>
  </si>
  <si>
    <t>Carrier Shipment Count</t>
  </si>
  <si>
    <t>Delivery Performance</t>
  </si>
  <si>
    <t>Warehouse Shipment Count</t>
  </si>
  <si>
    <t>Warehouse Performance</t>
  </si>
  <si>
    <t>Averagr Delay Days</t>
  </si>
  <si>
    <t>Warehouse Averagr Delay</t>
  </si>
  <si>
    <t>Vehicle Average Delay</t>
  </si>
  <si>
    <t>Vehicle Delivery Performance</t>
  </si>
  <si>
    <t>Capacity_Utilization_Pct</t>
  </si>
  <si>
    <t>Average Capacity Utilization ( % )</t>
  </si>
  <si>
    <t>Vehicle Average Capacity Utilization</t>
  </si>
  <si>
    <t>Capacity_Error_Flag</t>
  </si>
  <si>
    <t>Vehicle Capacity Error Rate</t>
  </si>
  <si>
    <t>Capacity Error Rate ( % )</t>
  </si>
  <si>
    <t>Route Delivery Performance</t>
  </si>
  <si>
    <t>Delivery Rate ( % )</t>
  </si>
  <si>
    <t>Route Average Delay</t>
  </si>
  <si>
    <t>Logistics Operation Dashboard</t>
  </si>
  <si>
    <t>Total Shipments</t>
  </si>
  <si>
    <t>Delivery_Time_Days</t>
  </si>
  <si>
    <t>Average of Delivery_Time_Days</t>
  </si>
  <si>
    <t>Data_Quality_Issue_Flag</t>
  </si>
  <si>
    <t>Average of Data_Quality_Issue_Flag</t>
  </si>
  <si>
    <t>Data Quality Issue Rate ( % )</t>
  </si>
  <si>
    <t>Route</t>
  </si>
  <si>
    <t>Qazvin DC ---&gt; Arak</t>
  </si>
  <si>
    <t>Qazvin DC ---&gt; Hamedan</t>
  </si>
  <si>
    <t>Tehran Central ---&gt; Zanjan</t>
  </si>
  <si>
    <t>Karaj Hub ---&gt; Mashhad</t>
  </si>
  <si>
    <t>Karaj Hub ---&gt; Urmia</t>
  </si>
  <si>
    <t>Tehran Central ---&gt; Rasht</t>
  </si>
  <si>
    <t>Karaj Hub ---&gt; Qazvin</t>
  </si>
  <si>
    <t>Karaj Hub ---&gt; Arak</t>
  </si>
  <si>
    <t>Qazvin DC ---&gt; Rasht</t>
  </si>
  <si>
    <t>Tehran Central ---&gt; Qazvin</t>
  </si>
  <si>
    <t>Karaj Hub ---&gt; Qom</t>
  </si>
  <si>
    <t>Tabriz DC ---&gt; Arak</t>
  </si>
  <si>
    <t>Tehran Central ---&gt; Arak</t>
  </si>
  <si>
    <t>Tabriz DC ---&gt; Qazvin</t>
  </si>
  <si>
    <t>Tabriz DC ---&gt; Zanjan</t>
  </si>
  <si>
    <t>Tabriz DC ---&gt; Karaj</t>
  </si>
  <si>
    <t>Karaj Hub ---&gt; Hamedan</t>
  </si>
  <si>
    <t>Karaj Hub ---&gt; Rasht</t>
  </si>
  <si>
    <t>Karaj Hub ---&gt; Karaj</t>
  </si>
  <si>
    <t>Qazvin DC ---&gt; Qazvin</t>
  </si>
  <si>
    <t>Karaj Hub ---&gt; Isfahan</t>
  </si>
  <si>
    <t>Tabriz DC ---&gt; Hamedan</t>
  </si>
  <si>
    <t>Qazvin DC ---&gt; Karaj</t>
  </si>
  <si>
    <t>Qazvin DC ---&gt; Zanjan</t>
  </si>
  <si>
    <t>Tehran Central ---&gt; Isfahan</t>
  </si>
  <si>
    <t>Tehran Central ---&gt; Hamedan</t>
  </si>
  <si>
    <t>Tehran Central ---&gt; Qom</t>
  </si>
  <si>
    <t>Tehran Central ---&gt; Tehran</t>
  </si>
  <si>
    <t>Tehran Central ---&gt; Karaj</t>
  </si>
  <si>
    <t>Karaj Hub ---&gt; Zanjan</t>
  </si>
  <si>
    <t>Qazvin DC ---&gt; Urmia</t>
  </si>
  <si>
    <t>Tabriz DC ---&gt; Isfahan</t>
  </si>
  <si>
    <t>Tabriz DC ---&gt; Tehran</t>
  </si>
  <si>
    <t>Tehran Central ---&gt; Tabriz</t>
  </si>
  <si>
    <t>Karaj Hub ---&gt; Tehran</t>
  </si>
  <si>
    <t>Tehran Central ---&gt; Mashhad</t>
  </si>
  <si>
    <t>Qazvin DC ---&gt; Tabriz</t>
  </si>
  <si>
    <t>Tabriz DC ---&gt; Rasht</t>
  </si>
  <si>
    <t>Tehran Central ---&gt; Urmia</t>
  </si>
  <si>
    <t>Tabriz DC ---&gt; Tabriz</t>
  </si>
  <si>
    <t>Tabriz DC ---&gt; Qom</t>
  </si>
  <si>
    <t>Karaj Hub ---&gt; Tabriz</t>
  </si>
  <si>
    <t>Qazvin DC ---&gt; Tehran</t>
  </si>
  <si>
    <t>Tabriz DC ---&gt; Mashhad</t>
  </si>
  <si>
    <t>Qazvin DC ---&gt; Isfahan</t>
  </si>
  <si>
    <t>Qazvin DC ---&gt; Qom</t>
  </si>
  <si>
    <t>Tabriz DC ---&gt; Urmia</t>
  </si>
  <si>
    <t>Qazvin DC ---&gt; Mashhad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</si>
</sst>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hh:mm:ss"/>
  </numFmts>
  <fonts count="8" x14ac:knownFonts="1">
    <font>
      <sz val="11"/>
      <color theme="1"/>
      <name val="Calibri"/>
      <family val="2"/>
      <scheme val="minor"/>
    </font>
    <font>
      <sz val="9"/>
      <color indexed="81"/>
      <name val="Tahoma"/>
      <charset val="1"/>
    </font>
    <font>
      <b/>
      <sz val="9"/>
      <color indexed="81"/>
      <name val="Tahoma"/>
      <charset val="1"/>
    </font>
    <font>
      <sz val="8"/>
      <name val="Calibri"/>
      <family val="2"/>
      <scheme val="minor"/>
    </font>
    <font>
      <b/>
      <sz val="20"/>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3">
    <xf numFmtId="0" fontId="0" fillId="0" borderId="0"/>
    <xf numFmtId="9" fontId="5" fillId="0" borderId="0" applyFont="0" applyFill="0" applyBorder="0" applyAlignment="0" applyProtection="0"/>
    <xf numFmtId="43" fontId="5" fillId="0" borderId="0" applyFont="0" applyFill="0" applyBorder="0" applyAlignment="0" applyProtection="0"/>
  </cellStyleXfs>
  <cellXfs count="46">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22" fontId="0" fillId="0" borderId="0" xfId="0" applyNumberFormat="1"/>
    <xf numFmtId="14" fontId="0" fillId="0" borderId="0" xfId="0" applyNumberFormat="1"/>
    <xf numFmtId="14" fontId="0" fillId="0" borderId="0" xfId="0" applyNumberFormat="1" applyAlignment="1">
      <alignment horizontal="left"/>
    </xf>
    <xf numFmtId="0" fontId="0" fillId="0" borderId="0" xfId="0" applyAlignment="1">
      <alignment horizontal="left" indent="1"/>
    </xf>
    <xf numFmtId="9" fontId="0" fillId="0" borderId="0" xfId="0" applyNumberFormat="1"/>
    <xf numFmtId="0" fontId="6" fillId="0" borderId="0" xfId="0" applyFont="1"/>
    <xf numFmtId="0" fontId="0" fillId="3" borderId="0" xfId="0" applyFill="1"/>
    <xf numFmtId="0" fontId="0" fillId="0" borderId="0" xfId="0"/>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10" fontId="7" fillId="0" borderId="4" xfId="1" applyNumberFormat="1" applyFont="1" applyBorder="1" applyAlignment="1">
      <alignment horizontal="center" vertical="center"/>
    </xf>
    <xf numFmtId="10" fontId="7" fillId="0" borderId="0" xfId="1" applyNumberFormat="1" applyFont="1" applyBorder="1" applyAlignment="1">
      <alignment horizontal="center" vertical="center"/>
    </xf>
    <xf numFmtId="10" fontId="7" fillId="0" borderId="5" xfId="1" applyNumberFormat="1" applyFont="1" applyBorder="1" applyAlignment="1">
      <alignment horizontal="center" vertical="center"/>
    </xf>
    <xf numFmtId="10" fontId="7" fillId="0" borderId="6" xfId="1" applyNumberFormat="1" applyFont="1" applyBorder="1" applyAlignment="1">
      <alignment horizontal="center" vertical="center"/>
    </xf>
    <xf numFmtId="10" fontId="7" fillId="0" borderId="7" xfId="1" applyNumberFormat="1" applyFont="1" applyBorder="1" applyAlignment="1">
      <alignment horizontal="center" vertical="center"/>
    </xf>
    <xf numFmtId="10" fontId="7" fillId="0" borderId="8" xfId="1" applyNumberFormat="1" applyFont="1" applyBorder="1" applyAlignment="1">
      <alignment horizontal="center" vertical="center"/>
    </xf>
    <xf numFmtId="2" fontId="7" fillId="0" borderId="4" xfId="0" applyNumberFormat="1" applyFont="1" applyBorder="1" applyAlignment="1">
      <alignment horizontal="center" vertical="center"/>
    </xf>
    <xf numFmtId="2" fontId="7" fillId="0" borderId="0" xfId="0" applyNumberFormat="1" applyFont="1" applyAlignment="1">
      <alignment horizontal="center" vertical="center"/>
    </xf>
    <xf numFmtId="2" fontId="7" fillId="0" borderId="5" xfId="0" applyNumberFormat="1" applyFont="1" applyBorder="1" applyAlignment="1">
      <alignment horizontal="center" vertical="center"/>
    </xf>
    <xf numFmtId="2" fontId="7" fillId="0" borderId="6"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8" xfId="0" applyNumberFormat="1" applyFont="1" applyBorder="1" applyAlignment="1">
      <alignment horizontal="center" vertical="center"/>
    </xf>
    <xf numFmtId="3" fontId="7" fillId="0" borderId="4" xfId="2" applyNumberFormat="1" applyFont="1" applyBorder="1" applyAlignment="1">
      <alignment horizontal="center" vertical="center"/>
    </xf>
    <xf numFmtId="3" fontId="7" fillId="0" borderId="0" xfId="2" applyNumberFormat="1" applyFont="1" applyBorder="1" applyAlignment="1">
      <alignment horizontal="center" vertical="center"/>
    </xf>
    <xf numFmtId="3" fontId="7" fillId="0" borderId="5" xfId="2" applyNumberFormat="1" applyFont="1" applyBorder="1" applyAlignment="1">
      <alignment horizontal="center" vertical="center"/>
    </xf>
    <xf numFmtId="3" fontId="7" fillId="0" borderId="6" xfId="2" applyNumberFormat="1" applyFont="1" applyBorder="1" applyAlignment="1">
      <alignment horizontal="center" vertical="center"/>
    </xf>
    <xf numFmtId="3" fontId="7" fillId="0" borderId="7" xfId="2" applyNumberFormat="1" applyFont="1" applyBorder="1" applyAlignment="1">
      <alignment horizontal="center" vertical="center"/>
    </xf>
    <xf numFmtId="3" fontId="7" fillId="0" borderId="8" xfId="2" applyNumberFormat="1" applyFont="1" applyBorder="1" applyAlignment="1">
      <alignment horizontal="center" vertical="center"/>
    </xf>
    <xf numFmtId="4" fontId="7" fillId="0" borderId="4" xfId="0" applyNumberFormat="1" applyFont="1" applyBorder="1" applyAlignment="1">
      <alignment horizontal="center" vertical="center"/>
    </xf>
    <xf numFmtId="4" fontId="7" fillId="0" borderId="0" xfId="0" applyNumberFormat="1" applyFont="1" applyAlignment="1">
      <alignment horizontal="center" vertical="center"/>
    </xf>
    <xf numFmtId="4" fontId="7" fillId="0" borderId="5" xfId="0" applyNumberFormat="1" applyFont="1" applyBorder="1" applyAlignment="1">
      <alignment horizontal="center" vertical="center"/>
    </xf>
    <xf numFmtId="4" fontId="7" fillId="0" borderId="6" xfId="0" applyNumberFormat="1" applyFont="1" applyBorder="1" applyAlignment="1">
      <alignment horizontal="center" vertical="center"/>
    </xf>
    <xf numFmtId="4" fontId="7" fillId="0" borderId="7" xfId="0" applyNumberFormat="1" applyFont="1" applyBorder="1" applyAlignment="1">
      <alignment horizontal="center" vertical="center"/>
    </xf>
    <xf numFmtId="4" fontId="7" fillId="0" borderId="8" xfId="0" applyNumberFormat="1" applyFont="1" applyBorder="1" applyAlignment="1">
      <alignment horizontal="center" vertical="center"/>
    </xf>
    <xf numFmtId="0" fontId="4" fillId="0" borderId="0" xfId="0" applyFont="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0" xfId="0" applyNumberFormat="1"/>
  </cellXfs>
  <cellStyles count="3">
    <cellStyle name="Comma" xfId="2" builtinId="3"/>
    <cellStyle name="Normal" xfId="0" builtinId="0"/>
    <cellStyle name="Percent" xfId="1" builtinId="5"/>
  </cellStyles>
  <dxfs count="3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27" formatCode="m/d/yyyy\ h:mm"/>
    </dxf>
    <dxf>
      <numFmt numFmtId="0" formatCode="General"/>
    </dxf>
    <dxf>
      <numFmt numFmtId="13" formatCode="0%"/>
    </dxf>
    <dxf>
      <numFmt numFmtId="19" formatCode="m/d/yyyy"/>
    </dxf>
    <dxf>
      <numFmt numFmtId="19" formatCode="m/d/yyyy"/>
    </dxf>
    <dxf>
      <numFmt numFmtId="19" formatCode="m/d/yyyy"/>
    </dxf>
    <dxf>
      <numFmt numFmtId="19" formatCode="m/d/yyyy"/>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[logistics_operations_dashboard.xlsx]Pivot_Monthly!PivotTable5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Shipment</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Pivot_Monthly!$A$17:$A$23</c:f>
              <c:strCache>
                <c:ptCount val="6"/>
                <c:pt idx="0">
                  <c:v>1/1/2026</c:v>
                </c:pt>
                <c:pt idx="1">
                  <c:v>2/1/2026</c:v>
                </c:pt>
                <c:pt idx="2">
                  <c:v>3/1/2026</c:v>
                </c:pt>
                <c:pt idx="3">
                  <c:v>4/1/2026</c:v>
                </c:pt>
                <c:pt idx="4">
                  <c:v>5/1/2026</c:v>
                </c:pt>
                <c:pt idx="5">
                  <c:v>6/1/2026</c:v>
                </c:pt>
              </c:strCache>
            </c:strRef>
          </c:cat>
          <c:val>
            <c:numRef>
              <c:f>Pivot_Monthly!$B$17:$B$23</c:f>
              <c:numCache>
                <c:formatCode>General</c:formatCode>
                <c:ptCount val="6"/>
                <c:pt idx="0">
                  <c:v>255</c:v>
                </c:pt>
                <c:pt idx="1">
                  <c:v>209</c:v>
                </c:pt>
                <c:pt idx="2">
                  <c:v>237</c:v>
                </c:pt>
                <c:pt idx="3">
                  <c:v>251</c:v>
                </c:pt>
                <c:pt idx="4">
                  <c:v>261</c:v>
                </c:pt>
                <c:pt idx="5">
                  <c:v>248</c:v>
                </c:pt>
              </c:numCache>
            </c:numRef>
          </c:val>
          <c:smooth val="0"/>
          <c:extLst>
            <c:ext xmlns:c16="http://schemas.microsoft.com/office/drawing/2014/chart" uri="{C3380CC4-5D6E-409C-BE32-E72D297353CC}">
              <c16:uniqueId val="{00000000-F8A8-4347-99D3-D23FE64F179D}"/>
            </c:ext>
          </c:extLst>
        </c:ser>
        <c:dLbls>
          <c:showLegendKey val="0"/>
          <c:showVal val="0"/>
          <c:showCatName val="0"/>
          <c:showSerName val="0"/>
          <c:showPercent val="0"/>
          <c:showBubbleSize val="0"/>
        </c:dLbls>
        <c:marker val="1"/>
        <c:smooth val="0"/>
        <c:axId val="611057679"/>
        <c:axId val="611058095"/>
      </c:lineChart>
      <c:catAx>
        <c:axId val="611057679"/>
        <c:scaling>
          <c:orientation val="minMax"/>
        </c:scaling>
        <c:delete val="0"/>
        <c:axPos val="b"/>
        <c:numFmt formatCode="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58095"/>
        <c:crosses val="autoZero"/>
        <c:auto val="1"/>
        <c:lblAlgn val="ctr"/>
        <c:lblOffset val="100"/>
        <c:noMultiLvlLbl val="0"/>
      </c:catAx>
      <c:valAx>
        <c:axId val="611058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05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[logistics_operations_dashboard.xlsx]Pivot_Monthly!PivotTable2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Delivery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Pivot_Monthly!$G$3:$G$4</c:f>
              <c:strCache>
                <c:ptCount val="1"/>
                <c:pt idx="0">
                  <c:v>Late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Pivot_Monthly!$F$5:$F$11</c:f>
              <c:strCache>
                <c:ptCount val="6"/>
                <c:pt idx="0">
                  <c:v>1/1/2026</c:v>
                </c:pt>
                <c:pt idx="1">
                  <c:v>2/1/2026</c:v>
                </c:pt>
                <c:pt idx="2">
                  <c:v>3/1/2026</c:v>
                </c:pt>
                <c:pt idx="3">
                  <c:v>4/1/2026</c:v>
                </c:pt>
                <c:pt idx="4">
                  <c:v>5/1/2026</c:v>
                </c:pt>
                <c:pt idx="5">
                  <c:v>6/1/2026</c:v>
                </c:pt>
              </c:strCache>
            </c:strRef>
          </c:cat>
          <c:val>
            <c:numRef>
              <c:f>Pivot_Monthly!$G$5:$G$11</c:f>
              <c:numCache>
                <c:formatCode>0.00%</c:formatCode>
                <c:ptCount val="6"/>
                <c:pt idx="0">
                  <c:v>0.28225806451612906</c:v>
                </c:pt>
                <c:pt idx="1">
                  <c:v>0.32828282828282829</c:v>
                </c:pt>
                <c:pt idx="2">
                  <c:v>0.29955947136563876</c:v>
                </c:pt>
                <c:pt idx="3">
                  <c:v>0.30737704918032788</c:v>
                </c:pt>
                <c:pt idx="4">
                  <c:v>0.29482071713147412</c:v>
                </c:pt>
                <c:pt idx="5">
                  <c:v>0.28925619834710742</c:v>
                </c:pt>
              </c:numCache>
            </c:numRef>
          </c:val>
          <c:extLst>
            <c:ext xmlns:c16="http://schemas.microsoft.com/office/drawing/2014/chart" uri="{C3380CC4-5D6E-409C-BE32-E72D297353CC}">
              <c16:uniqueId val="{00000000-6D1E-44B1-8864-420C82693564}"/>
            </c:ext>
          </c:extLst>
        </c:ser>
        <c:ser>
          <c:idx val="1"/>
          <c:order val="1"/>
          <c:tx>
            <c:strRef>
              <c:f>Pivot_Monthly!$H$3:$H$4</c:f>
              <c:strCache>
                <c:ptCount val="1"/>
                <c:pt idx="0">
                  <c:v>On Time</c:v>
                </c:pt>
              </c:strCache>
            </c:strRef>
          </c:tx>
          <c:spPr>
            <a:solidFill>
              <a:srgbClr val="92D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Pivot_Monthly!$F$5:$F$11</c:f>
              <c:strCache>
                <c:ptCount val="6"/>
                <c:pt idx="0">
                  <c:v>1/1/2026</c:v>
                </c:pt>
                <c:pt idx="1">
                  <c:v>2/1/2026</c:v>
                </c:pt>
                <c:pt idx="2">
                  <c:v>3/1/2026</c:v>
                </c:pt>
                <c:pt idx="3">
                  <c:v>4/1/2026</c:v>
                </c:pt>
                <c:pt idx="4">
                  <c:v>5/1/2026</c:v>
                </c:pt>
                <c:pt idx="5">
                  <c:v>6/1/2026</c:v>
                </c:pt>
              </c:strCache>
            </c:strRef>
          </c:cat>
          <c:val>
            <c:numRef>
              <c:f>Pivot_Monthly!$H$5:$H$11</c:f>
              <c:numCache>
                <c:formatCode>0.00%</c:formatCode>
                <c:ptCount val="6"/>
                <c:pt idx="0">
                  <c:v>0.717741935483871</c:v>
                </c:pt>
                <c:pt idx="1">
                  <c:v>0.67171717171717171</c:v>
                </c:pt>
                <c:pt idx="2">
                  <c:v>0.70044052863436124</c:v>
                </c:pt>
                <c:pt idx="3">
                  <c:v>0.69262295081967218</c:v>
                </c:pt>
                <c:pt idx="4">
                  <c:v>0.70517928286852594</c:v>
                </c:pt>
                <c:pt idx="5">
                  <c:v>0.71074380165289253</c:v>
                </c:pt>
              </c:numCache>
            </c:numRef>
          </c:val>
          <c:extLst>
            <c:ext xmlns:c16="http://schemas.microsoft.com/office/drawing/2014/chart" uri="{C3380CC4-5D6E-409C-BE32-E72D297353CC}">
              <c16:uniqueId val="{00000001-0BC3-4751-B5B3-9DC935CF99AD}"/>
            </c:ext>
          </c:extLst>
        </c:ser>
        <c:dLbls>
          <c:showLegendKey val="0"/>
          <c:showVal val="0"/>
          <c:showCatName val="0"/>
          <c:showSerName val="0"/>
          <c:showPercent val="0"/>
          <c:showBubbleSize val="0"/>
        </c:dLbls>
        <c:gapWidth val="150"/>
        <c:overlap val="100"/>
        <c:axId val="679494383"/>
        <c:axId val="679478991"/>
      </c:barChart>
      <c:catAx>
        <c:axId val="67949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78991"/>
        <c:crosses val="autoZero"/>
        <c:auto val="1"/>
        <c:lblAlgn val="ctr"/>
        <c:lblOffset val="100"/>
        <c:noMultiLvlLbl val="0"/>
      </c:catAx>
      <c:valAx>
        <c:axId val="6794789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9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[logistics_operations_dashboard.xlsx]Pivot_Carrier!PivotTable5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Carrier Delivery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Pivot_Carrier!$E$3:$E$4</c:f>
              <c:strCache>
                <c:ptCount val="1"/>
                <c:pt idx="0">
                  <c:v>Late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Pivot_Carrier!$D$5:$D$11</c:f>
              <c:strCache>
                <c:ptCount val="6"/>
                <c:pt idx="0">
                  <c:v>Aras Transport</c:v>
                </c:pt>
                <c:pt idx="1">
                  <c:v>Navid Express</c:v>
                </c:pt>
                <c:pt idx="2">
                  <c:v>Pars Freight</c:v>
                </c:pt>
                <c:pt idx="3">
                  <c:v>Rahbar Logistics</c:v>
                </c:pt>
                <c:pt idx="4">
                  <c:v>Shahin Cargo</c:v>
                </c:pt>
                <c:pt idx="5">
                  <c:v>Unknown</c:v>
                </c:pt>
              </c:strCache>
            </c:strRef>
          </c:cat>
          <c:val>
            <c:numRef>
              <c:f>Pivot_Carrier!$E$5:$E$11</c:f>
              <c:numCache>
                <c:formatCode>0.00%</c:formatCode>
                <c:ptCount val="6"/>
                <c:pt idx="0">
                  <c:v>0.21943573667711599</c:v>
                </c:pt>
                <c:pt idx="1">
                  <c:v>0.13909774436090225</c:v>
                </c:pt>
                <c:pt idx="2">
                  <c:v>0.39144736842105265</c:v>
                </c:pt>
                <c:pt idx="3">
                  <c:v>0.33818181818181819</c:v>
                </c:pt>
                <c:pt idx="4">
                  <c:v>0.43209876543209874</c:v>
                </c:pt>
                <c:pt idx="5">
                  <c:v>0.16666666666666666</c:v>
                </c:pt>
              </c:numCache>
            </c:numRef>
          </c:val>
          <c:extLst>
            <c:ext xmlns:c16="http://schemas.microsoft.com/office/drawing/2014/chart" uri="{C3380CC4-5D6E-409C-BE32-E72D297353CC}">
              <c16:uniqueId val="{00000000-754E-40A9-875C-79298B1E5932}"/>
            </c:ext>
          </c:extLst>
        </c:ser>
        <c:ser>
          <c:idx val="1"/>
          <c:order val="1"/>
          <c:tx>
            <c:strRef>
              <c:f>Pivot_Carrier!$F$3:$F$4</c:f>
              <c:strCache>
                <c:ptCount val="1"/>
                <c:pt idx="0">
                  <c:v>On Time</c:v>
                </c:pt>
              </c:strCache>
            </c:strRef>
          </c:tx>
          <c:spPr>
            <a:solidFill>
              <a:srgbClr val="92D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Pivot_Carrier!$D$5:$D$11</c:f>
              <c:strCache>
                <c:ptCount val="6"/>
                <c:pt idx="0">
                  <c:v>Aras Transport</c:v>
                </c:pt>
                <c:pt idx="1">
                  <c:v>Navid Express</c:v>
                </c:pt>
                <c:pt idx="2">
                  <c:v>Pars Freight</c:v>
                </c:pt>
                <c:pt idx="3">
                  <c:v>Rahbar Logistics</c:v>
                </c:pt>
                <c:pt idx="4">
                  <c:v>Shahin Cargo</c:v>
                </c:pt>
                <c:pt idx="5">
                  <c:v>Unknown</c:v>
                </c:pt>
              </c:strCache>
            </c:strRef>
          </c:cat>
          <c:val>
            <c:numRef>
              <c:f>Pivot_Carrier!$F$5:$F$11</c:f>
              <c:numCache>
                <c:formatCode>0.00%</c:formatCode>
                <c:ptCount val="6"/>
                <c:pt idx="0">
                  <c:v>0.78056426332288398</c:v>
                </c:pt>
                <c:pt idx="1">
                  <c:v>0.86090225563909772</c:v>
                </c:pt>
                <c:pt idx="2">
                  <c:v>0.60855263157894735</c:v>
                </c:pt>
                <c:pt idx="3">
                  <c:v>0.66181818181818186</c:v>
                </c:pt>
                <c:pt idx="4">
                  <c:v>0.5679012345679012</c:v>
                </c:pt>
                <c:pt idx="5">
                  <c:v>0.83333333333333337</c:v>
                </c:pt>
              </c:numCache>
            </c:numRef>
          </c:val>
          <c:extLst>
            <c:ext xmlns:c16="http://schemas.microsoft.com/office/drawing/2014/chart" uri="{C3380CC4-5D6E-409C-BE32-E72D297353CC}">
              <c16:uniqueId val="{00000001-1A01-4D20-B66C-8FC892DD1F4F}"/>
            </c:ext>
          </c:extLst>
        </c:ser>
        <c:dLbls>
          <c:showLegendKey val="0"/>
          <c:showVal val="0"/>
          <c:showCatName val="0"/>
          <c:showSerName val="0"/>
          <c:showPercent val="0"/>
          <c:showBubbleSize val="0"/>
        </c:dLbls>
        <c:gapWidth val="150"/>
        <c:overlap val="100"/>
        <c:axId val="679476495"/>
        <c:axId val="679484399"/>
      </c:barChart>
      <c:catAx>
        <c:axId val="67947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84399"/>
        <c:crosses val="autoZero"/>
        <c:auto val="1"/>
        <c:lblAlgn val="ctr"/>
        <c:lblOffset val="100"/>
        <c:noMultiLvlLbl val="0"/>
      </c:catAx>
      <c:valAx>
        <c:axId val="6794843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47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[logistics_operations_dashboard.xlsx]Pivot_Warehouse!PivotTable9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Warehouse</a:t>
            </a:r>
            <a:r>
              <a:rPr lang="en-US" baseline="0"/>
              <a:t> Delivery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Pivot_Warehouse!$E$3:$E$4</c:f>
              <c:strCache>
                <c:ptCount val="1"/>
                <c:pt idx="0">
                  <c:v>Late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Pivot_Warehouse!$D$5:$D$9</c:f>
              <c:strCache>
                <c:ptCount val="4"/>
                <c:pt idx="0">
                  <c:v>Karaj Hub</c:v>
                </c:pt>
                <c:pt idx="1">
                  <c:v>Qazvin DC</c:v>
                </c:pt>
                <c:pt idx="2">
                  <c:v>Tabriz DC</c:v>
                </c:pt>
                <c:pt idx="3">
                  <c:v>Tehran Central</c:v>
                </c:pt>
              </c:strCache>
            </c:strRef>
          </c:cat>
          <c:val>
            <c:numRef>
              <c:f>Pivot_Warehouse!$E$5:$E$9</c:f>
              <c:numCache>
                <c:formatCode>0.00%</c:formatCode>
                <c:ptCount val="4"/>
                <c:pt idx="0">
                  <c:v>0.29213483146067415</c:v>
                </c:pt>
                <c:pt idx="1">
                  <c:v>0.30223880597014924</c:v>
                </c:pt>
                <c:pt idx="2">
                  <c:v>0.34285714285714286</c:v>
                </c:pt>
                <c:pt idx="3">
                  <c:v>0.28545454545454546</c:v>
                </c:pt>
              </c:numCache>
            </c:numRef>
          </c:val>
          <c:extLst>
            <c:ext xmlns:c16="http://schemas.microsoft.com/office/drawing/2014/chart" uri="{C3380CC4-5D6E-409C-BE32-E72D297353CC}">
              <c16:uniqueId val="{00000000-FEC8-42BA-9C39-773D2E25B65C}"/>
            </c:ext>
          </c:extLst>
        </c:ser>
        <c:ser>
          <c:idx val="1"/>
          <c:order val="1"/>
          <c:tx>
            <c:strRef>
              <c:f>Pivot_Warehouse!$F$3:$F$4</c:f>
              <c:strCache>
                <c:ptCount val="1"/>
                <c:pt idx="0">
                  <c:v>On Time</c:v>
                </c:pt>
              </c:strCache>
            </c:strRef>
          </c:tx>
          <c:spPr>
            <a:solidFill>
              <a:srgbClr val="92D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Pivot_Warehouse!$D$5:$D$9</c:f>
              <c:strCache>
                <c:ptCount val="4"/>
                <c:pt idx="0">
                  <c:v>Karaj Hub</c:v>
                </c:pt>
                <c:pt idx="1">
                  <c:v>Qazvin DC</c:v>
                </c:pt>
                <c:pt idx="2">
                  <c:v>Tabriz DC</c:v>
                </c:pt>
                <c:pt idx="3">
                  <c:v>Tehran Central</c:v>
                </c:pt>
              </c:strCache>
            </c:strRef>
          </c:cat>
          <c:val>
            <c:numRef>
              <c:f>Pivot_Warehouse!$F$5:$F$9</c:f>
              <c:numCache>
                <c:formatCode>0.00%</c:formatCode>
                <c:ptCount val="4"/>
                <c:pt idx="0">
                  <c:v>0.7078651685393258</c:v>
                </c:pt>
                <c:pt idx="1">
                  <c:v>0.69776119402985071</c:v>
                </c:pt>
                <c:pt idx="2">
                  <c:v>0.65714285714285714</c:v>
                </c:pt>
                <c:pt idx="3">
                  <c:v>0.71454545454545459</c:v>
                </c:pt>
              </c:numCache>
            </c:numRef>
          </c:val>
          <c:extLst>
            <c:ext xmlns:c16="http://schemas.microsoft.com/office/drawing/2014/chart" uri="{C3380CC4-5D6E-409C-BE32-E72D297353CC}">
              <c16:uniqueId val="{00000001-77B7-4E23-A747-227F5879A793}"/>
            </c:ext>
          </c:extLst>
        </c:ser>
        <c:dLbls>
          <c:showLegendKey val="0"/>
          <c:showVal val="0"/>
          <c:showCatName val="0"/>
          <c:showSerName val="0"/>
          <c:showPercent val="0"/>
          <c:showBubbleSize val="0"/>
        </c:dLbls>
        <c:gapWidth val="150"/>
        <c:overlap val="100"/>
        <c:axId val="181491103"/>
        <c:axId val="576631775"/>
      </c:barChart>
      <c:catAx>
        <c:axId val="18149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631775"/>
        <c:crosses val="autoZero"/>
        <c:auto val="1"/>
        <c:lblAlgn val="ctr"/>
        <c:lblOffset val="100"/>
        <c:noMultiLvlLbl val="0"/>
      </c:catAx>
      <c:valAx>
        <c:axId val="5766317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9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[logistics_operations_dashboard.xlsx]Pivot_Vehicle!PivotTable3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Vehicle Capacity Utilization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Pivot_Vehicle!$P$3</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Pivot_Vehicle!$O$4:$O$8</c:f>
              <c:strCache>
                <c:ptCount val="4"/>
                <c:pt idx="0">
                  <c:v>Heavy Truck</c:v>
                </c:pt>
                <c:pt idx="1">
                  <c:v>Light Truck</c:v>
                </c:pt>
                <c:pt idx="2">
                  <c:v>Pickup</c:v>
                </c:pt>
                <c:pt idx="3">
                  <c:v>Van</c:v>
                </c:pt>
              </c:strCache>
            </c:strRef>
          </c:cat>
          <c:val>
            <c:numRef>
              <c:f>Pivot_Vehicle!$P$4:$P$8</c:f>
              <c:numCache>
                <c:formatCode>General</c:formatCode>
                <c:ptCount val="4"/>
                <c:pt idx="0">
                  <c:v>54.056650528169037</c:v>
                </c:pt>
                <c:pt idx="1">
                  <c:v>50.013711743772255</c:v>
                </c:pt>
                <c:pt idx="2">
                  <c:v>50.659847182425999</c:v>
                </c:pt>
                <c:pt idx="3">
                  <c:v>48.926617100371772</c:v>
                </c:pt>
              </c:numCache>
            </c:numRef>
          </c:val>
          <c:extLst>
            <c:ext xmlns:c16="http://schemas.microsoft.com/office/drawing/2014/chart" uri="{C3380CC4-5D6E-409C-BE32-E72D297353CC}">
              <c16:uniqueId val="{00000000-BF51-4AB2-9066-0F9391B1BA70}"/>
            </c:ext>
          </c:extLst>
        </c:ser>
        <c:dLbls>
          <c:showLegendKey val="0"/>
          <c:showVal val="0"/>
          <c:showCatName val="0"/>
          <c:showSerName val="0"/>
          <c:showPercent val="0"/>
          <c:showBubbleSize val="0"/>
        </c:dLbls>
        <c:gapWidth val="182"/>
        <c:axId val="568165711"/>
        <c:axId val="568168623"/>
      </c:barChart>
      <c:catAx>
        <c:axId val="56816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8623"/>
        <c:crosses val="autoZero"/>
        <c:auto val="1"/>
        <c:lblAlgn val="ctr"/>
        <c:lblOffset val="100"/>
        <c:noMultiLvlLbl val="0"/>
      </c:catAx>
      <c:valAx>
        <c:axId val="568168623"/>
        <c:scaling>
          <c:orientation val="minMax"/>
          <c:max val="1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[logistics_operations_dashboard.xlsx]Pivot_Route!PivotTable6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Route by Average Shipping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Pivot_Route!$S$3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Pivot_Route!$R$4:$R$9</c:f>
              <c:strCache>
                <c:ptCount val="5"/>
                <c:pt idx="0">
                  <c:v>Tabriz DC ---&gt; Mashhad</c:v>
                </c:pt>
                <c:pt idx="1">
                  <c:v>Qazvin DC ---&gt; Mashhad</c:v>
                </c:pt>
                <c:pt idx="2">
                  <c:v>Tehran Central ---&gt; Mashhad</c:v>
                </c:pt>
                <c:pt idx="3">
                  <c:v>Tabriz DC ---&gt; Isfahan</c:v>
                </c:pt>
                <c:pt idx="4">
                  <c:v>Karaj Hub ---&gt; Mashhad</c:v>
                </c:pt>
              </c:strCache>
            </c:strRef>
          </c:cat>
          <c:val>
            <c:numRef>
              <c:f>Pivot_Route!$S$4:$S$9</c:f>
              <c:numCache>
                <c:formatCode>General</c:formatCode>
                <c:ptCount val="5"/>
                <c:pt idx="0">
                  <c:v>18612074.074074075</c:v>
                </c:pt>
                <c:pt idx="1">
                  <c:v>13745400</c:v>
                </c:pt>
                <c:pt idx="2">
                  <c:v>12791409.090909092</c:v>
                </c:pt>
                <c:pt idx="3">
                  <c:v>12334041.666666666</c:v>
                </c:pt>
                <c:pt idx="4">
                  <c:v>12132347.826086957</c:v>
                </c:pt>
              </c:numCache>
            </c:numRef>
          </c:val>
          <c:extLst>
            <c:ext xmlns:c16="http://schemas.microsoft.com/office/drawing/2014/chart" uri="{C3380CC4-5D6E-409C-BE32-E72D297353CC}">
              <c16:uniqueId val="{00000000-68AD-49DE-98C2-1BADCADCFF89}"/>
            </c:ext>
          </c:extLst>
        </c:ser>
        <c:dLbls>
          <c:showLegendKey val="0"/>
          <c:showVal val="0"/>
          <c:showCatName val="0"/>
          <c:showSerName val="0"/>
          <c:showPercent val="0"/>
          <c:showBubbleSize val="0"/>
        </c:dLbls>
        <c:gapWidth val="182"/>
        <c:axId val="1320714848"/>
        <c:axId val="1320724000"/>
      </c:barChart>
      <c:catAx>
        <c:axId val="132071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724000"/>
        <c:crosses val="autoZero"/>
        <c:auto val="1"/>
        <c:lblAlgn val="ctr"/>
        <c:lblOffset val="100"/>
        <c:noMultiLvlLbl val="0"/>
      </c:catAx>
      <c:valAx>
        <c:axId val="1320724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714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358140</xdr:colOff>
      <xdr:row>14</xdr:row>
      <xdr:rowOff>38100</xdr:rowOff>
    </xdr:from>
    <xdr:to>
      <xdr:col>6</xdr:col>
      <xdr:colOff>501015</xdr:colOff>
      <xdr:row>27</xdr:row>
      <xdr:rowOff>152400</xdr:rowOff>
    </xdr:to>
    <mc:AlternateContent xmlns:mc="http://schemas.openxmlformats.org/markup-compatibility/2006" xmlns:a14="http://schemas.microsoft.com/office/drawing/2010/main">
      <mc:Choice Requires="a14">
        <xdr:graphicFrame macro="">
          <xdr:nvGraphicFramePr>
            <xdr:cNvPr id="2" name="Warehouse">
              <a:extLst>
                <a:ext uri="{FF2B5EF4-FFF2-40B4-BE49-F238E27FC236}">
                  <a16:creationId xmlns:a16="http://schemas.microsoft.com/office/drawing/2014/main" id="{CAC84E36-F6CD-43B1-9552-C50EC709B2DD}"/>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4349115" y="257175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432435</xdr:colOff>
      <xdr:row>14</xdr:row>
      <xdr:rowOff>112395</xdr:rowOff>
    </xdr:from>
    <xdr:to>
      <xdr:col>11</xdr:col>
      <xdr:colOff>260985</xdr:colOff>
      <xdr:row>28</xdr:row>
      <xdr:rowOff>45720</xdr:rowOff>
    </xdr:to>
    <mc:AlternateContent xmlns:mc="http://schemas.openxmlformats.org/markup-compatibility/2006" xmlns:a14="http://schemas.microsoft.com/office/drawing/2010/main">
      <mc:Choice Requires="a14">
        <xdr:graphicFrame macro="">
          <xdr:nvGraphicFramePr>
            <xdr:cNvPr id="4" name="Vehicle_Type">
              <a:extLst>
                <a:ext uri="{FF2B5EF4-FFF2-40B4-BE49-F238E27FC236}">
                  <a16:creationId xmlns:a16="http://schemas.microsoft.com/office/drawing/2014/main" id="{BA7FDA29-C9DC-4ADC-9E32-5629BEEC8F8A}"/>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8423910" y="264604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140370</xdr:colOff>
      <xdr:row>19</xdr:row>
      <xdr:rowOff>167183</xdr:rowOff>
    </xdr:from>
    <xdr:to>
      <xdr:col>6</xdr:col>
      <xdr:colOff>180474</xdr:colOff>
      <xdr:row>37</xdr:row>
      <xdr:rowOff>-1</xdr:rowOff>
    </xdr:to>
    <xdr:graphicFrame macro="">
      <xdr:nvGraphicFramePr>
        <xdr:cNvPr id="2" name="Chart 1">
          <a:extLst>
            <a:ext uri="{FF2B5EF4-FFF2-40B4-BE49-F238E27FC236}">
              <a16:creationId xmlns:a16="http://schemas.microsoft.com/office/drawing/2014/main" id="{CCDC9BED-2CB7-4A81-A0CF-97E822B43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392416</xdr:colOff>
      <xdr:row>20</xdr:row>
      <xdr:rowOff>1570</xdr:rowOff>
    </xdr:from>
    <xdr:to>
      <xdr:col>12</xdr:col>
      <xdr:colOff>170446</xdr:colOff>
      <xdr:row>37</xdr:row>
      <xdr:rowOff>20053</xdr:rowOff>
    </xdr:to>
    <xdr:graphicFrame macro="">
      <xdr:nvGraphicFramePr>
        <xdr:cNvPr id="3" name="Chart 2">
          <a:extLst>
            <a:ext uri="{FF2B5EF4-FFF2-40B4-BE49-F238E27FC236}">
              <a16:creationId xmlns:a16="http://schemas.microsoft.com/office/drawing/2014/main" id="{BC9CD90D-2254-497D-BA08-795C57B01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116973</xdr:colOff>
      <xdr:row>41</xdr:row>
      <xdr:rowOff>165585</xdr:rowOff>
    </xdr:from>
    <xdr:to>
      <xdr:col>6</xdr:col>
      <xdr:colOff>151610</xdr:colOff>
      <xdr:row>58</xdr:row>
      <xdr:rowOff>160968</xdr:rowOff>
    </xdr:to>
    <xdr:graphicFrame macro="">
      <xdr:nvGraphicFramePr>
        <xdr:cNvPr id="4" name="Chart 3">
          <a:extLst>
            <a:ext uri="{FF2B5EF4-FFF2-40B4-BE49-F238E27FC236}">
              <a16:creationId xmlns:a16="http://schemas.microsoft.com/office/drawing/2014/main" id="{DCF46CB8-CCDF-4140-AB01-A54774C95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408344</xdr:colOff>
      <xdr:row>41</xdr:row>
      <xdr:rowOff>178650</xdr:rowOff>
    </xdr:from>
    <xdr:to>
      <xdr:col>12</xdr:col>
      <xdr:colOff>165890</xdr:colOff>
      <xdr:row>58</xdr:row>
      <xdr:rowOff>120923</xdr:rowOff>
    </xdr:to>
    <xdr:graphicFrame macro="">
      <xdr:nvGraphicFramePr>
        <xdr:cNvPr id="5" name="Chart 4">
          <a:extLst>
            <a:ext uri="{FF2B5EF4-FFF2-40B4-BE49-F238E27FC236}">
              <a16:creationId xmlns:a16="http://schemas.microsoft.com/office/drawing/2014/main" id="{2395773C-7DE5-4602-925E-3CD581206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115454</xdr:colOff>
      <xdr:row>60</xdr:row>
      <xdr:rowOff>7595</xdr:rowOff>
    </xdr:from>
    <xdr:to>
      <xdr:col>6</xdr:col>
      <xdr:colOff>150091</xdr:colOff>
      <xdr:row>75</xdr:row>
      <xdr:rowOff>153432</xdr:rowOff>
    </xdr:to>
    <xdr:graphicFrame macro="">
      <xdr:nvGraphicFramePr>
        <xdr:cNvPr id="6" name="Chart 5">
          <a:extLst>
            <a:ext uri="{FF2B5EF4-FFF2-40B4-BE49-F238E27FC236}">
              <a16:creationId xmlns:a16="http://schemas.microsoft.com/office/drawing/2014/main" id="{B966A3F7-31AD-470B-B903-34AAAF920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411381</xdr:colOff>
      <xdr:row>60</xdr:row>
      <xdr:rowOff>27648</xdr:rowOff>
    </xdr:from>
    <xdr:to>
      <xdr:col>12</xdr:col>
      <xdr:colOff>145835</xdr:colOff>
      <xdr:row>75</xdr:row>
      <xdr:rowOff>173485</xdr:rowOff>
    </xdr:to>
    <xdr:graphicFrame macro="">
      <xdr:nvGraphicFramePr>
        <xdr:cNvPr id="7" name="Chart 6">
          <a:extLst>
            <a:ext uri="{FF2B5EF4-FFF2-40B4-BE49-F238E27FC236}">
              <a16:creationId xmlns:a16="http://schemas.microsoft.com/office/drawing/2014/main" id="{24CD8227-5E84-40B2-9240-49F98B478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451184</xdr:colOff>
      <xdr:row>10</xdr:row>
      <xdr:rowOff>150396</xdr:rowOff>
    </xdr:from>
    <xdr:to>
      <xdr:col>2</xdr:col>
      <xdr:colOff>535405</xdr:colOff>
      <xdr:row>15</xdr:row>
      <xdr:rowOff>130343</xdr:rowOff>
    </xdr:to>
    <mc:AlternateContent xmlns:mc="http://schemas.openxmlformats.org/markup-compatibility/2006">
      <mc:Choice xmlns:a14="http://schemas.microsoft.com/office/drawing/2010/main" Requires="a14">
        <xdr:graphicFrame macro="">
          <xdr:nvGraphicFramePr>
            <xdr:cNvPr id="8" name="Carrier">
              <a:extLst>
                <a:ext uri="{FF2B5EF4-FFF2-40B4-BE49-F238E27FC236}">
                  <a16:creationId xmlns:a16="http://schemas.microsoft.com/office/drawing/2014/main" id="{47AE54ED-EDBD-4486-A950-87E1FF389ECD}"/>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dr:sp macro="" textlink="">
          <xdr:nvSpPr>
            <xdr:cNvPr id="0" name=""/>
            <xdr:cNvSpPr>
              <a:spLocks noTextEdit="1"/>
            </xdr:cNvSpPr>
          </xdr:nvSpPr>
          <xdr:spPr>
            <a:xfrm>
              <a:off x="451184" y="1995238"/>
              <a:ext cx="1828800" cy="882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822157</xdr:colOff>
      <xdr:row>10</xdr:row>
      <xdr:rowOff>150396</xdr:rowOff>
    </xdr:from>
    <xdr:to>
      <xdr:col>5</xdr:col>
      <xdr:colOff>34089</xdr:colOff>
      <xdr:row>15</xdr:row>
      <xdr:rowOff>150395</xdr:rowOff>
    </xdr:to>
    <mc:AlternateContent xmlns:mc="http://schemas.openxmlformats.org/markup-compatibility/2006">
      <mc:Choice xmlns:a14="http://schemas.microsoft.com/office/drawing/2010/main" Requires="a14">
        <xdr:graphicFrame macro="">
          <xdr:nvGraphicFramePr>
            <xdr:cNvPr id="9" name="Warehouse 1">
              <a:extLst>
                <a:ext uri="{FF2B5EF4-FFF2-40B4-BE49-F238E27FC236}">
                  <a16:creationId xmlns:a16="http://schemas.microsoft.com/office/drawing/2014/main" id="{2E321852-20E7-4955-BF96-451238FBCFAD}"/>
                </a:ext>
              </a:extLst>
            </xdr:cNvPr>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dr:sp macro="" textlink="">
          <xdr:nvSpPr>
            <xdr:cNvPr id="0" name=""/>
            <xdr:cNvSpPr>
              <a:spLocks noTextEdit="1"/>
            </xdr:cNvSpPr>
          </xdr:nvSpPr>
          <xdr:spPr>
            <a:xfrm>
              <a:off x="2566736" y="1995238"/>
              <a:ext cx="1828800" cy="902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300789</xdr:colOff>
      <xdr:row>10</xdr:row>
      <xdr:rowOff>150396</xdr:rowOff>
    </xdr:from>
    <xdr:to>
      <xdr:col>7</xdr:col>
      <xdr:colOff>385010</xdr:colOff>
      <xdr:row>15</xdr:row>
      <xdr:rowOff>150395</xdr:rowOff>
    </xdr:to>
    <mc:AlternateContent xmlns:mc="http://schemas.openxmlformats.org/markup-compatibility/2006">
      <mc:Choice xmlns:a14="http://schemas.microsoft.com/office/drawing/2010/main" Requires="a14">
        <xdr:graphicFrame macro="">
          <xdr:nvGraphicFramePr>
            <xdr:cNvPr id="10" name="Vehicle_Type 1">
              <a:extLst>
                <a:ext uri="{FF2B5EF4-FFF2-40B4-BE49-F238E27FC236}">
                  <a16:creationId xmlns:a16="http://schemas.microsoft.com/office/drawing/2014/main" id="{191EC3AF-97B6-4366-8796-38E0BEA46786}"/>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dr:sp macro="" textlink="">
          <xdr:nvSpPr>
            <xdr:cNvPr id="0" name=""/>
            <xdr:cNvSpPr>
              <a:spLocks noTextEdit="1"/>
            </xdr:cNvSpPr>
          </xdr:nvSpPr>
          <xdr:spPr>
            <a:xfrm>
              <a:off x="4662236" y="1995238"/>
              <a:ext cx="1828800" cy="902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120316</xdr:colOff>
      <xdr:row>37</xdr:row>
      <xdr:rowOff>140368</xdr:rowOff>
    </xdr:from>
    <xdr:to>
      <xdr:col>7</xdr:col>
      <xdr:colOff>842211</xdr:colOff>
      <xdr:row>39</xdr:row>
      <xdr:rowOff>50131</xdr:rowOff>
    </xdr:to>
    <xdr:sp macro="" textlink="">
      <xdr:nvSpPr>
        <xdr:cNvPr id="11" name="TextBox 10">
          <a:extLst>
            <a:ext uri="{FF2B5EF4-FFF2-40B4-BE49-F238E27FC236}">
              <a16:creationId xmlns:a16="http://schemas.microsoft.com/office/drawing/2014/main" id="{5FC1E789-4875-44C8-86CB-79937607FCC7}"/>
            </a:ext>
          </a:extLst>
        </xdr:cNvPr>
        <xdr:cNvSpPr txBox="1"/>
      </xdr:nvSpPr>
      <xdr:spPr>
        <a:xfrm>
          <a:off x="120316" y="6858000"/>
          <a:ext cx="6827921" cy="2707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July</a:t>
          </a:r>
          <a:r>
            <a:rPr lang="en-US" sz="1100" baseline="0"/>
            <a:t> excluded from monthly charts due to incomplete month data ( 9 shipments).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HSAN" refreshedDate="46285.556620023148" createdVersion="7" refreshedVersion="7" minRefreshableVersion="3" recordCount="1470" xr:uid="{AEE1D929-D8AB-4768-965C-07694F7180E1}">
  <cacheSource type="worksheet">
    <worksheetSource name="Processed_Data"/>
  </cacheSource>
  <cacheFields count="26">
    <cacheField name="Shipment_ID" numFmtId="0">
      <sharedItems count="1470">
        <s v="SHP-01117"/>
        <s v="SHP-01369"/>
        <s v="SHP-00423"/>
        <s v="SHP-00414"/>
        <s v="SHP-00452"/>
        <s v="SHP-00862"/>
        <s v="SHP-01064"/>
        <s v="SHP-00742"/>
        <s v="SHP-01273"/>
        <s v="SHP-00260"/>
        <s v="SHP-00889"/>
        <s v="SHP-01433"/>
        <s v="SHP-00713"/>
        <s v="SHP-01383"/>
        <s v="SHP-00071"/>
        <s v="SHP-01269"/>
        <s v="SHP-00605"/>
        <s v="SHP-00608"/>
        <s v="SHP-00434"/>
        <s v="SHP-00052"/>
        <s v="SHP-01200"/>
        <s v="SHP-01129"/>
        <s v="SHP-01191"/>
        <s v="SHP-01250"/>
        <s v="SHP-01420"/>
        <s v="SHP-00433"/>
        <s v="SHP-01453"/>
        <s v="SHP-00295"/>
        <s v="SHP-01235"/>
        <s v="SHP-01282"/>
        <s v="SHP-01086"/>
        <s v="SHP-00611"/>
        <s v="SHP-01285"/>
        <s v="SHP-01042"/>
        <s v="SHP-00221"/>
        <s v="SHP-00340"/>
        <s v="SHP-00424"/>
        <s v="SHP-00429"/>
        <s v="SHP-01106"/>
        <s v="SHP-00077"/>
        <s v="SHP-01392"/>
        <s v="SHP-00440"/>
        <s v="SHP-01337"/>
        <s v="SHP-00865"/>
        <s v="SHP-01081"/>
        <s v="SHP-00355"/>
        <s v="SHP-00366"/>
        <s v="SHP-00310"/>
        <s v="SHP-00737"/>
        <s v="SHP-00999"/>
        <s v="SHP-00622"/>
        <s v="SHP-00544"/>
        <s v="SHP-01141"/>
        <s v="SHP-01297"/>
        <s v="SHP-00555"/>
        <s v="SHP-00680"/>
        <s v="SHP-00050"/>
        <s v="SHP-00491"/>
        <s v="SHP-00317"/>
        <s v="SHP-00905"/>
        <s v="SHP-00637"/>
        <s v="SHP-00561"/>
        <s v="SHP-00487"/>
        <s v="SHP-00068"/>
        <s v="SHP-00812"/>
        <s v="SHP-00494"/>
        <s v="SHP-00311"/>
        <s v="SHP-01097"/>
        <s v="SHP-01248"/>
        <s v="SHP-00185"/>
        <s v="SHP-00307"/>
        <s v="SHP-00853"/>
        <s v="SHP-00793"/>
        <s v="SHP-00290"/>
        <s v="SHP-00707"/>
        <s v="SHP-01330"/>
        <s v="SHP-00655"/>
        <s v="SHP-00523"/>
        <s v="SHP-00462"/>
        <s v="SHP-00931"/>
        <s v="SHP-01035"/>
        <s v="SHP-00030"/>
        <s v="SHP-00241"/>
        <s v="SHP-00799"/>
        <s v="SHP-00818"/>
        <s v="SHP-00066"/>
        <s v="SHP-00602"/>
        <s v="SHP-00925"/>
        <s v="SHP-00755"/>
        <s v="SHP-00927"/>
        <s v="SHP-01102"/>
        <s v="SHP-00248"/>
        <s v="SHP-00278"/>
        <s v="SHP-01403"/>
        <s v="SHP-01067"/>
        <s v="SHP-00480"/>
        <s v="SHP-00427"/>
        <s v="SHP-00124"/>
        <s v="SHP-01170"/>
        <s v="SHP-00395"/>
        <s v="SHP-00986"/>
        <s v="SHP-00716"/>
        <s v="SHP-01135"/>
        <s v="SHP-01085"/>
        <s v="SHP-00498"/>
        <s v="SHP-00045"/>
        <s v="SHP-00060"/>
        <s v="SHP-01162"/>
        <s v="SHP-00024"/>
        <s v="SHP-00875"/>
        <s v="SHP-00482"/>
        <s v="SHP-01325"/>
        <s v="SHP-00746"/>
        <s v="SHP-00232"/>
        <s v="SHP-00125"/>
        <s v="SHP-00428"/>
        <s v="SHP-00819"/>
        <s v="SHP-00169"/>
        <s v="SHP-00116"/>
        <s v="SHP-01089"/>
        <s v="SHP-00987"/>
        <s v="SHP-01396"/>
        <s v="SHP-01425"/>
        <s v="SHP-00416"/>
        <s v="SHP-00142"/>
        <s v="SHP-01234"/>
        <s v="SHP-01294"/>
        <s v="SHP-00763"/>
        <s v="SHP-01207"/>
        <s v="SHP-00463"/>
        <s v="SHP-01244"/>
        <s v="SHP-00079"/>
        <s v="SHP-01005"/>
        <s v="SHP-01442"/>
        <s v="SHP-00572"/>
        <s v="SHP-00016"/>
        <s v="SHP-00495"/>
        <s v="SHP-00351"/>
        <s v="SHP-01000"/>
        <s v="SHP-00275"/>
        <s v="SHP-01192"/>
        <s v="SHP-00272"/>
        <s v="SHP-01370"/>
        <s v="SHP-00238"/>
        <s v="SHP-00586"/>
        <s v="SHP-01313"/>
        <s v="SHP-00695"/>
        <s v="SHP-01002"/>
        <s v="SHP-00323"/>
        <s v="SHP-00783"/>
        <s v="SHP-01359"/>
        <s v="SHP-01204"/>
        <s v="SHP-00971"/>
        <s v="SHP-01467"/>
        <s v="SHP-00527"/>
        <s v="SHP-01426"/>
        <s v="SHP-01171"/>
        <s v="SHP-00176"/>
        <s v="SHP-00359"/>
        <s v="SHP-00044"/>
        <s v="SHP-00417"/>
        <s v="SHP-00345"/>
        <s v="SHP-01027"/>
        <s v="SHP-01402"/>
        <s v="SHP-00102"/>
        <s v="SHP-00108"/>
        <s v="SHP-00343"/>
        <s v="SHP-01053"/>
        <s v="SHP-00965"/>
        <s v="SHP-00381"/>
        <s v="SHP-00245"/>
        <s v="SHP-01100"/>
        <s v="SHP-00501"/>
        <s v="SHP-00701"/>
        <s v="SHP-00129"/>
        <s v="SHP-00240"/>
        <s v="SHP-01115"/>
        <s v="SHP-00683"/>
        <s v="SHP-00483"/>
        <s v="SHP-01306"/>
        <s v="SHP-00276"/>
        <s v="SHP-00583"/>
        <s v="SHP-00204"/>
        <s v="SHP-00033"/>
        <s v="SHP-01320"/>
        <s v="SHP-00814"/>
        <s v="SHP-00998"/>
        <s v="SHP-00382"/>
        <s v="SHP-01074"/>
        <s v="SHP-01349"/>
        <s v="SHP-00579"/>
        <s v="SHP-00888"/>
        <s v="SHP-01326"/>
        <s v="SHP-01327"/>
        <s v="SHP-00942"/>
        <s v="SHP-00164"/>
        <s v="SHP-00910"/>
        <s v="SHP-00298"/>
        <s v="SHP-00756"/>
        <s v="SHP-00406"/>
        <s v="SHP-00969"/>
        <s v="SHP-00606"/>
        <s v="SHP-00421"/>
        <s v="SHP-00465"/>
        <s v="SHP-01188"/>
        <s v="SHP-00940"/>
        <s v="SHP-00193"/>
        <s v="SHP-00675"/>
        <s v="SHP-00352"/>
        <s v="SHP-00859"/>
        <s v="SHP-00064"/>
        <s v="SHP-01174"/>
        <s v="SHP-00766"/>
        <s v="SHP-01441"/>
        <s v="SHP-00262"/>
        <s v="SHP-01221"/>
        <s v="SHP-00472"/>
        <s v="SHP-01335"/>
        <s v="SHP-00199"/>
        <s v="SHP-01232"/>
        <s v="SHP-00918"/>
        <s v="SHP-00744"/>
        <s v="SHP-00571"/>
        <s v="SHP-00219"/>
        <s v="SHP-00454"/>
        <s v="SHP-00031"/>
        <s v="SHP-00057"/>
        <s v="SHP-01211"/>
        <s v="SHP-01386"/>
        <s v="SHP-01066"/>
        <s v="SHP-00431"/>
        <s v="SHP-00725"/>
        <s v="SHP-01145"/>
        <s v="SHP-01006"/>
        <s v="SHP-01051"/>
        <s v="SHP-01346"/>
        <s v="SHP-01237"/>
        <s v="SHP-01236"/>
        <s v="SHP-01449"/>
        <s v="SHP-00621"/>
        <s v="SHP-01068"/>
        <s v="SHP-00839"/>
        <s v="SHP-00100"/>
        <s v="SHP-00533"/>
        <s v="SHP-00529"/>
        <s v="SHP-01347"/>
        <s v="SHP-01173"/>
        <s v="SHP-01179"/>
        <s v="SHP-00630"/>
        <s v="SHP-01028"/>
        <s v="SHP-00271"/>
        <s v="SHP-01342"/>
        <s v="SHP-00627"/>
        <s v="SHP-01043"/>
        <s v="SHP-00977"/>
        <s v="SHP-00372"/>
        <s v="SHP-00589"/>
        <s v="SHP-00968"/>
        <s v="SHP-01166"/>
        <s v="SHP-01147"/>
        <s v="SHP-00237"/>
        <s v="SHP-00597"/>
        <s v="SHP-00963"/>
        <s v="SHP-01446"/>
        <s v="SHP-01164"/>
        <s v="SHP-00591"/>
        <s v="SHP-00209"/>
        <s v="SHP-01075"/>
        <s v="SHP-00900"/>
        <s v="SHP-00354"/>
        <s v="SHP-00059"/>
        <s v="SHP-00304"/>
        <s v="SHP-01448"/>
        <s v="SHP-00844"/>
        <s v="SHP-01262"/>
        <s v="SHP-01431"/>
        <s v="SHP-01210"/>
        <s v="SHP-00368"/>
        <s v="SHP-01358"/>
        <s v="SHP-01198"/>
        <s v="SHP-01305"/>
        <s v="SHP-01233"/>
        <s v="SHP-00705"/>
        <s v="SHP-00234"/>
        <s v="SHP-00619"/>
        <s v="SHP-00197"/>
        <s v="SHP-01260"/>
        <s v="SHP-00082"/>
        <s v="SHP-01405"/>
        <s v="SHP-00598"/>
        <s v="SHP-01157"/>
        <s v="SHP-00112"/>
        <s v="SHP-01277"/>
        <s v="SHP-00781"/>
        <s v="SHP-00984"/>
        <s v="SHP-00800"/>
        <s v="SHP-01266"/>
        <s v="SHP-01151"/>
        <s v="SHP-00825"/>
        <s v="SHP-00383"/>
        <s v="SHP-00539"/>
        <s v="SHP-00569"/>
        <s v="SHP-01113"/>
        <s v="SHP-00325"/>
        <s v="SHP-00362"/>
        <s v="SHP-00660"/>
        <s v="SHP-01030"/>
        <s v="SHP-00708"/>
        <s v="SHP-00333"/>
        <s v="SHP-00430"/>
        <s v="SHP-01243"/>
        <s v="SHP-00426"/>
        <s v="SHP-00629"/>
        <s v="SHP-01112"/>
        <s v="SHP-00678"/>
        <s v="SHP-00694"/>
        <s v="SHP-00758"/>
        <s v="SHP-00255"/>
        <s v="SHP-01095"/>
        <s v="SHP-00917"/>
        <s v="SHP-01186"/>
        <s v="SHP-00669"/>
        <s v="SHP-00842"/>
        <s v="SHP-00807"/>
        <s v="SHP-01457"/>
        <s v="SHP-00087"/>
        <s v="SHP-01422"/>
        <s v="SHP-00266"/>
        <s v="SHP-00288"/>
        <s v="SHP-00813"/>
        <s v="SHP-00893"/>
        <s v="SHP-00938"/>
        <s v="SHP-00979"/>
        <s v="SHP-00535"/>
        <s v="SHP-01001"/>
        <s v="SHP-00222"/>
        <s v="SHP-00114"/>
        <s v="SHP-00673"/>
        <s v="SHP-00584"/>
        <s v="SHP-00175"/>
        <s v="SHP-00536"/>
        <s v="SHP-01079"/>
        <s v="SHP-01177"/>
        <s v="SHP-01107"/>
        <s v="SHP-00983"/>
        <s v="SHP-00286"/>
        <s v="SHP-00868"/>
        <s v="SHP-00375"/>
        <s v="SHP-01197"/>
        <s v="SHP-00032"/>
        <s v="SHP-00552"/>
        <s v="SHP-00211"/>
        <s v="SHP-01047"/>
        <s v="SHP-00924"/>
        <s v="SHP-00810"/>
        <s v="SHP-00618"/>
        <s v="SHP-00933"/>
        <s v="SHP-00620"/>
        <s v="SHP-00189"/>
        <s v="SHP-00711"/>
        <s v="SHP-00937"/>
        <s v="SHP-01169"/>
        <s v="SHP-01220"/>
        <s v="SHP-01098"/>
        <s v="SHP-00902"/>
        <s v="SHP-00084"/>
        <s v="SHP-00702"/>
        <s v="SHP-00049"/>
        <s v="SHP-01284"/>
        <s v="SHP-00156"/>
        <s v="SHP-01152"/>
        <s v="SHP-01142"/>
        <s v="SHP-00975"/>
        <s v="SHP-01058"/>
        <s v="SHP-00808"/>
        <s v="SHP-01230"/>
        <s v="SHP-01437"/>
        <s v="SHP-00180"/>
        <s v="SHP-01356"/>
        <s v="SHP-01247"/>
        <s v="SHP-01041"/>
        <s v="SHP-00950"/>
        <s v="SHP-00817"/>
        <s v="SHP-00364"/>
        <s v="SHP-01178"/>
        <s v="SHP-01199"/>
        <s v="SHP-00347"/>
        <s v="SHP-01011"/>
        <s v="SHP-00615"/>
        <s v="SHP-00966"/>
        <s v="SHP-01274"/>
        <s v="SHP-00590"/>
        <s v="SHP-01289"/>
        <s v="SHP-00632"/>
        <s v="SHP-00244"/>
        <s v="SHP-01375"/>
        <s v="SHP-01452"/>
        <s v="SHP-00765"/>
        <s v="SHP-00988"/>
        <s v="SHP-00412"/>
        <s v="SHP-01421"/>
        <s v="SHP-01226"/>
        <s v="SHP-00309"/>
        <s v="SHP-00882"/>
        <s v="SHP-00399"/>
        <s v="SHP-00371"/>
        <s v="SHP-00055"/>
        <s v="SHP-01339"/>
        <s v="SHP-01183"/>
        <s v="SHP-00313"/>
        <s v="SHP-00922"/>
        <s v="SHP-00110"/>
        <s v="SHP-00719"/>
        <s v="SHP-00692"/>
        <s v="SHP-00101"/>
        <s v="SHP-01126"/>
        <s v="SHP-00670"/>
        <s v="SHP-01376"/>
        <s v="SHP-00267"/>
        <s v="SHP-00679"/>
        <s v="SHP-00297"/>
        <s v="SHP-00530"/>
        <s v="SHP-00945"/>
        <s v="SHP-01014"/>
        <s v="SHP-00951"/>
        <s v="SHP-00378"/>
        <s v="SHP-00287"/>
        <s v="SHP-01439"/>
        <s v="SHP-00731"/>
        <s v="SHP-00127"/>
        <s v="SHP-00328"/>
        <s v="SHP-00293"/>
        <s v="SHP-00549"/>
        <s v="SHP-00728"/>
        <s v="SHP-00909"/>
        <s v="SHP-00356"/>
        <s v="SHP-00171"/>
        <s v="SHP-00967"/>
        <s v="SHP-01134"/>
        <s v="SHP-00652"/>
        <s v="SHP-00210"/>
        <s v="SHP-01398"/>
        <s v="SHP-00141"/>
        <s v="SHP-01084"/>
        <s v="SHP-00991"/>
        <s v="SHP-00651"/>
        <s v="SHP-01189"/>
        <s v="SHP-00894"/>
        <s v="SHP-00486"/>
        <s v="SHP-00528"/>
        <s v="SHP-00200"/>
        <s v="SHP-00890"/>
        <s v="SHP-00845"/>
        <s v="SHP-01069"/>
        <s v="SHP-01206"/>
        <s v="SHP-01055"/>
        <s v="SHP-00011"/>
        <s v="SHP-00148"/>
        <s v="SHP-00722"/>
        <s v="SHP-00283"/>
        <s v="SHP-00299"/>
        <s v="SHP-00614"/>
        <s v="SHP-00292"/>
        <s v="SHP-00650"/>
        <s v="SHP-00599"/>
        <s v="SHP-01044"/>
        <s v="SHP-00553"/>
        <s v="SHP-01299"/>
        <s v="SHP-00130"/>
        <s v="SHP-01062"/>
        <s v="SHP-00332"/>
        <s v="SHP-00324"/>
        <s v="SHP-00681"/>
        <s v="SHP-00479"/>
        <s v="SHP-00562"/>
        <s v="SHP-00136"/>
        <s v="SHP-00507"/>
        <s v="SHP-00514"/>
        <s v="SHP-01372"/>
        <s v="SHP-00436"/>
        <s v="SHP-00874"/>
        <s v="SHP-01463"/>
        <s v="SHP-00753"/>
        <s v="SHP-00666"/>
        <s v="SHP-00159"/>
        <s v="SHP-01254"/>
        <s v="SHP-01293"/>
        <s v="SHP-00576"/>
        <s v="SHP-00353"/>
        <s v="SHP-01296"/>
        <s v="SHP-01393"/>
        <s v="SHP-01301"/>
        <s v="SHP-00592"/>
        <s v="SHP-00665"/>
        <s v="SHP-00196"/>
        <s v="SHP-01241"/>
        <s v="SHP-01049"/>
        <s v="SHP-00439"/>
        <s v="SHP-01436"/>
        <s v="SHP-00644"/>
        <s v="SHP-00097"/>
        <s v="SHP-00585"/>
        <s v="SHP-01215"/>
        <s v="SHP-00157"/>
        <s v="SHP-00420"/>
        <s v="SHP-00411"/>
        <s v="SHP-01223"/>
        <s v="SHP-00478"/>
        <s v="SHP-00515"/>
        <s v="SHP-01286"/>
        <s v="SHP-01454"/>
        <s v="SHP-01119"/>
        <s v="SHP-00448"/>
        <s v="SHP-00179"/>
        <s v="SHP-00391"/>
        <s v="SHP-01290"/>
        <s v="SHP-01308"/>
        <s v="SHP-01367"/>
        <s v="SHP-01048"/>
        <s v="SHP-01143"/>
        <s v="SHP-00635"/>
        <s v="SHP-00866"/>
        <s v="SHP-00788"/>
        <s v="SHP-00745"/>
        <s v="SHP-00860"/>
        <s v="SHP-00545"/>
        <s v="SHP-01363"/>
        <s v="SHP-00089"/>
        <s v="SHP-01032"/>
        <s v="SHP-01380"/>
        <s v="SHP-00577"/>
        <s v="SHP-00907"/>
        <s v="SHP-01388"/>
        <s v="SHP-01092"/>
        <s v="SHP-00944"/>
        <s v="SHP-00291"/>
        <s v="SHP-01419"/>
        <s v="SHP-01019"/>
        <s v="SHP-00349"/>
        <s v="SHP-00568"/>
        <s v="SHP-01413"/>
        <s v="SHP-01059"/>
        <s v="SHP-00600"/>
        <s v="SHP-00459"/>
        <s v="SHP-00376"/>
        <s v="SHP-00334"/>
        <s v="SHP-00757"/>
        <s v="SHP-01324"/>
        <s v="SHP-00712"/>
        <s v="SHP-01390"/>
        <s v="SHP-00567"/>
        <s v="SHP-00329"/>
        <s v="SHP-00319"/>
        <s v="SHP-01303"/>
        <s v="SHP-00953"/>
        <s v="SHP-00013"/>
        <s v="SHP-00172"/>
        <s v="SHP-00261"/>
        <s v="SHP-00820"/>
        <s v="SHP-00090"/>
        <s v="SHP-00797"/>
        <s v="SHP-00139"/>
        <s v="SHP-00550"/>
        <s v="SHP-00616"/>
        <s v="SHP-00846"/>
        <s v="SHP-00778"/>
        <s v="SHP-00559"/>
        <s v="SHP-00140"/>
        <s v="SHP-01310"/>
        <s v="SHP-01024"/>
        <s v="SHP-00225"/>
        <s v="SHP-00964"/>
        <s v="SHP-00410"/>
        <s v="SHP-00326"/>
        <s v="SHP-00300"/>
        <s v="SHP-00994"/>
        <s v="SHP-01033"/>
        <s v="SHP-00671"/>
        <s v="SHP-00947"/>
        <s v="SHP-01270"/>
        <s v="SHP-00574"/>
        <s v="SHP-00504"/>
        <s v="SHP-01038"/>
        <s v="SHP-00004"/>
        <s v="SHP-01469"/>
        <s v="SHP-00468"/>
        <s v="SHP-00322"/>
        <s v="SHP-00006"/>
        <s v="SHP-00974"/>
        <s v="SHP-00548"/>
        <s v="SHP-00040"/>
        <s v="SHP-00543"/>
        <s v="SHP-00243"/>
        <s v="SHP-00137"/>
        <s v="SHP-00603"/>
        <s v="SHP-00773"/>
        <s v="SHP-00847"/>
        <s v="SHP-01091"/>
        <s v="SHP-01366"/>
        <s v="SHP-00582"/>
        <s v="SHP-00789"/>
        <s v="SHP-01389"/>
        <s v="SHP-00377"/>
        <s v="SHP-00315"/>
        <s v="SHP-00443"/>
        <s v="SHP-00320"/>
        <s v="SHP-00794"/>
        <s v="SHP-01133"/>
        <s v="SHP-00425"/>
        <s v="SHP-00554"/>
        <s v="SHP-00595"/>
        <s v="SHP-00662"/>
        <s v="SHP-01218"/>
        <s v="SHP-01165"/>
        <s v="SHP-00228"/>
        <s v="SHP-00715"/>
        <s v="SHP-00811"/>
        <s v="SHP-00980"/>
        <s v="SHP-01076"/>
        <s v="SHP-00067"/>
        <s v="SHP-00394"/>
        <s v="SHP-00580"/>
        <s v="SHP-00990"/>
        <s v="SHP-00212"/>
        <s v="SHP-01160"/>
        <s v="SHP-00782"/>
        <s v="SHP-00537"/>
        <s v="SHP-00775"/>
        <s v="SHP-00086"/>
        <s v="SHP-01350"/>
        <s v="SHP-01217"/>
        <s v="SHP-00916"/>
        <s v="SHP-00661"/>
        <s v="SHP-01351"/>
        <s v="SHP-00631"/>
        <s v="SHP-01034"/>
        <s v="SHP-01400"/>
        <s v="SHP-01093"/>
        <s v="SHP-00274"/>
        <s v="SHP-00723"/>
        <s v="SHP-00363"/>
        <s v="SHP-00623"/>
        <s v="SHP-00003"/>
        <s v="SHP-00007"/>
        <s v="SHP-00312"/>
        <s v="SHP-01168"/>
        <s v="SHP-00939"/>
        <s v="SHP-00519"/>
        <s v="SHP-00216"/>
        <s v="SHP-01321"/>
        <s v="SHP-00028"/>
        <s v="SHP-01466"/>
        <s v="SHP-01025"/>
        <s v="SHP-00786"/>
        <s v="SHP-00639"/>
        <s v="SHP-00830"/>
        <s v="SHP-00827"/>
        <s v="SHP-00625"/>
        <s v="SHP-00850"/>
        <s v="SHP-00257"/>
        <s v="SHP-00026"/>
        <s v="SHP-00337"/>
        <s v="SHP-00573"/>
        <s v="SHP-00048"/>
        <s v="SHP-00107"/>
        <s v="SHP-00350"/>
        <s v="SHP-00056"/>
        <s v="SHP-00809"/>
        <s v="SHP-00214"/>
        <s v="SHP-00121"/>
        <s v="SHP-00870"/>
        <s v="SHP-00856"/>
        <s v="SHP-00073"/>
        <s v="SHP-01381"/>
        <s v="SHP-00721"/>
        <s v="SHP-00046"/>
        <s v="SHP-01264"/>
        <s v="SHP-00524"/>
        <s v="SHP-00869"/>
        <s v="SHP-01108"/>
        <s v="SHP-01275"/>
        <s v="SHP-00803"/>
        <s v="SHP-00534"/>
        <s v="SHP-01138"/>
        <s v="SHP-00604"/>
        <s v="SHP-00466"/>
        <s v="SHP-01203"/>
        <s v="SHP-01278"/>
        <s v="SHP-01444"/>
        <s v="SHP-00989"/>
        <s v="SHP-00061"/>
        <s v="SHP-00886"/>
        <s v="SHP-00093"/>
        <s v="SHP-00667"/>
        <s v="SHP-00706"/>
        <s v="SHP-00195"/>
        <s v="SHP-00281"/>
        <s v="SHP-00696"/>
        <s v="SHP-00360"/>
        <s v="SHP-00520"/>
        <s v="SHP-00768"/>
        <s v="SHP-00183"/>
        <s v="SHP-00111"/>
        <s v="SHP-00043"/>
        <s v="SHP-01007"/>
        <s v="SHP-00205"/>
        <s v="SHP-00821"/>
        <s v="SHP-00053"/>
        <s v="SHP-00546"/>
        <s v="SHP-01132"/>
        <s v="SHP-01158"/>
        <s v="SHP-01468"/>
        <s v="SHP-00911"/>
        <s v="SHP-00184"/>
        <s v="SHP-00138"/>
        <s v="SHP-01150"/>
        <s v="SHP-00081"/>
        <s v="SHP-01213"/>
        <s v="SHP-00106"/>
        <s v="SHP-00542"/>
        <s v="SHP-01314"/>
        <s v="SHP-00481"/>
        <s v="SHP-00166"/>
        <s v="SHP-00249"/>
        <s v="SHP-00308"/>
        <s v="SHP-00447"/>
        <s v="SHP-00747"/>
        <s v="SHP-00335"/>
        <s v="SHP-00098"/>
        <s v="SHP-00760"/>
        <s v="SHP-00738"/>
        <s v="SHP-00837"/>
        <s v="SHP-00943"/>
        <s v="SHP-00103"/>
        <s v="SHP-00435"/>
        <s v="SHP-00075"/>
        <s v="SHP-01341"/>
        <s v="SHP-01125"/>
        <s v="SHP-01360"/>
        <s v="SHP-00303"/>
        <s v="SHP-01263"/>
        <s v="SHP-01224"/>
        <s v="SHP-00734"/>
        <s v="SHP-00389"/>
        <s v="SHP-00236"/>
        <s v="SHP-01246"/>
        <s v="SHP-00268"/>
        <s v="SHP-00306"/>
        <s v="SHP-00118"/>
        <s v="SHP-01212"/>
        <s v="SHP-00674"/>
        <s v="SHP-00250"/>
        <s v="SHP-01094"/>
        <s v="SHP-01080"/>
        <s v="SHP-00072"/>
        <s v="SHP-00095"/>
        <s v="SHP-00848"/>
        <s v="SHP-00034"/>
        <s v="SHP-01101"/>
        <s v="SHP-00449"/>
        <s v="SHP-00446"/>
        <s v="SHP-00772"/>
        <s v="SHP-00717"/>
        <s v="SHP-00887"/>
        <s v="SHP-01245"/>
        <s v="SHP-00901"/>
        <s v="SHP-01036"/>
        <s v="SHP-00078"/>
        <s v="SHP-00085"/>
        <s v="SHP-00835"/>
        <s v="SHP-00083"/>
        <s v="SHP-00458"/>
        <s v="SHP-00919"/>
        <s v="SHP-00677"/>
        <s v="SHP-00985"/>
        <s v="SHP-01240"/>
        <s v="SHP-00437"/>
        <s v="SHP-00771"/>
        <s v="SHP-00645"/>
        <s v="SHP-01120"/>
        <s v="SHP-00906"/>
        <s v="SHP-01194"/>
        <s v="SHP-00405"/>
        <s v="SHP-01304"/>
        <s v="SHP-00934"/>
        <s v="SHP-00105"/>
        <s v="SHP-00610"/>
        <s v="SHP-01456"/>
        <s v="SHP-00689"/>
        <s v="SHP-00949"/>
        <s v="SHP-00932"/>
        <s v="SHP-00063"/>
        <s v="SHP-00282"/>
        <s v="SHP-00779"/>
        <s v="SHP-01394"/>
        <s v="SHP-00239"/>
        <s v="SHP-00224"/>
        <s v="SHP-00146"/>
        <s v="SHP-01399"/>
        <s v="SHP-00374"/>
        <s v="SHP-01229"/>
        <s v="SHP-00119"/>
        <s v="SHP-01167"/>
        <s v="SHP-00251"/>
        <s v="SHP-01445"/>
        <s v="SHP-01023"/>
        <s v="SHP-00010"/>
        <s v="SHP-00450"/>
        <s v="SHP-00883"/>
        <s v="SHP-00709"/>
        <s v="SHP-00256"/>
        <s v="SHP-00594"/>
        <s v="SHP-00390"/>
        <s v="SHP-01088"/>
        <s v="SHP-01201"/>
        <s v="SHP-00558"/>
        <s v="SHP-01288"/>
        <s v="SHP-00840"/>
        <s v="SHP-00461"/>
        <s v="SHP-00724"/>
        <s v="SHP-01382"/>
        <s v="SHP-00145"/>
        <s v="SHP-00502"/>
        <s v="SHP-01099"/>
        <s v="SHP-00740"/>
        <s v="SHP-01385"/>
        <s v="SHP-00732"/>
        <s v="SHP-00540"/>
        <s v="SHP-00178"/>
        <s v="SHP-01447"/>
        <s v="SHP-00698"/>
        <s v="SHP-00941"/>
        <s v="SHP-01050"/>
        <s v="SHP-00923"/>
        <s v="SHP-00899"/>
        <s v="SHP-00008"/>
        <s v="SHP-00863"/>
        <s v="SHP-00668"/>
        <s v="SHP-01161"/>
        <s v="SHP-00358"/>
        <s v="SHP-00784"/>
        <s v="SHP-00736"/>
        <s v="SHP-00330"/>
        <s v="SHP-01056"/>
        <s v="SHP-01149"/>
        <s v="SHP-01118"/>
        <s v="SHP-00259"/>
        <s v="SHP-01176"/>
        <s v="SHP-00373"/>
        <s v="SHP-01104"/>
        <s v="SHP-00926"/>
        <s v="SHP-00143"/>
        <s v="SHP-00526"/>
        <s v="SHP-01139"/>
        <s v="SHP-01008"/>
        <s v="SHP-01122"/>
        <s v="SHP-01424"/>
        <s v="SHP-00441"/>
        <s v="SHP-00532"/>
        <s v="SHP-01202"/>
        <s v="SHP-00227"/>
        <s v="SHP-01037"/>
        <s v="SHP-00229"/>
        <s v="SHP-01280"/>
        <s v="SHP-01450"/>
        <s v="SHP-00213"/>
        <s v="SHP-00080"/>
        <s v="SHP-00149"/>
        <s v="SHP-00815"/>
        <s v="SHP-00904"/>
        <s v="SHP-00959"/>
        <s v="SHP-00672"/>
        <s v="SHP-01156"/>
        <s v="SHP-00556"/>
        <s v="SHP-00908"/>
        <s v="SHP-00134"/>
        <s v="SHP-01109"/>
        <s v="SHP-00824"/>
        <s v="SHP-00409"/>
        <s v="SHP-00369"/>
        <s v="SHP-00508"/>
        <s v="SHP-01182"/>
        <s v="SHP-00505"/>
        <s v="SHP-00348"/>
        <s v="SHP-00387"/>
        <s v="SHP-00001"/>
        <s v="SHP-00361"/>
        <s v="SHP-00895"/>
        <s v="SHP-00829"/>
        <s v="SHP-01416"/>
        <s v="SHP-00476"/>
        <s v="SHP-01281"/>
        <s v="SHP-00058"/>
        <s v="SHP-00638"/>
        <s v="SHP-01331"/>
        <s v="SHP-01054"/>
        <s v="SHP-01371"/>
        <s v="SHP-00173"/>
        <s v="SHP-00451"/>
        <s v="SHP-00126"/>
        <s v="SHP-01180"/>
        <s v="SHP-00531"/>
        <s v="SHP-00858"/>
        <s v="SHP-00714"/>
        <s v="SHP-00091"/>
        <s v="SHP-01451"/>
        <s v="SHP-00182"/>
        <s v="SHP-00876"/>
        <s v="SHP-01031"/>
        <s v="SHP-00787"/>
        <s v="SHP-00415"/>
        <s v="SHP-00252"/>
        <s v="SHP-00070"/>
        <s v="SHP-00804"/>
        <s v="SHP-00132"/>
        <s v="SHP-00301"/>
        <s v="SHP-01430"/>
        <s v="SHP-00327"/>
        <s v="SHP-01465"/>
        <s v="SHP-01114"/>
        <s v="SHP-00500"/>
        <s v="SHP-01378"/>
        <s v="SHP-00833"/>
        <s v="SHP-00365"/>
        <s v="SHP-00496"/>
        <s v="SHP-01395"/>
        <s v="SHP-00339"/>
        <s v="SHP-00422"/>
        <s v="SHP-00165"/>
        <s v="SHP-00029"/>
        <s v="SHP-00517"/>
        <s v="SHP-00194"/>
        <s v="SHP-01328"/>
        <s v="SHP-01362"/>
        <s v="SHP-00946"/>
        <s v="SHP-01361"/>
        <s v="SHP-00170"/>
        <s v="SHP-00168"/>
        <s v="SHP-00653"/>
        <s v="SHP-00174"/>
        <s v="SHP-01214"/>
        <s v="SHP-01401"/>
        <s v="SHP-00913"/>
        <s v="SHP-00492"/>
        <s v="SHP-00954"/>
        <s v="SHP-00074"/>
        <s v="SHP-01253"/>
        <s v="SHP-00588"/>
        <s v="SHP-00751"/>
        <s v="SHP-00658"/>
        <s v="SHP-00843"/>
        <s v="SHP-00235"/>
        <s v="SHP-00733"/>
        <s v="SHP-00215"/>
        <s v="SHP-00163"/>
        <s v="SHP-00133"/>
        <s v="SHP-01312"/>
        <s v="SHP-00223"/>
        <s v="SHP-01228"/>
        <s v="SHP-00935"/>
        <s v="SHP-00186"/>
        <s v="SHP-00042"/>
        <s v="SHP-00693"/>
        <s v="SHP-00109"/>
        <s v="SHP-00039"/>
        <s v="SHP-00995"/>
        <s v="SHP-01343"/>
        <s v="SHP-00484"/>
        <s v="SHP-00469"/>
        <s v="SHP-00891"/>
        <s v="SHP-00948"/>
        <s v="SHP-00025"/>
        <s v="SHP-01010"/>
        <s v="SHP-01193"/>
        <s v="SHP-00069"/>
        <s v="SHP-00885"/>
        <s v="SHP-01355"/>
        <s v="SHP-00367"/>
        <s v="SHP-00506"/>
        <s v="SHP-00851"/>
        <s v="SHP-01316"/>
        <s v="SHP-00384"/>
        <s v="SHP-00735"/>
        <s v="SHP-00718"/>
        <s v="SHP-01336"/>
        <s v="SHP-00455"/>
        <s v="SHP-00265"/>
        <s v="SHP-00076"/>
        <s v="SHP-00915"/>
        <s v="SHP-00233"/>
        <s v="SHP-00445"/>
        <s v="SHP-00396"/>
        <s v="SHP-00612"/>
        <s v="SHP-00177"/>
        <s v="SHP-00019"/>
        <s v="SHP-01311"/>
        <s v="SHP-01222"/>
        <s v="SHP-00342"/>
        <s v="SHP-01348"/>
        <s v="SHP-00880"/>
        <s v="SHP-00596"/>
        <s v="SHP-00062"/>
        <s v="SHP-01261"/>
        <s v="SHP-00273"/>
        <s v="SHP-01209"/>
        <s v="SHP-00873"/>
        <s v="SHP-01121"/>
        <s v="SHP-01407"/>
        <s v="SHP-00279"/>
        <s v="SHP-00037"/>
        <s v="SHP-00663"/>
        <s v="SHP-01352"/>
        <s v="SHP-01090"/>
        <s v="SHP-00978"/>
        <s v="SHP-00739"/>
        <s v="SHP-00192"/>
        <s v="SHP-00920"/>
        <s v="SHP-00457"/>
        <s v="SHP-00676"/>
        <s v="SHP-00761"/>
        <s v="SHP-01353"/>
        <s v="SHP-00729"/>
        <s v="SHP-00413"/>
        <s v="SHP-00826"/>
        <s v="SHP-00617"/>
        <s v="SHP-00115"/>
        <s v="SHP-00418"/>
        <s v="SHP-01429"/>
        <s v="SHP-00970"/>
        <s v="SHP-01435"/>
        <s v="SHP-00849"/>
        <s v="SHP-01146"/>
        <s v="SHP-01434"/>
        <s v="SHP-00754"/>
        <s v="SHP-00499"/>
        <s v="SHP-00012"/>
        <s v="SHP-00397"/>
        <s v="SHP-00285"/>
        <s v="SHP-00691"/>
        <s v="SHP-01231"/>
        <s v="SHP-01404"/>
        <s v="SHP-00690"/>
        <s v="SHP-00852"/>
        <s v="SHP-00160"/>
        <s v="SHP-00896"/>
        <s v="SHP-01190"/>
        <s v="SHP-00258"/>
        <s v="SHP-00336"/>
        <s v="SHP-01408"/>
        <s v="SHP-01040"/>
        <s v="SHP-00516"/>
        <s v="SHP-01016"/>
        <s v="SHP-00769"/>
        <s v="SHP-01317"/>
        <s v="SHP-00762"/>
        <s v="SHP-01103"/>
        <s v="SHP-00522"/>
        <s v="SHP-00023"/>
        <s v="SHP-00357"/>
        <s v="SHP-01272"/>
        <s v="SHP-00341"/>
        <s v="SHP-00432"/>
        <s v="SHP-00474"/>
        <s v="SHP-00218"/>
        <s v="SHP-00912"/>
        <s v="SHP-01205"/>
        <s v="SHP-01012"/>
        <s v="SHP-01459"/>
        <s v="SHP-00094"/>
        <s v="SHP-01009"/>
        <s v="SHP-01071"/>
        <s v="SHP-00697"/>
        <s v="SHP-00997"/>
        <s v="SHP-00154"/>
        <s v="SHP-01300"/>
        <s v="SHP-00790"/>
        <s v="SHP-00581"/>
        <s v="SHP-00704"/>
        <s v="SHP-01259"/>
        <s v="SHP-00488"/>
        <s v="SHP-00560"/>
        <s v="SHP-00802"/>
        <s v="SHP-00513"/>
        <s v="SHP-00634"/>
        <s v="SHP-01111"/>
        <s v="SHP-01287"/>
        <s v="SHP-00791"/>
        <s v="SHP-00117"/>
        <s v="SHP-00741"/>
        <s v="SHP-01082"/>
        <s v="SHP-00831"/>
        <s v="SHP-00120"/>
        <s v="SHP-00657"/>
        <s v="SHP-00636"/>
        <s v="SHP-00370"/>
        <s v="SHP-00269"/>
        <s v="SHP-00656"/>
        <s v="SHP-00936"/>
        <s v="SHP-00823"/>
        <s v="SHP-00867"/>
        <s v="SHP-00047"/>
        <s v="SHP-01291"/>
        <s v="SHP-00992"/>
        <s v="SHP-00877"/>
        <s v="SHP-00774"/>
        <s v="SHP-00005"/>
        <s v="SHP-01004"/>
        <s v="SHP-01302"/>
        <s v="SHP-00264"/>
        <s v="SHP-01334"/>
        <s v="SHP-01443"/>
        <s v="SHP-00444"/>
        <s v="SHP-01003"/>
        <s v="SHP-01078"/>
        <s v="SHP-00838"/>
        <s v="SHP-01340"/>
        <s v="SHP-00305"/>
        <s v="SHP-01175"/>
        <s v="SHP-00314"/>
        <s v="SHP-00150"/>
        <s v="SHP-00575"/>
        <s v="SHP-00051"/>
        <s v="SHP-01415"/>
        <s v="SHP-00727"/>
        <s v="SHP-00834"/>
        <s v="SHP-01116"/>
        <s v="SHP-00471"/>
        <s v="SHP-00972"/>
        <s v="SHP-00654"/>
        <s v="SHP-00400"/>
        <s v="SHP-00512"/>
        <s v="SHP-00321"/>
        <s v="SHP-00020"/>
        <s v="SHP-00685"/>
        <s v="SHP-00036"/>
        <s v="SHP-00903"/>
        <s v="SHP-00828"/>
        <s v="SHP-01345"/>
        <s v="SHP-00408"/>
        <s v="SHP-00921"/>
        <s v="SHP-00538"/>
        <s v="SHP-00759"/>
        <s v="SHP-01063"/>
        <s v="SHP-00246"/>
        <s v="SHP-01128"/>
        <s v="SHP-00785"/>
        <s v="SHP-00490"/>
        <s v="SHP-00155"/>
        <s v="SHP-00962"/>
        <s v="SHP-00854"/>
        <s v="SHP-00626"/>
        <s v="SHP-00686"/>
        <s v="SHP-00570"/>
        <s v="SHP-01427"/>
        <s v="SHP-00018"/>
        <s v="SHP-00128"/>
        <s v="SHP-00928"/>
        <s v="SHP-00981"/>
        <s v="SHP-01470"/>
        <s v="SHP-00191"/>
        <s v="SHP-01140"/>
        <s v="SHP-00993"/>
        <s v="SHP-01464"/>
        <s v="SHP-01252"/>
        <s v="SHP-00607"/>
        <s v="SHP-00181"/>
        <s v="SHP-00302"/>
        <s v="SHP-00497"/>
        <s v="SHP-01315"/>
        <s v="SHP-01256"/>
        <s v="SHP-01238"/>
        <s v="SHP-00518"/>
        <s v="SHP-01070"/>
        <s v="SHP-00477"/>
        <s v="SHP-00158"/>
        <s v="SHP-01196"/>
        <s v="SHP-00017"/>
        <s v="SHP-01073"/>
        <s v="SHP-00547"/>
        <s v="SHP-00659"/>
        <s v="SHP-01227"/>
        <s v="SHP-01020"/>
        <s v="SHP-01319"/>
        <s v="SHP-00960"/>
        <s v="SHP-01410"/>
        <s v="SHP-00284"/>
        <s v="SHP-00798"/>
        <s v="SHP-00226"/>
        <s v="SHP-00027"/>
        <s v="SHP-00438"/>
        <s v="SHP-01458"/>
        <s v="SHP-00230"/>
        <s v="SHP-00038"/>
        <s v="SHP-00750"/>
        <s v="SHP-01046"/>
        <s v="SHP-00470"/>
        <s v="SHP-01279"/>
        <s v="SHP-00688"/>
        <s v="SHP-01379"/>
        <s v="SHP-00640"/>
        <s v="SHP-01417"/>
        <s v="SHP-01219"/>
        <s v="SHP-01159"/>
        <s v="SHP-01251"/>
        <s v="SHP-01440"/>
        <s v="SHP-00801"/>
        <s v="SHP-00161"/>
        <s v="SHP-00957"/>
        <s v="SHP-01187"/>
        <s v="SHP-00822"/>
        <s v="SHP-01271"/>
        <s v="SHP-00878"/>
        <s v="SHP-00914"/>
        <s v="SHP-00153"/>
        <s v="SHP-01374"/>
        <s v="SHP-00510"/>
        <s v="SHP-01136"/>
        <s v="SHP-01322"/>
        <s v="SHP-00104"/>
        <s v="SHP-00587"/>
        <s v="SHP-01329"/>
        <s v="SHP-01144"/>
        <s v="SHP-00054"/>
        <s v="SHP-00152"/>
        <s v="SHP-00404"/>
        <s v="SHP-01455"/>
        <s v="SHP-00208"/>
        <s v="SHP-01418"/>
        <s v="SHP-01123"/>
        <s v="SHP-00009"/>
        <s v="SHP-01015"/>
        <s v="SHP-01344"/>
        <s v="SHP-01061"/>
        <s v="SHP-00453"/>
        <s v="SHP-00254"/>
        <s v="SHP-00897"/>
        <s v="SHP-01309"/>
        <s v="SHP-00881"/>
        <s v="SHP-01428"/>
        <s v="SHP-00624"/>
        <s v="SHP-00346"/>
        <s v="SHP-00263"/>
        <s v="SHP-00151"/>
        <s v="SHP-00473"/>
        <s v="SHP-00641"/>
        <s v="SHP-01411"/>
        <s v="SHP-00551"/>
        <s v="SHP-00929"/>
        <s v="SHP-00489"/>
        <s v="SHP-01357"/>
        <s v="SHP-01172"/>
        <s v="SHP-00147"/>
        <s v="SHP-00403"/>
        <s v="SHP-00955"/>
        <s v="SHP-01406"/>
        <s v="SHP-00464"/>
        <s v="SHP-00187"/>
        <s v="SHP-01148"/>
        <s v="SHP-01225"/>
        <s v="SHP-00609"/>
        <s v="SHP-00144"/>
        <s v="SHP-00752"/>
        <s v="SHP-00982"/>
        <s v="SHP-00198"/>
        <s v="SHP-00884"/>
        <s v="SHP-00280"/>
        <s v="SHP-00294"/>
        <s v="SHP-01365"/>
        <s v="SHP-00401"/>
        <s v="SHP-00123"/>
        <s v="SHP-01208"/>
        <s v="SHP-00203"/>
        <s v="SHP-00836"/>
        <s v="SHP-00247"/>
        <s v="SHP-01423"/>
        <s v="SHP-01409"/>
        <s v="SHP-01154"/>
        <s v="SHP-00385"/>
        <s v="SHP-01323"/>
        <s v="SHP-00855"/>
        <s v="SHP-00220"/>
        <s v="SHP-00642"/>
        <s v="SHP-00002"/>
        <s v="SHP-00113"/>
        <s v="SHP-00699"/>
        <s v="SHP-01432"/>
        <s v="SHP-00952"/>
        <s v="SHP-01318"/>
        <s v="SHP-01292"/>
        <s v="SHP-01354"/>
        <s v="SHP-00442"/>
        <s v="SHP-01137"/>
        <s v="SHP-01257"/>
        <s v="SHP-00664"/>
        <s v="SHP-01373"/>
        <s v="SHP-01258"/>
        <s v="SHP-01332"/>
        <s v="SHP-00318"/>
        <s v="SHP-00649"/>
        <s v="SHP-00710"/>
        <s v="SHP-01283"/>
        <s v="SHP-00973"/>
        <s v="SHP-00628"/>
        <s v="SHP-00633"/>
        <s v="SHP-01307"/>
        <s v="SHP-01249"/>
        <s v="SHP-01462"/>
        <s v="SHP-01255"/>
        <s v="SHP-01384"/>
        <s v="SHP-00796"/>
        <s v="SHP-00646"/>
        <s v="SHP-01013"/>
        <s v="SHP-00557"/>
        <s v="SHP-00682"/>
        <s v="SHP-00578"/>
        <s v="SHP-01110"/>
        <s v="SHP-01267"/>
        <s v="SHP-01184"/>
        <s v="SHP-00525"/>
        <s v="SHP-01060"/>
        <s v="SHP-00541"/>
        <s v="SHP-01195"/>
        <s v="SHP-00749"/>
        <s v="SHP-01387"/>
        <s v="SHP-00485"/>
        <s v="SHP-00096"/>
        <s v="SHP-01021"/>
        <s v="SHP-00564"/>
        <s v="SHP-01265"/>
        <s v="SHP-00743"/>
        <s v="SHP-00864"/>
        <s v="SHP-00892"/>
        <s v="SHP-01039"/>
        <s v="SHP-00207"/>
        <s v="SHP-00393"/>
        <s v="SHP-00795"/>
        <s v="SHP-00871"/>
        <s v="SHP-00398"/>
        <s v="SHP-00767"/>
        <s v="SHP-01377"/>
        <s v="SHP-01242"/>
        <s v="SHP-01029"/>
        <s v="SHP-00643"/>
        <s v="SHP-00613"/>
        <s v="SHP-00961"/>
        <s v="SHP-00726"/>
        <s v="SHP-00684"/>
        <s v="SHP-00099"/>
        <s v="SHP-00805"/>
        <s v="SHP-00407"/>
        <s v="SHP-00503"/>
        <s v="SHP-01072"/>
        <s v="SHP-01057"/>
        <s v="SHP-00930"/>
        <s v="SHP-00780"/>
        <s v="SHP-00201"/>
        <s v="SHP-00135"/>
        <s v="SHP-01052"/>
        <s v="SHP-00041"/>
        <s v="SHP-01018"/>
        <s v="SHP-00231"/>
        <s v="SHP-00379"/>
        <s v="SHP-00289"/>
        <s v="SHP-00419"/>
        <s v="SHP-00392"/>
        <s v="SHP-00593"/>
        <s v="SHP-01163"/>
        <s v="SHP-01087"/>
        <s v="SHP-00648"/>
        <s v="SHP-01153"/>
        <s v="SHP-01368"/>
        <s v="SHP-00521"/>
        <s v="SHP-00065"/>
        <s v="SHP-00015"/>
        <s v="SHP-01181"/>
        <s v="SHP-01065"/>
        <s v="SHP-00493"/>
        <s v="SHP-00380"/>
        <s v="SHP-00188"/>
        <s v="SHP-00764"/>
        <s v="SHP-00217"/>
        <s v="SHP-00792"/>
        <s v="SHP-01077"/>
        <s v="SHP-00879"/>
        <s v="SHP-00338"/>
        <s v="SHP-00720"/>
        <s v="SHP-00296"/>
        <s v="SHP-01017"/>
        <s v="SHP-01276"/>
        <s v="SHP-00456"/>
        <s v="SHP-00816"/>
        <s v="SHP-00270"/>
        <s v="SHP-00996"/>
        <s v="SHP-00202"/>
        <s v="SHP-00162"/>
        <s v="SHP-00730"/>
        <s v="SHP-00402"/>
        <s v="SHP-00703"/>
        <s v="SHP-01130"/>
        <s v="SHP-00566"/>
        <s v="SHP-01414"/>
        <s v="SHP-01022"/>
        <s v="SHP-01026"/>
        <s v="SHP-01412"/>
        <s v="SHP-01105"/>
        <s v="SHP-00206"/>
        <s v="SHP-00035"/>
        <s v="SHP-00776"/>
        <s v="SHP-00509"/>
        <s v="SHP-01391"/>
        <s v="SHP-00092"/>
        <s v="SHP-01364"/>
        <s v="SHP-00898"/>
        <s v="SHP-00565"/>
        <s v="SHP-00777"/>
        <s v="SHP-00242"/>
        <s v="SHP-00014"/>
        <s v="SHP-00316"/>
        <s v="SHP-00601"/>
        <s v="SHP-00388"/>
        <s v="SHP-01298"/>
        <s v="SHP-00167"/>
        <s v="SHP-00841"/>
        <s v="SHP-00021"/>
        <s v="SHP-00647"/>
        <s v="SHP-01155"/>
        <s v="SHP-00832"/>
        <s v="SHP-01268"/>
        <s v="SHP-00563"/>
        <s v="SHP-01461"/>
        <s v="SHP-00687"/>
        <s v="SHP-00958"/>
        <s v="SHP-00190"/>
        <s v="SHP-00976"/>
        <s v="SHP-00700"/>
        <s v="SHP-00511"/>
        <s v="SHP-01083"/>
        <s v="SHP-00475"/>
        <s v="SHP-00857"/>
        <s v="SHP-00748"/>
        <s v="SHP-00253"/>
        <s v="SHP-00022"/>
        <s v="SHP-01338"/>
        <s v="SHP-00460"/>
        <s v="SHP-01185"/>
        <s v="SHP-00277"/>
        <s v="SHP-00956"/>
        <s v="SHP-01216"/>
        <s v="SHP-00386"/>
        <s v="SHP-00806"/>
        <s v="SHP-01438"/>
        <s v="SHP-00344"/>
        <s v="SHP-00770"/>
        <s v="SHP-01333"/>
        <s v="SHP-00131"/>
        <s v="SHP-00872"/>
        <s v="SHP-01124"/>
        <s v="SHP-01397"/>
        <s v="SHP-00088"/>
        <s v="SHP-00331"/>
        <s v="SHP-01239"/>
        <s v="SHP-00467"/>
        <s v="SHP-00122"/>
        <s v="SHP-01045"/>
        <s v="SHP-01096"/>
        <s v="SHP-01131"/>
        <s v="SHP-01295"/>
        <s v="SHP-00861"/>
        <s v="SHP-01460"/>
        <s v="SHP-01127"/>
      </sharedItems>
    </cacheField>
    <cacheField name="Order_Date" numFmtId="22">
      <sharedItems containsSemiMixedTypes="0" containsNonDate="0" containsDate="1" containsString="0" minDate="2026-01-01T00:00:00" maxDate="2026-07-01T00:00:00"/>
    </cacheField>
    <cacheField name="Ship_Date" numFmtId="22">
      <sharedItems containsSemiMixedTypes="0" containsNonDate="0" containsDate="1" containsString="0" minDate="2026-01-02T00:00:00" maxDate="2026-07-02T00:00:00"/>
    </cacheField>
    <cacheField name="Planned_Delivery_Date" numFmtId="22">
      <sharedItems containsSemiMixedTypes="0" containsNonDate="0" containsDate="1" containsString="0" minDate="2026-01-04T00:00:00" maxDate="2026-07-07T00:00:00"/>
    </cacheField>
    <cacheField name="Actual_Delivery_Date" numFmtId="22">
      <sharedItems containsNonDate="0" containsDate="1" containsString="0" containsBlank="1" minDate="2026-01-04T00:00:00" maxDate="2026-07-08T00:00:00"/>
    </cacheField>
    <cacheField name="Warehouse" numFmtId="0">
      <sharedItems count="4">
        <s v="Qazvin DC"/>
        <s v="Tehran Central"/>
        <s v="Karaj Hub"/>
        <s v="Tabriz DC"/>
      </sharedItems>
    </cacheField>
    <cacheField name="Destination_City" numFmtId="0">
      <sharedItems count="12">
        <s v="Arak"/>
        <s v="Hamedan"/>
        <s v="Zanjan"/>
        <s v="Mashhad"/>
        <s v="Urmia"/>
        <s v="Rasht"/>
        <s v="Qazvin"/>
        <s v="Qom"/>
        <s v="Karaj"/>
        <s v="Isfahan"/>
        <s v="Tehran"/>
        <s v="Tabriz"/>
      </sharedItems>
    </cacheField>
    <cacheField name="Carrier" numFmtId="0">
      <sharedItems count="6">
        <s v="Rahbar Logistics"/>
        <s v="Shahin Cargo"/>
        <s v="Pars Freight"/>
        <s v="Navid Express"/>
        <s v="Unknown"/>
        <s v="Aras Transport"/>
      </sharedItems>
    </cacheField>
    <cacheField name="Vehicle_Type" numFmtId="0">
      <sharedItems count="4">
        <s v="Pickup"/>
        <s v="Light Truck"/>
        <s v="Heavy Truck"/>
        <s v="Van"/>
      </sharedItems>
    </cacheField>
    <cacheField name="Distance_KM" numFmtId="0">
      <sharedItems containsString="0" containsBlank="1" containsNumber="1" minValue="3" maxValue="4200"/>
    </cacheField>
    <cacheField name="Weight_KG" numFmtId="0">
      <sharedItems containsString="0" containsBlank="1" containsNumber="1" minValue="80" maxValue="55000"/>
    </cacheField>
    <cacheField name="Shipping_Cost" numFmtId="0">
      <sharedItems containsString="0" containsBlank="1" containsNumber="1" containsInteger="1" minValue="569000" maxValue="32026000"/>
    </cacheField>
    <cacheField name="Date_Error" numFmtId="0">
      <sharedItems/>
    </cacheField>
    <cacheField name="Numeric_Error" numFmtId="0">
      <sharedItems/>
    </cacheField>
    <cacheField name="Vehicle_Capacity_KG" numFmtId="0">
      <sharedItems containsSemiMixedTypes="0" containsString="0" containsNumber="1" containsInteger="1" minValue="1000" maxValue="16000"/>
    </cacheField>
    <cacheField name="Capacity_Error" numFmtId="0">
      <sharedItems/>
    </cacheField>
    <cacheField name="Distance_Outlier" numFmtId="0">
      <sharedItems/>
    </cacheField>
    <cacheField name="Data_Quality_Issue" numFmtId="0">
      <sharedItems/>
    </cacheField>
    <cacheField name="Delivery_Status" numFmtId="0">
      <sharedItems count="4">
        <s v="On Time"/>
        <s v="Late"/>
        <s v="Missing Delivery Record"/>
        <s v="Invalid Date"/>
      </sharedItems>
    </cacheField>
    <cacheField name="Route" numFmtId="0">
      <sharedItems count="48">
        <s v="Qazvin DC ---&gt; Arak"/>
        <s v="Qazvin DC ---&gt; Hamedan"/>
        <s v="Tehran Central ---&gt; Zanjan"/>
        <s v="Karaj Hub ---&gt; Mashhad"/>
        <s v="Karaj Hub ---&gt; Urmia"/>
        <s v="Tehran Central ---&gt; Rasht"/>
        <s v="Karaj Hub ---&gt; Qazvin"/>
        <s v="Karaj Hub ---&gt; Arak"/>
        <s v="Qazvin DC ---&gt; Rasht"/>
        <s v="Tehran Central ---&gt; Qazvin"/>
        <s v="Karaj Hub ---&gt; Qom"/>
        <s v="Tabriz DC ---&gt; Arak"/>
        <s v="Tehran Central ---&gt; Arak"/>
        <s v="Tabriz DC ---&gt; Qazvin"/>
        <s v="Tabriz DC ---&gt; Zanjan"/>
        <s v="Tabriz DC ---&gt; Karaj"/>
        <s v="Karaj Hub ---&gt; Hamedan"/>
        <s v="Karaj Hub ---&gt; Rasht"/>
        <s v="Karaj Hub ---&gt; Karaj"/>
        <s v="Qazvin DC ---&gt; Qazvin"/>
        <s v="Karaj Hub ---&gt; Isfahan"/>
        <s v="Tabriz DC ---&gt; Hamedan"/>
        <s v="Qazvin DC ---&gt; Karaj"/>
        <s v="Qazvin DC ---&gt; Zanjan"/>
        <s v="Tehran Central ---&gt; Isfahan"/>
        <s v="Tehran Central ---&gt; Hamedan"/>
        <s v="Tehran Central ---&gt; Qom"/>
        <s v="Tehran Central ---&gt; Tehran"/>
        <s v="Tehran Central ---&gt; Karaj"/>
        <s v="Karaj Hub ---&gt; Zanjan"/>
        <s v="Qazvin DC ---&gt; Urmia"/>
        <s v="Tabriz DC ---&gt; Isfahan"/>
        <s v="Tabriz DC ---&gt; Tehran"/>
        <s v="Tehran Central ---&gt; Tabriz"/>
        <s v="Karaj Hub ---&gt; Tehran"/>
        <s v="Tehran Central ---&gt; Mashhad"/>
        <s v="Qazvin DC ---&gt; Tabriz"/>
        <s v="Tabriz DC ---&gt; Rasht"/>
        <s v="Tehran Central ---&gt; Urmia"/>
        <s v="Tabriz DC ---&gt; Tabriz"/>
        <s v="Tabriz DC ---&gt; Qom"/>
        <s v="Karaj Hub ---&gt; Tabriz"/>
        <s v="Qazvin DC ---&gt; Tehran"/>
        <s v="Tabriz DC ---&gt; Mashhad"/>
        <s v="Qazvin DC ---&gt; Isfahan"/>
        <s v="Qazvin DC ---&gt; Qom"/>
        <s v="Tabriz DC ---&gt; Urmia"/>
        <s v="Qazvin DC ---&gt; Mashhad"/>
      </sharedItems>
    </cacheField>
    <cacheField name="Capacity_Utilization_Pct" numFmtId="0">
      <sharedItems containsString="0" containsBlank="1" containsNumber="1" minValue="8" maxValue="93.708124999999995"/>
    </cacheField>
    <cacheField name="Capacity_Error_Flag" numFmtId="0">
      <sharedItems containsSemiMixedTypes="0" containsString="0" containsNumber="1" containsInteger="1" minValue="0" maxValue="1"/>
    </cacheField>
    <cacheField name="Data_Quality_Issue_Flag" numFmtId="0">
      <sharedItems containsSemiMixedTypes="0" containsString="0" containsNumber="1" containsInteger="1" minValue="0" maxValue="1"/>
    </cacheField>
    <cacheField name="Delivery_Time_Days" numFmtId="0">
      <sharedItems containsString="0" containsBlank="1" containsNumber="1" containsInteger="1" minValue="0" maxValue="8"/>
    </cacheField>
    <cacheField name="Shipment_Month" numFmtId="14">
      <sharedItems containsSemiMixedTypes="0" containsNonDate="0" containsDate="1" containsString="0" minDate="2026-01-01T00:00:00" maxDate="2026-07-02T00:00:00" count="7">
        <d v="2026-07-01T00:00:00"/>
        <d v="2026-06-01T00:00:00"/>
        <d v="2026-05-01T00:00:00"/>
        <d v="2026-01-01T00:00:00"/>
        <d v="2026-04-01T00:00:00"/>
        <d v="2026-02-01T00:00:00"/>
        <d v="2026-03-01T00:00:00"/>
      </sharedItems>
    </cacheField>
    <cacheField name="Delay_Days" numFmtId="0">
      <sharedItems containsString="0" containsBlank="1" containsNumber="1" containsInteger="1" minValue="1" maxValue="3"/>
    </cacheField>
  </cacheFields>
  <extLst>
    <ext xmlns:x14="http://schemas.microsoft.com/office/spreadsheetml/2009/9/main" uri="{725AE2AE-9491-48be-B2B4-4EB974FC3084}">
      <x14:pivotCacheDefinition pivotCacheId="2147317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d v="2026-06-30T00:00:00"/>
    <d v="2026-07-01T00:00:00"/>
    <d v="2026-07-04T00:00:00"/>
    <d v="2026-07-04T00:00:00"/>
    <x v="0"/>
    <x v="0"/>
    <x v="0"/>
    <x v="0"/>
    <n v="319.3"/>
    <n v="169.4"/>
    <n v="3656000"/>
    <b v="0"/>
    <b v="0"/>
    <n v="1500"/>
    <b v="0"/>
    <b v="0"/>
    <b v="0"/>
    <x v="0"/>
    <x v="0"/>
    <n v="11.293333333333329"/>
    <n v="0"/>
    <n v="0"/>
    <n v="3"/>
    <x v="0"/>
    <m/>
  </r>
  <r>
    <x v="1"/>
    <d v="2026-06-24T00:00:00"/>
    <d v="2026-06-25T00:00:00"/>
    <d v="2026-06-27T00:00:00"/>
    <d v="2026-06-27T00:00:00"/>
    <x v="0"/>
    <x v="1"/>
    <x v="1"/>
    <x v="1"/>
    <n v="281.60000000000002"/>
    <n v="3274.1"/>
    <n v="4799000"/>
    <b v="0"/>
    <b v="0"/>
    <n v="5000"/>
    <b v="0"/>
    <b v="0"/>
    <b v="0"/>
    <x v="0"/>
    <x v="1"/>
    <n v="65.481999999999999"/>
    <n v="0"/>
    <n v="0"/>
    <n v="2"/>
    <x v="1"/>
    <m/>
  </r>
  <r>
    <x v="2"/>
    <d v="2026-05-19T00:00:00"/>
    <d v="2026-05-20T00:00:00"/>
    <d v="2026-05-24T00:00:00"/>
    <d v="2026-05-25T00:00:00"/>
    <x v="1"/>
    <x v="2"/>
    <x v="2"/>
    <x v="1"/>
    <n v="329.3"/>
    <n v="757.5"/>
    <n v="5485000"/>
    <b v="0"/>
    <b v="0"/>
    <n v="5000"/>
    <b v="0"/>
    <b v="0"/>
    <b v="0"/>
    <x v="1"/>
    <x v="2"/>
    <n v="15.15"/>
    <n v="0"/>
    <n v="0"/>
    <n v="5"/>
    <x v="2"/>
    <n v="1"/>
  </r>
  <r>
    <x v="3"/>
    <d v="2026-01-24T00:00:00"/>
    <d v="2026-01-26T00:00:00"/>
    <d v="2026-01-30T00:00:00"/>
    <d v="2026-01-31T00:00:00"/>
    <x v="2"/>
    <x v="3"/>
    <x v="0"/>
    <x v="1"/>
    <n v="918.5"/>
    <n v="952.2"/>
    <n v="12727000"/>
    <b v="0"/>
    <b v="0"/>
    <n v="5000"/>
    <b v="0"/>
    <b v="0"/>
    <b v="0"/>
    <x v="1"/>
    <x v="3"/>
    <n v="19.044"/>
    <n v="0"/>
    <n v="0"/>
    <n v="5"/>
    <x v="3"/>
    <n v="1"/>
  </r>
  <r>
    <x v="4"/>
    <d v="2026-06-17T00:00:00"/>
    <d v="2026-06-19T00:00:00"/>
    <d v="2026-06-23T00:00:00"/>
    <d v="2026-06-23T00:00:00"/>
    <x v="2"/>
    <x v="4"/>
    <x v="3"/>
    <x v="2"/>
    <n v="731.9"/>
    <n v="3685.3"/>
    <n v="13013000"/>
    <b v="0"/>
    <b v="0"/>
    <n v="16000"/>
    <b v="0"/>
    <b v="0"/>
    <b v="0"/>
    <x v="0"/>
    <x v="4"/>
    <n v="23.033124999999998"/>
    <n v="0"/>
    <n v="0"/>
    <n v="4"/>
    <x v="1"/>
    <m/>
  </r>
  <r>
    <x v="5"/>
    <d v="2026-06-17T00:00:00"/>
    <d v="2026-06-18T00:00:00"/>
    <d v="2026-06-21T00:00:00"/>
    <d v="2026-06-21T00:00:00"/>
    <x v="1"/>
    <x v="5"/>
    <x v="4"/>
    <x v="2"/>
    <n v="328.3"/>
    <n v="10157.700000000001"/>
    <n v="9514000"/>
    <b v="0"/>
    <b v="0"/>
    <n v="16000"/>
    <b v="0"/>
    <b v="0"/>
    <b v="0"/>
    <x v="0"/>
    <x v="5"/>
    <n v="63.485624999999999"/>
    <n v="0"/>
    <n v="0"/>
    <n v="3"/>
    <x v="1"/>
    <m/>
  </r>
  <r>
    <x v="6"/>
    <d v="2026-05-08T00:00:00"/>
    <d v="2026-05-09T00:00:00"/>
    <d v="2026-05-11T00:00:00"/>
    <d v="2026-05-13T00:00:00"/>
    <x v="2"/>
    <x v="6"/>
    <x v="0"/>
    <x v="0"/>
    <n v="128.1"/>
    <n v="942.5"/>
    <n v="2198000"/>
    <b v="0"/>
    <b v="0"/>
    <n v="1500"/>
    <b v="0"/>
    <b v="0"/>
    <b v="0"/>
    <x v="1"/>
    <x v="6"/>
    <n v="62.833333333333329"/>
    <n v="0"/>
    <n v="0"/>
    <n v="4"/>
    <x v="2"/>
    <n v="2"/>
  </r>
  <r>
    <x v="7"/>
    <d v="2026-05-19T00:00:00"/>
    <d v="2026-05-20T00:00:00"/>
    <d v="2026-05-22T00:00:00"/>
    <d v="2026-05-22T00:00:00"/>
    <x v="2"/>
    <x v="0"/>
    <x v="5"/>
    <x v="3"/>
    <n v="274.60000000000002"/>
    <n v="192.3"/>
    <n v="2690000"/>
    <b v="0"/>
    <b v="0"/>
    <n v="1000"/>
    <b v="0"/>
    <b v="0"/>
    <b v="0"/>
    <x v="0"/>
    <x v="7"/>
    <n v="19.23"/>
    <n v="0"/>
    <n v="0"/>
    <n v="2"/>
    <x v="2"/>
    <m/>
  </r>
  <r>
    <x v="8"/>
    <d v="2026-06-18T00:00:00"/>
    <d v="2026-06-20T00:00:00"/>
    <d v="2026-06-23T00:00:00"/>
    <d v="2026-06-23T00:00:00"/>
    <x v="1"/>
    <x v="2"/>
    <x v="2"/>
    <x v="3"/>
    <n v="341.7"/>
    <n v="140.6"/>
    <n v="2662000"/>
    <b v="0"/>
    <b v="0"/>
    <n v="1000"/>
    <b v="0"/>
    <b v="0"/>
    <b v="0"/>
    <x v="0"/>
    <x v="2"/>
    <n v="14.06"/>
    <n v="0"/>
    <n v="0"/>
    <n v="3"/>
    <x v="1"/>
    <m/>
  </r>
  <r>
    <x v="9"/>
    <d v="2026-04-17T00:00:00"/>
    <d v="2026-04-18T00:00:00"/>
    <d v="2026-04-20T00:00:00"/>
    <d v="2026-04-20T00:00:00"/>
    <x v="0"/>
    <x v="5"/>
    <x v="1"/>
    <x v="0"/>
    <n v="186.8"/>
    <n v="711.4"/>
    <n v="2404000"/>
    <b v="0"/>
    <b v="0"/>
    <n v="1500"/>
    <b v="0"/>
    <b v="0"/>
    <b v="0"/>
    <x v="0"/>
    <x v="8"/>
    <n v="47.426666666666669"/>
    <n v="0"/>
    <n v="0"/>
    <n v="2"/>
    <x v="4"/>
    <m/>
  </r>
  <r>
    <x v="10"/>
    <d v="2026-01-03T00:00:00"/>
    <d v="2026-01-04T00:00:00"/>
    <d v="2026-01-06T00:00:00"/>
    <d v="2026-01-06T00:00:00"/>
    <x v="1"/>
    <x v="6"/>
    <x v="1"/>
    <x v="0"/>
    <n v="151.80000000000001"/>
    <n v="180.3"/>
    <n v="1937000"/>
    <b v="0"/>
    <b v="0"/>
    <n v="1500"/>
    <b v="0"/>
    <b v="0"/>
    <b v="0"/>
    <x v="0"/>
    <x v="9"/>
    <n v="12.02"/>
    <n v="0"/>
    <n v="0"/>
    <n v="2"/>
    <x v="3"/>
    <m/>
  </r>
  <r>
    <x v="11"/>
    <d v="2026-01-31T00:00:00"/>
    <d v="2026-02-01T00:00:00"/>
    <d v="2026-02-03T00:00:00"/>
    <d v="2026-02-03T00:00:00"/>
    <x v="2"/>
    <x v="7"/>
    <x v="2"/>
    <x v="0"/>
    <n v="201"/>
    <n v="989.1"/>
    <n v="2685000"/>
    <b v="0"/>
    <b v="0"/>
    <n v="1500"/>
    <b v="0"/>
    <b v="0"/>
    <b v="0"/>
    <x v="0"/>
    <x v="10"/>
    <n v="65.94"/>
    <n v="0"/>
    <n v="0"/>
    <n v="2"/>
    <x v="5"/>
    <m/>
  </r>
  <r>
    <x v="12"/>
    <d v="2026-05-12T00:00:00"/>
    <d v="2026-05-13T00:00:00"/>
    <d v="2026-05-15T00:00:00"/>
    <d v="2026-05-16T00:00:00"/>
    <x v="2"/>
    <x v="0"/>
    <x v="0"/>
    <x v="1"/>
    <n v="282.7"/>
    <n v="3200.1"/>
    <n v="6295000"/>
    <b v="0"/>
    <b v="0"/>
    <n v="5000"/>
    <b v="0"/>
    <b v="0"/>
    <b v="0"/>
    <x v="1"/>
    <x v="7"/>
    <n v="64.00200000000001"/>
    <n v="0"/>
    <n v="0"/>
    <n v="3"/>
    <x v="2"/>
    <n v="1"/>
  </r>
  <r>
    <x v="13"/>
    <d v="2026-03-04T00:00:00"/>
    <d v="2026-03-05T00:00:00"/>
    <d v="2026-03-08T00:00:00"/>
    <d v="2026-03-11T00:00:00"/>
    <x v="1"/>
    <x v="2"/>
    <x v="2"/>
    <x v="3"/>
    <n v="352.4"/>
    <n v="512.6"/>
    <n v="3607000"/>
    <b v="0"/>
    <b v="0"/>
    <n v="1000"/>
    <b v="0"/>
    <b v="0"/>
    <b v="0"/>
    <x v="1"/>
    <x v="2"/>
    <n v="51.260000000000012"/>
    <n v="0"/>
    <n v="0"/>
    <n v="6"/>
    <x v="6"/>
    <n v="3"/>
  </r>
  <r>
    <x v="14"/>
    <d v="2026-05-25T00:00:00"/>
    <d v="2026-05-26T00:00:00"/>
    <d v="2026-05-29T00:00:00"/>
    <d v="2026-05-29T00:00:00"/>
    <x v="1"/>
    <x v="5"/>
    <x v="0"/>
    <x v="1"/>
    <n v="331.8"/>
    <n v="42000"/>
    <n v="5976000"/>
    <b v="0"/>
    <b v="0"/>
    <n v="5000"/>
    <b v="1"/>
    <b v="0"/>
    <b v="1"/>
    <x v="0"/>
    <x v="5"/>
    <m/>
    <n v="1"/>
    <n v="1"/>
    <n v="3"/>
    <x v="2"/>
    <m/>
  </r>
  <r>
    <x v="15"/>
    <d v="2026-06-22T00:00:00"/>
    <d v="2026-06-23T00:00:00"/>
    <d v="2026-06-26T00:00:00"/>
    <d v="2026-06-25T00:00:00"/>
    <x v="3"/>
    <x v="0"/>
    <x v="2"/>
    <x v="1"/>
    <n v="579.9"/>
    <n v="4271.3999999999996"/>
    <n v="9809000"/>
    <b v="0"/>
    <b v="0"/>
    <n v="5000"/>
    <b v="0"/>
    <b v="0"/>
    <b v="0"/>
    <x v="0"/>
    <x v="11"/>
    <n v="85.427999999999997"/>
    <n v="0"/>
    <n v="0"/>
    <n v="2"/>
    <x v="1"/>
    <m/>
  </r>
  <r>
    <x v="16"/>
    <d v="2026-05-30T00:00:00"/>
    <d v="2026-06-01T00:00:00"/>
    <d v="2026-06-04T00:00:00"/>
    <d v="2026-06-05T00:00:00"/>
    <x v="1"/>
    <x v="0"/>
    <x v="0"/>
    <x v="0"/>
    <n v="315.7"/>
    <n v="1151.3"/>
    <n v="4680000"/>
    <b v="0"/>
    <b v="0"/>
    <n v="1500"/>
    <b v="0"/>
    <b v="0"/>
    <b v="0"/>
    <x v="1"/>
    <x v="12"/>
    <n v="76.75333333333333"/>
    <n v="0"/>
    <n v="0"/>
    <n v="4"/>
    <x v="1"/>
    <n v="1"/>
  </r>
  <r>
    <x v="17"/>
    <d v="2026-04-04T00:00:00"/>
    <d v="2026-04-05T00:00:00"/>
    <d v="2026-04-07T00:00:00"/>
    <d v="2026-04-07T00:00:00"/>
    <x v="2"/>
    <x v="7"/>
    <x v="1"/>
    <x v="1"/>
    <n v="193.3"/>
    <n v="1050.0999999999999"/>
    <n v="3779000"/>
    <b v="0"/>
    <b v="0"/>
    <n v="5000"/>
    <b v="0"/>
    <b v="0"/>
    <b v="0"/>
    <x v="0"/>
    <x v="10"/>
    <n v="21.001999999999999"/>
    <n v="0"/>
    <n v="0"/>
    <n v="2"/>
    <x v="4"/>
    <m/>
  </r>
  <r>
    <x v="18"/>
    <d v="2026-01-24T00:00:00"/>
    <d v="2026-01-24T00:00:00"/>
    <d v="2026-01-27T00:00:00"/>
    <d v="2026-01-27T00:00:00"/>
    <x v="3"/>
    <x v="6"/>
    <x v="5"/>
    <x v="1"/>
    <n v="487.5"/>
    <n v="4467.6000000000004"/>
    <n v="8045000"/>
    <b v="0"/>
    <b v="0"/>
    <n v="5000"/>
    <b v="0"/>
    <b v="0"/>
    <b v="0"/>
    <x v="0"/>
    <x v="13"/>
    <n v="89.352000000000004"/>
    <n v="0"/>
    <n v="0"/>
    <n v="3"/>
    <x v="3"/>
    <m/>
  </r>
  <r>
    <x v="19"/>
    <d v="2026-02-05T00:00:00"/>
    <d v="2026-02-06T00:00:00"/>
    <d v="2026-02-09T00:00:00"/>
    <d v="2026-02-08T00:00:00"/>
    <x v="3"/>
    <x v="2"/>
    <x v="1"/>
    <x v="1"/>
    <n v="297.3"/>
    <n v="1200.2"/>
    <n v="4933000"/>
    <b v="0"/>
    <b v="0"/>
    <n v="5000"/>
    <b v="0"/>
    <b v="0"/>
    <b v="0"/>
    <x v="0"/>
    <x v="14"/>
    <n v="24.004000000000001"/>
    <n v="0"/>
    <n v="0"/>
    <n v="2"/>
    <x v="5"/>
    <m/>
  </r>
  <r>
    <x v="20"/>
    <d v="2026-04-23T00:00:00"/>
    <d v="2026-04-25T00:00:00"/>
    <d v="2026-04-28T00:00:00"/>
    <d v="2026-04-27T00:00:00"/>
    <x v="3"/>
    <x v="8"/>
    <x v="3"/>
    <x v="1"/>
    <n v="576.1"/>
    <n v="2213.1999999999998"/>
    <n v="8080000"/>
    <b v="0"/>
    <b v="0"/>
    <n v="5000"/>
    <b v="0"/>
    <b v="0"/>
    <b v="0"/>
    <x v="0"/>
    <x v="15"/>
    <n v="44.264000000000003"/>
    <n v="0"/>
    <n v="0"/>
    <n v="2"/>
    <x v="4"/>
    <m/>
  </r>
  <r>
    <x v="21"/>
    <d v="2026-04-11T00:00:00"/>
    <d v="2026-04-11T00:00:00"/>
    <d v="2026-04-15T00:00:00"/>
    <d v="2026-04-15T00:00:00"/>
    <x v="2"/>
    <x v="4"/>
    <x v="1"/>
    <x v="0"/>
    <n v="760"/>
    <n v="1036.9000000000001"/>
    <n v="6810000"/>
    <b v="0"/>
    <b v="0"/>
    <n v="1500"/>
    <b v="0"/>
    <b v="0"/>
    <b v="0"/>
    <x v="0"/>
    <x v="4"/>
    <n v="69.126666666666665"/>
    <n v="0"/>
    <n v="0"/>
    <n v="4"/>
    <x v="4"/>
    <m/>
  </r>
  <r>
    <x v="22"/>
    <d v="2026-03-17T00:00:00"/>
    <d v="2026-03-18T00:00:00"/>
    <d v="2026-03-21T00:00:00"/>
    <d v="2026-03-21T00:00:00"/>
    <x v="1"/>
    <x v="2"/>
    <x v="3"/>
    <x v="1"/>
    <n v="344.4"/>
    <n v="2591.1999999999998"/>
    <n v="6387000"/>
    <b v="0"/>
    <b v="0"/>
    <n v="5000"/>
    <b v="0"/>
    <b v="0"/>
    <b v="0"/>
    <x v="0"/>
    <x v="2"/>
    <n v="51.823999999999991"/>
    <n v="0"/>
    <n v="0"/>
    <n v="3"/>
    <x v="6"/>
    <m/>
  </r>
  <r>
    <x v="23"/>
    <d v="2026-06-27T00:00:00"/>
    <d v="2026-06-28T00:00:00"/>
    <d v="2026-07-01T00:00:00"/>
    <d v="2026-07-02T00:00:00"/>
    <x v="2"/>
    <x v="1"/>
    <x v="2"/>
    <x v="1"/>
    <n v="309.10000000000002"/>
    <n v="4381.7"/>
    <n v="6517000"/>
    <b v="0"/>
    <b v="0"/>
    <n v="5000"/>
    <b v="0"/>
    <b v="0"/>
    <b v="0"/>
    <x v="1"/>
    <x v="16"/>
    <n v="87.634"/>
    <n v="0"/>
    <n v="0"/>
    <n v="4"/>
    <x v="1"/>
    <n v="1"/>
  </r>
  <r>
    <x v="24"/>
    <d v="2026-03-28T00:00:00"/>
    <d v="2026-03-29T00:00:00"/>
    <d v="2026-03-31T00:00:00"/>
    <d v="2026-04-01T00:00:00"/>
    <x v="2"/>
    <x v="5"/>
    <x v="3"/>
    <x v="2"/>
    <n v="287.60000000000002"/>
    <n v="6143.4"/>
    <n v="7208000"/>
    <b v="0"/>
    <b v="0"/>
    <n v="16000"/>
    <b v="0"/>
    <b v="0"/>
    <b v="0"/>
    <x v="1"/>
    <x v="17"/>
    <n v="38.396249999999988"/>
    <n v="0"/>
    <n v="0"/>
    <n v="3"/>
    <x v="6"/>
    <n v="1"/>
  </r>
  <r>
    <x v="25"/>
    <d v="2026-05-30T00:00:00"/>
    <d v="2026-06-01T00:00:00"/>
    <d v="2026-06-02T00:00:00"/>
    <d v="2026-06-03T00:00:00"/>
    <x v="2"/>
    <x v="8"/>
    <x v="1"/>
    <x v="0"/>
    <n v="17.3"/>
    <n v="1337.2"/>
    <n v="1322000"/>
    <b v="0"/>
    <b v="0"/>
    <n v="1500"/>
    <b v="0"/>
    <b v="0"/>
    <b v="0"/>
    <x v="1"/>
    <x v="18"/>
    <n v="89.146666666666675"/>
    <n v="0"/>
    <n v="0"/>
    <n v="2"/>
    <x v="1"/>
    <n v="1"/>
  </r>
  <r>
    <x v="26"/>
    <d v="2026-01-10T00:00:00"/>
    <d v="2026-01-11T00:00:00"/>
    <d v="2026-01-13T00:00:00"/>
    <d v="2026-01-13T00:00:00"/>
    <x v="2"/>
    <x v="7"/>
    <x v="2"/>
    <x v="1"/>
    <n v="179.5"/>
    <n v="1480"/>
    <n v="3179000"/>
    <b v="0"/>
    <b v="0"/>
    <n v="5000"/>
    <b v="0"/>
    <b v="0"/>
    <b v="0"/>
    <x v="0"/>
    <x v="10"/>
    <n v="29.6"/>
    <n v="0"/>
    <n v="0"/>
    <n v="2"/>
    <x v="3"/>
    <m/>
  </r>
  <r>
    <x v="27"/>
    <d v="2026-04-09T00:00:00"/>
    <d v="2026-04-10T00:00:00"/>
    <d v="2026-04-13T00:00:00"/>
    <d v="2026-04-13T00:00:00"/>
    <x v="2"/>
    <x v="1"/>
    <x v="5"/>
    <x v="3"/>
    <n v="308.7"/>
    <n v="266.8"/>
    <n v="2989000"/>
    <b v="0"/>
    <b v="0"/>
    <n v="1000"/>
    <b v="0"/>
    <b v="0"/>
    <b v="0"/>
    <x v="0"/>
    <x v="16"/>
    <n v="26.68"/>
    <n v="0"/>
    <n v="0"/>
    <n v="3"/>
    <x v="4"/>
    <m/>
  </r>
  <r>
    <x v="28"/>
    <d v="2026-04-26T00:00:00"/>
    <d v="2026-04-27T00:00:00"/>
    <d v="2026-04-30T00:00:00"/>
    <d v="2026-04-30T00:00:00"/>
    <x v="2"/>
    <x v="0"/>
    <x v="3"/>
    <x v="1"/>
    <n v="301.60000000000002"/>
    <n v="1029.2"/>
    <n v="4609000"/>
    <b v="0"/>
    <b v="0"/>
    <n v="5000"/>
    <b v="0"/>
    <b v="0"/>
    <b v="0"/>
    <x v="0"/>
    <x v="7"/>
    <n v="20.584"/>
    <n v="0"/>
    <n v="0"/>
    <n v="3"/>
    <x v="4"/>
    <m/>
  </r>
  <r>
    <x v="29"/>
    <d v="2026-05-14T00:00:00"/>
    <d v="2026-05-15T00:00:00"/>
    <d v="2026-05-17T00:00:00"/>
    <d v="2026-05-17T00:00:00"/>
    <x v="1"/>
    <x v="0"/>
    <x v="5"/>
    <x v="3"/>
    <n v="287.10000000000002"/>
    <n v="394.2"/>
    <n v="2806000"/>
    <b v="0"/>
    <b v="0"/>
    <n v="1000"/>
    <b v="0"/>
    <b v="0"/>
    <b v="0"/>
    <x v="0"/>
    <x v="12"/>
    <n v="39.42"/>
    <n v="0"/>
    <n v="0"/>
    <n v="2"/>
    <x v="2"/>
    <m/>
  </r>
  <r>
    <x v="30"/>
    <d v="2026-06-01T00:00:00"/>
    <d v="2026-06-02T00:00:00"/>
    <d v="2026-06-03T00:00:00"/>
    <d v="2026-06-04T00:00:00"/>
    <x v="0"/>
    <x v="6"/>
    <x v="1"/>
    <x v="0"/>
    <n v="16.3"/>
    <n v="406.1"/>
    <n v="694000"/>
    <b v="0"/>
    <b v="0"/>
    <n v="1500"/>
    <b v="0"/>
    <b v="0"/>
    <b v="0"/>
    <x v="1"/>
    <x v="19"/>
    <n v="27.073333333333331"/>
    <n v="0"/>
    <n v="0"/>
    <n v="2"/>
    <x v="1"/>
    <n v="1"/>
  </r>
  <r>
    <x v="31"/>
    <d v="2026-05-31T00:00:00"/>
    <d v="2026-06-01T00:00:00"/>
    <d v="2026-06-05T00:00:00"/>
    <d v="2026-06-05T00:00:00"/>
    <x v="2"/>
    <x v="9"/>
    <x v="1"/>
    <x v="2"/>
    <n v="475.6"/>
    <n v="9834.9"/>
    <n v="11666000"/>
    <b v="0"/>
    <b v="0"/>
    <n v="16000"/>
    <b v="0"/>
    <b v="0"/>
    <b v="0"/>
    <x v="0"/>
    <x v="20"/>
    <n v="61.468124999999993"/>
    <n v="0"/>
    <n v="0"/>
    <n v="4"/>
    <x v="1"/>
    <m/>
  </r>
  <r>
    <x v="32"/>
    <d v="2026-03-11T00:00:00"/>
    <d v="2026-03-13T00:00:00"/>
    <d v="2026-03-15T00:00:00"/>
    <d v="2026-03-15T00:00:00"/>
    <x v="1"/>
    <x v="0"/>
    <x v="5"/>
    <x v="1"/>
    <n v="290.39999999999998"/>
    <n v="2434.4"/>
    <n v="4934000"/>
    <b v="0"/>
    <b v="0"/>
    <n v="5000"/>
    <b v="0"/>
    <b v="0"/>
    <b v="0"/>
    <x v="0"/>
    <x v="12"/>
    <n v="48.688000000000002"/>
    <n v="0"/>
    <n v="0"/>
    <n v="2"/>
    <x v="6"/>
    <m/>
  </r>
  <r>
    <x v="33"/>
    <d v="2026-06-05T00:00:00"/>
    <d v="2026-06-06T00:00:00"/>
    <d v="2026-06-09T00:00:00"/>
    <d v="2026-06-09T00:00:00"/>
    <x v="3"/>
    <x v="1"/>
    <x v="2"/>
    <x v="1"/>
    <n v="531.9"/>
    <n v="4160.5"/>
    <n v="9898000"/>
    <b v="0"/>
    <b v="0"/>
    <n v="5000"/>
    <b v="0"/>
    <b v="0"/>
    <b v="0"/>
    <x v="0"/>
    <x v="21"/>
    <n v="83.21"/>
    <n v="0"/>
    <n v="0"/>
    <n v="3"/>
    <x v="1"/>
    <m/>
  </r>
  <r>
    <x v="34"/>
    <d v="2026-01-24T00:00:00"/>
    <d v="2026-01-25T00:00:00"/>
    <d v="2026-01-27T00:00:00"/>
    <d v="2026-01-28T00:00:00"/>
    <x v="0"/>
    <x v="8"/>
    <x v="1"/>
    <x v="0"/>
    <n v="125.2"/>
    <n v="994.5"/>
    <n v="2309000"/>
    <b v="0"/>
    <b v="0"/>
    <n v="1500"/>
    <b v="0"/>
    <b v="0"/>
    <b v="0"/>
    <x v="1"/>
    <x v="22"/>
    <n v="66.3"/>
    <n v="0"/>
    <n v="0"/>
    <n v="3"/>
    <x v="3"/>
    <n v="1"/>
  </r>
  <r>
    <x v="35"/>
    <d v="2026-06-22T00:00:00"/>
    <d v="2026-06-23T00:00:00"/>
    <d v="2026-06-25T00:00:00"/>
    <d v="2026-06-25T00:00:00"/>
    <x v="0"/>
    <x v="2"/>
    <x v="5"/>
    <x v="3"/>
    <n v="169.1"/>
    <n v="578.70000000000005"/>
    <n v="2245000"/>
    <b v="0"/>
    <b v="0"/>
    <n v="1000"/>
    <b v="0"/>
    <b v="0"/>
    <b v="0"/>
    <x v="0"/>
    <x v="23"/>
    <n v="57.87"/>
    <n v="0"/>
    <n v="0"/>
    <n v="2"/>
    <x v="1"/>
    <m/>
  </r>
  <r>
    <x v="36"/>
    <d v="2026-04-16T00:00:00"/>
    <d v="2026-04-16T00:00:00"/>
    <d v="2026-04-18T00:00:00"/>
    <d v="2026-04-18T00:00:00"/>
    <x v="2"/>
    <x v="6"/>
    <x v="2"/>
    <x v="1"/>
    <n v="121.5"/>
    <n v="3527.4"/>
    <n v="3750000"/>
    <b v="0"/>
    <b v="0"/>
    <n v="5000"/>
    <b v="0"/>
    <b v="0"/>
    <b v="0"/>
    <x v="0"/>
    <x v="6"/>
    <n v="70.548000000000002"/>
    <n v="0"/>
    <n v="0"/>
    <n v="2"/>
    <x v="4"/>
    <m/>
  </r>
  <r>
    <x v="37"/>
    <d v="2026-01-05T00:00:00"/>
    <d v="2026-01-06T00:00:00"/>
    <d v="2026-01-09T00:00:00"/>
    <d v="2026-01-09T00:00:00"/>
    <x v="1"/>
    <x v="9"/>
    <x v="5"/>
    <x v="3"/>
    <n v="455.7"/>
    <n v="781.9"/>
    <n v="4408000"/>
    <b v="0"/>
    <b v="0"/>
    <n v="1000"/>
    <b v="0"/>
    <b v="0"/>
    <b v="0"/>
    <x v="0"/>
    <x v="24"/>
    <n v="78.19"/>
    <n v="0"/>
    <n v="0"/>
    <n v="3"/>
    <x v="3"/>
    <m/>
  </r>
  <r>
    <x v="38"/>
    <d v="2026-02-02T00:00:00"/>
    <d v="2026-02-03T00:00:00"/>
    <d v="2026-02-06T00:00:00"/>
    <d v="2026-02-06T00:00:00"/>
    <x v="1"/>
    <x v="1"/>
    <x v="0"/>
    <x v="2"/>
    <n v="315"/>
    <n v="8580.9"/>
    <n v="9136000"/>
    <b v="0"/>
    <b v="0"/>
    <n v="16000"/>
    <b v="0"/>
    <b v="0"/>
    <b v="0"/>
    <x v="0"/>
    <x v="25"/>
    <n v="53.630624999999988"/>
    <n v="0"/>
    <n v="0"/>
    <n v="3"/>
    <x v="5"/>
    <m/>
  </r>
  <r>
    <x v="39"/>
    <d v="2026-03-01T00:00:00"/>
    <d v="2026-03-02T00:00:00"/>
    <d v="2026-03-04T00:00:00"/>
    <d v="2026-03-04T00:00:00"/>
    <x v="1"/>
    <x v="7"/>
    <x v="1"/>
    <x v="1"/>
    <n v="156.80000000000001"/>
    <n v="2261.1999999999998"/>
    <n v="3263000"/>
    <b v="0"/>
    <b v="0"/>
    <n v="5000"/>
    <b v="0"/>
    <b v="0"/>
    <b v="0"/>
    <x v="0"/>
    <x v="26"/>
    <n v="45.223999999999997"/>
    <n v="0"/>
    <n v="0"/>
    <n v="2"/>
    <x v="6"/>
    <m/>
  </r>
  <r>
    <x v="40"/>
    <d v="2026-04-06T00:00:00"/>
    <d v="2026-04-08T00:00:00"/>
    <d v="2026-04-11T00:00:00"/>
    <d v="2026-04-14T00:00:00"/>
    <x v="1"/>
    <x v="2"/>
    <x v="1"/>
    <x v="1"/>
    <n v="333.5"/>
    <n v="2104.3000000000002"/>
    <n v="5467000"/>
    <b v="0"/>
    <b v="0"/>
    <n v="5000"/>
    <b v="0"/>
    <b v="0"/>
    <b v="0"/>
    <x v="1"/>
    <x v="2"/>
    <n v="42.085999999999999"/>
    <n v="0"/>
    <n v="0"/>
    <n v="6"/>
    <x v="4"/>
    <n v="3"/>
  </r>
  <r>
    <x v="41"/>
    <d v="2026-03-13T00:00:00"/>
    <d v="2026-03-14T00:00:00"/>
    <d v="2026-03-17T00:00:00"/>
    <d v="2026-03-17T00:00:00"/>
    <x v="2"/>
    <x v="9"/>
    <x v="1"/>
    <x v="1"/>
    <n v="470.3"/>
    <n v="2742.1"/>
    <n v="7142000"/>
    <b v="0"/>
    <b v="0"/>
    <n v="5000"/>
    <b v="0"/>
    <b v="0"/>
    <b v="0"/>
    <x v="0"/>
    <x v="20"/>
    <n v="54.841999999999999"/>
    <n v="0"/>
    <n v="0"/>
    <n v="3"/>
    <x v="6"/>
    <m/>
  </r>
  <r>
    <x v="42"/>
    <d v="2026-04-26T00:00:00"/>
    <d v="2026-04-27T00:00:00"/>
    <d v="2026-04-29T00:00:00"/>
    <d v="2026-05-01T00:00:00"/>
    <x v="2"/>
    <x v="5"/>
    <x v="0"/>
    <x v="0"/>
    <n v="299.39999999999998"/>
    <n v="774.6"/>
    <n v="3954000"/>
    <b v="0"/>
    <b v="0"/>
    <n v="1500"/>
    <b v="0"/>
    <b v="0"/>
    <b v="0"/>
    <x v="1"/>
    <x v="17"/>
    <n v="51.64"/>
    <n v="0"/>
    <n v="0"/>
    <n v="4"/>
    <x v="4"/>
    <n v="2"/>
  </r>
  <r>
    <x v="43"/>
    <d v="2026-06-03T00:00:00"/>
    <d v="2026-06-03T00:00:00"/>
    <d v="2026-06-05T00:00:00"/>
    <d v="2026-06-05T00:00:00"/>
    <x v="1"/>
    <x v="0"/>
    <x v="5"/>
    <x v="0"/>
    <n v="278.2"/>
    <n v="1224.4000000000001"/>
    <n v="4036000"/>
    <b v="0"/>
    <b v="0"/>
    <n v="1500"/>
    <b v="0"/>
    <b v="0"/>
    <b v="0"/>
    <x v="0"/>
    <x v="12"/>
    <n v="81.626666666666665"/>
    <n v="0"/>
    <n v="0"/>
    <n v="2"/>
    <x v="1"/>
    <m/>
  </r>
  <r>
    <x v="44"/>
    <d v="2026-06-16T00:00:00"/>
    <d v="2026-06-17T00:00:00"/>
    <d v="2026-06-19T00:00:00"/>
    <d v="2026-06-19T00:00:00"/>
    <x v="2"/>
    <x v="5"/>
    <x v="0"/>
    <x v="0"/>
    <n v="292.10000000000002"/>
    <n v="1142.7"/>
    <n v="4031000"/>
    <b v="0"/>
    <b v="0"/>
    <n v="1500"/>
    <b v="0"/>
    <b v="0"/>
    <b v="0"/>
    <x v="0"/>
    <x v="17"/>
    <n v="76.180000000000007"/>
    <n v="0"/>
    <n v="0"/>
    <n v="2"/>
    <x v="1"/>
    <m/>
  </r>
  <r>
    <x v="45"/>
    <d v="2026-06-25T00:00:00"/>
    <d v="2026-06-26T00:00:00"/>
    <d v="2026-06-28T00:00:00"/>
    <d v="2026-06-30T00:00:00"/>
    <x v="2"/>
    <x v="5"/>
    <x v="2"/>
    <x v="1"/>
    <n v="293.10000000000002"/>
    <n v="2287.8000000000002"/>
    <n v="4824000"/>
    <b v="0"/>
    <b v="0"/>
    <n v="5000"/>
    <b v="0"/>
    <b v="0"/>
    <b v="0"/>
    <x v="1"/>
    <x v="17"/>
    <n v="45.756"/>
    <n v="0"/>
    <n v="0"/>
    <n v="4"/>
    <x v="1"/>
    <n v="2"/>
  </r>
  <r>
    <x v="46"/>
    <d v="2026-04-04T00:00:00"/>
    <d v="2026-04-04T00:00:00"/>
    <d v="2026-04-05T00:00:00"/>
    <d v="2026-04-05T00:00:00"/>
    <x v="1"/>
    <x v="10"/>
    <x v="5"/>
    <x v="3"/>
    <n v="26.6"/>
    <n v="169.5"/>
    <n v="569000"/>
    <b v="0"/>
    <b v="0"/>
    <n v="1000"/>
    <b v="0"/>
    <b v="0"/>
    <b v="0"/>
    <x v="0"/>
    <x v="27"/>
    <n v="16.95"/>
    <n v="0"/>
    <n v="0"/>
    <n v="1"/>
    <x v="4"/>
    <m/>
  </r>
  <r>
    <x v="47"/>
    <d v="2026-01-20T00:00:00"/>
    <d v="2026-01-21T00:00:00"/>
    <d v="2026-01-22T00:00:00"/>
    <d v="2026-01-22T00:00:00"/>
    <x v="1"/>
    <x v="8"/>
    <x v="2"/>
    <x v="3"/>
    <n v="54.4"/>
    <n v="168.2"/>
    <n v="943000"/>
    <b v="0"/>
    <b v="0"/>
    <n v="1000"/>
    <b v="0"/>
    <b v="0"/>
    <b v="0"/>
    <x v="0"/>
    <x v="28"/>
    <n v="16.82"/>
    <n v="0"/>
    <n v="0"/>
    <n v="1"/>
    <x v="3"/>
    <m/>
  </r>
  <r>
    <x v="48"/>
    <d v="2026-05-13T00:00:00"/>
    <d v="2026-05-14T00:00:00"/>
    <d v="2026-05-17T00:00:00"/>
    <d v="2026-05-17T00:00:00"/>
    <x v="1"/>
    <x v="5"/>
    <x v="0"/>
    <x v="2"/>
    <n v="306.7"/>
    <n v="12621.1"/>
    <n v="10251000"/>
    <b v="0"/>
    <b v="0"/>
    <n v="16000"/>
    <b v="0"/>
    <b v="0"/>
    <b v="0"/>
    <x v="0"/>
    <x v="5"/>
    <n v="78.881875000000008"/>
    <n v="0"/>
    <n v="0"/>
    <n v="3"/>
    <x v="2"/>
    <m/>
  </r>
  <r>
    <x v="49"/>
    <d v="2026-06-24T00:00:00"/>
    <d v="2026-06-25T00:00:00"/>
    <d v="2026-06-27T00:00:00"/>
    <d v="2026-06-28T00:00:00"/>
    <x v="1"/>
    <x v="7"/>
    <x v="2"/>
    <x v="0"/>
    <n v="144.80000000000001"/>
    <n v="1193.5"/>
    <n v="2451000"/>
    <b v="0"/>
    <b v="0"/>
    <n v="1500"/>
    <b v="0"/>
    <b v="0"/>
    <b v="0"/>
    <x v="1"/>
    <x v="26"/>
    <n v="79.566666666666663"/>
    <n v="0"/>
    <n v="0"/>
    <n v="3"/>
    <x v="1"/>
    <n v="1"/>
  </r>
  <r>
    <x v="50"/>
    <d v="2026-03-28T00:00:00"/>
    <d v="2026-03-29T00:00:00"/>
    <d v="2026-04-02T00:00:00"/>
    <d v="2026-04-03T00:00:00"/>
    <x v="2"/>
    <x v="9"/>
    <x v="3"/>
    <x v="2"/>
    <n v="470.2"/>
    <n v="5323.1"/>
    <n v="10422000"/>
    <b v="0"/>
    <b v="0"/>
    <n v="16000"/>
    <b v="0"/>
    <b v="0"/>
    <b v="0"/>
    <x v="1"/>
    <x v="20"/>
    <n v="33.269374999999997"/>
    <n v="0"/>
    <n v="0"/>
    <n v="5"/>
    <x v="6"/>
    <n v="1"/>
  </r>
  <r>
    <x v="51"/>
    <d v="2026-02-01T00:00:00"/>
    <d v="2026-02-02T00:00:00"/>
    <d v="2026-02-04T00:00:00"/>
    <d v="2026-02-05T00:00:00"/>
    <x v="0"/>
    <x v="8"/>
    <x v="2"/>
    <x v="2"/>
    <n v="122.5"/>
    <n v="13060.6"/>
    <n v="7055000"/>
    <b v="0"/>
    <b v="0"/>
    <n v="16000"/>
    <b v="0"/>
    <b v="0"/>
    <b v="0"/>
    <x v="1"/>
    <x v="22"/>
    <n v="81.628750000000011"/>
    <n v="0"/>
    <n v="0"/>
    <n v="3"/>
    <x v="5"/>
    <n v="1"/>
  </r>
  <r>
    <x v="52"/>
    <d v="2026-06-09T00:00:00"/>
    <d v="2026-06-11T00:00:00"/>
    <d v="2026-06-16T00:00:00"/>
    <d v="2026-06-16T00:00:00"/>
    <x v="3"/>
    <x v="0"/>
    <x v="0"/>
    <x v="0"/>
    <n v="638.29999999999995"/>
    <n v="574.4"/>
    <n v="7590000"/>
    <b v="0"/>
    <b v="0"/>
    <n v="1500"/>
    <b v="0"/>
    <b v="0"/>
    <b v="0"/>
    <x v="0"/>
    <x v="11"/>
    <n v="38.293333333333329"/>
    <n v="0"/>
    <n v="0"/>
    <n v="5"/>
    <x v="1"/>
    <m/>
  </r>
  <r>
    <x v="53"/>
    <d v="2026-02-17T00:00:00"/>
    <d v="2026-02-17T00:00:00"/>
    <d v="2026-02-19T00:00:00"/>
    <d v="2026-02-19T00:00:00"/>
    <x v="2"/>
    <x v="2"/>
    <x v="0"/>
    <x v="2"/>
    <n v="295.2"/>
    <n v="8981.9"/>
    <n v="8101000"/>
    <b v="0"/>
    <b v="0"/>
    <n v="16000"/>
    <b v="0"/>
    <b v="0"/>
    <b v="0"/>
    <x v="0"/>
    <x v="29"/>
    <n v="56.136875000000003"/>
    <n v="0"/>
    <n v="0"/>
    <n v="2"/>
    <x v="5"/>
    <m/>
  </r>
  <r>
    <x v="54"/>
    <d v="2026-06-28T00:00:00"/>
    <d v="2026-06-29T00:00:00"/>
    <d v="2026-07-03T00:00:00"/>
    <d v="2026-07-03T00:00:00"/>
    <x v="2"/>
    <x v="3"/>
    <x v="5"/>
    <x v="0"/>
    <n v="929.8"/>
    <n v="806.5"/>
    <n v="9579000"/>
    <b v="0"/>
    <b v="0"/>
    <n v="1500"/>
    <b v="0"/>
    <b v="0"/>
    <b v="0"/>
    <x v="0"/>
    <x v="3"/>
    <n v="53.766666666666673"/>
    <n v="0"/>
    <n v="0"/>
    <n v="4"/>
    <x v="1"/>
    <m/>
  </r>
  <r>
    <x v="55"/>
    <d v="2026-06-19T00:00:00"/>
    <d v="2026-06-20T00:00:00"/>
    <d v="2026-06-22T00:00:00"/>
    <d v="2026-06-22T00:00:00"/>
    <x v="1"/>
    <x v="7"/>
    <x v="1"/>
    <x v="0"/>
    <n v="159.30000000000001"/>
    <n v="253.6"/>
    <n v="2138000"/>
    <b v="0"/>
    <b v="0"/>
    <n v="1500"/>
    <b v="0"/>
    <b v="0"/>
    <b v="0"/>
    <x v="0"/>
    <x v="26"/>
    <n v="16.90666666666667"/>
    <n v="0"/>
    <n v="0"/>
    <n v="2"/>
    <x v="1"/>
    <m/>
  </r>
  <r>
    <x v="56"/>
    <d v="2026-05-21T00:00:00"/>
    <d v="2026-05-21T00:00:00"/>
    <d v="2026-05-24T00:00:00"/>
    <d v="2026-05-26T00:00:00"/>
    <x v="0"/>
    <x v="0"/>
    <x v="2"/>
    <x v="2"/>
    <n v="328.9"/>
    <n v="6284.9"/>
    <n v="9044000"/>
    <b v="0"/>
    <b v="0"/>
    <n v="16000"/>
    <b v="0"/>
    <b v="0"/>
    <b v="0"/>
    <x v="1"/>
    <x v="0"/>
    <n v="39.280624999999993"/>
    <n v="0"/>
    <n v="0"/>
    <n v="5"/>
    <x v="2"/>
    <n v="2"/>
  </r>
  <r>
    <x v="57"/>
    <d v="2026-06-18T00:00:00"/>
    <d v="2026-06-20T00:00:00"/>
    <d v="2026-06-22T00:00:00"/>
    <d v="2026-06-22T00:00:00"/>
    <x v="0"/>
    <x v="2"/>
    <x v="2"/>
    <x v="1"/>
    <n v="174.4"/>
    <n v="2814.2"/>
    <n v="4454000"/>
    <b v="0"/>
    <b v="0"/>
    <n v="5000"/>
    <b v="0"/>
    <b v="0"/>
    <b v="0"/>
    <x v="0"/>
    <x v="23"/>
    <n v="56.283999999999999"/>
    <n v="0"/>
    <n v="0"/>
    <n v="2"/>
    <x v="1"/>
    <m/>
  </r>
  <r>
    <x v="58"/>
    <d v="2026-05-13T00:00:00"/>
    <d v="2026-05-14T00:00:00"/>
    <d v="2026-05-15T00:00:00"/>
    <d v="2026-05-15T00:00:00"/>
    <x v="1"/>
    <x v="8"/>
    <x v="5"/>
    <x v="2"/>
    <n v="53.9"/>
    <n v="8640.4"/>
    <n v="4009000"/>
    <b v="0"/>
    <b v="0"/>
    <n v="16000"/>
    <b v="0"/>
    <b v="0"/>
    <b v="0"/>
    <x v="0"/>
    <x v="28"/>
    <n v="54.002499999999998"/>
    <n v="0"/>
    <n v="0"/>
    <n v="1"/>
    <x v="2"/>
    <m/>
  </r>
  <r>
    <x v="59"/>
    <d v="2026-03-25T00:00:00"/>
    <d v="2026-03-26T00:00:00"/>
    <d v="2026-03-28T00:00:00"/>
    <d v="2026-03-30T00:00:00"/>
    <x v="3"/>
    <x v="2"/>
    <x v="1"/>
    <x v="0"/>
    <n v="299.10000000000002"/>
    <n v="551.20000000000005"/>
    <n v="3681000"/>
    <b v="0"/>
    <b v="0"/>
    <n v="1500"/>
    <b v="0"/>
    <b v="0"/>
    <b v="0"/>
    <x v="1"/>
    <x v="14"/>
    <n v="36.74666666666667"/>
    <n v="0"/>
    <n v="0"/>
    <n v="4"/>
    <x v="6"/>
    <n v="2"/>
  </r>
  <r>
    <x v="60"/>
    <d v="2026-02-12T00:00:00"/>
    <d v="2026-02-13T00:00:00"/>
    <d v="2026-02-18T00:00:00"/>
    <d v="2026-02-18T00:00:00"/>
    <x v="0"/>
    <x v="4"/>
    <x v="1"/>
    <x v="0"/>
    <n v="603.4"/>
    <n v="1085.7"/>
    <n v="6408000"/>
    <b v="0"/>
    <b v="0"/>
    <n v="1500"/>
    <b v="0"/>
    <b v="0"/>
    <b v="0"/>
    <x v="0"/>
    <x v="30"/>
    <n v="72.38"/>
    <n v="0"/>
    <n v="0"/>
    <n v="5"/>
    <x v="5"/>
    <m/>
  </r>
  <r>
    <x v="61"/>
    <d v="2026-04-08T00:00:00"/>
    <d v="2026-04-09T00:00:00"/>
    <d v="2026-04-12T00:00:00"/>
    <d v="2026-04-14T00:00:00"/>
    <x v="1"/>
    <x v="9"/>
    <x v="0"/>
    <x v="1"/>
    <n v="428.6"/>
    <n v="3307.7"/>
    <n v="7005000"/>
    <b v="0"/>
    <b v="0"/>
    <n v="5000"/>
    <b v="0"/>
    <b v="0"/>
    <b v="0"/>
    <x v="1"/>
    <x v="24"/>
    <n v="66.153999999999996"/>
    <n v="0"/>
    <n v="0"/>
    <n v="5"/>
    <x v="4"/>
    <n v="2"/>
  </r>
  <r>
    <x v="62"/>
    <d v="2026-03-02T00:00:00"/>
    <d v="2026-03-03T00:00:00"/>
    <d v="2026-03-06T00:00:00"/>
    <d v="2026-03-06T00:00:00"/>
    <x v="1"/>
    <x v="9"/>
    <x v="5"/>
    <x v="0"/>
    <n v="450.8"/>
    <n v="970.9"/>
    <n v="5330000"/>
    <b v="0"/>
    <b v="0"/>
    <n v="1500"/>
    <b v="0"/>
    <b v="0"/>
    <b v="0"/>
    <x v="0"/>
    <x v="24"/>
    <n v="64.726666666666659"/>
    <n v="0"/>
    <n v="0"/>
    <n v="3"/>
    <x v="6"/>
    <m/>
  </r>
  <r>
    <x v="63"/>
    <d v="2026-03-09T00:00:00"/>
    <d v="2026-03-10T00:00:00"/>
    <d v="2026-03-12T00:00:00"/>
    <d v="2026-03-12T00:00:00"/>
    <x v="0"/>
    <x v="2"/>
    <x v="5"/>
    <x v="0"/>
    <n v="177.4"/>
    <n v="479.9"/>
    <n v="2236000"/>
    <b v="0"/>
    <b v="0"/>
    <n v="1500"/>
    <b v="0"/>
    <b v="0"/>
    <b v="0"/>
    <x v="0"/>
    <x v="23"/>
    <n v="31.993333333333329"/>
    <n v="0"/>
    <n v="0"/>
    <n v="2"/>
    <x v="6"/>
    <m/>
  </r>
  <r>
    <x v="64"/>
    <d v="2026-06-09T00:00:00"/>
    <d v="2026-06-09T00:00:00"/>
    <d v="2026-06-12T00:00:00"/>
    <d v="2026-06-12T00:00:00"/>
    <x v="1"/>
    <x v="9"/>
    <x v="2"/>
    <x v="1"/>
    <n v="430.8"/>
    <n v="2083.5"/>
    <n v="7272000"/>
    <b v="0"/>
    <b v="0"/>
    <n v="5000"/>
    <b v="0"/>
    <b v="0"/>
    <b v="0"/>
    <x v="0"/>
    <x v="24"/>
    <n v="41.67"/>
    <n v="0"/>
    <n v="0"/>
    <n v="3"/>
    <x v="1"/>
    <m/>
  </r>
  <r>
    <x v="65"/>
    <d v="2026-04-20T00:00:00"/>
    <d v="2026-04-21T00:00:00"/>
    <d v="2026-04-23T00:00:00"/>
    <d v="2026-04-25T00:00:00"/>
    <x v="0"/>
    <x v="1"/>
    <x v="0"/>
    <x v="2"/>
    <n v="284.5"/>
    <n v="2552.8000000000002"/>
    <n v="7472000"/>
    <b v="0"/>
    <b v="0"/>
    <n v="16000"/>
    <b v="0"/>
    <b v="0"/>
    <b v="0"/>
    <x v="1"/>
    <x v="1"/>
    <n v="15.955"/>
    <n v="0"/>
    <n v="0"/>
    <n v="4"/>
    <x v="4"/>
    <n v="2"/>
  </r>
  <r>
    <x v="66"/>
    <d v="2026-05-01T00:00:00"/>
    <d v="2026-05-02T00:00:00"/>
    <d v="2026-05-04T00:00:00"/>
    <d v="2026-05-06T00:00:00"/>
    <x v="1"/>
    <x v="7"/>
    <x v="1"/>
    <x v="1"/>
    <n v="150.9"/>
    <n v="1420.6"/>
    <n v="2856000"/>
    <b v="0"/>
    <b v="0"/>
    <n v="5000"/>
    <b v="0"/>
    <b v="0"/>
    <b v="0"/>
    <x v="1"/>
    <x v="26"/>
    <n v="28.411999999999999"/>
    <n v="0"/>
    <n v="0"/>
    <n v="4"/>
    <x v="2"/>
    <n v="2"/>
  </r>
  <r>
    <x v="67"/>
    <d v="2026-06-01T00:00:00"/>
    <d v="2026-06-02T00:00:00"/>
    <d v="2026-06-05T00:00:00"/>
    <d v="2026-06-06T00:00:00"/>
    <x v="0"/>
    <x v="8"/>
    <x v="0"/>
    <x v="3"/>
    <n v="127.8"/>
    <n v="333.1"/>
    <n v="1586000"/>
    <b v="0"/>
    <b v="0"/>
    <n v="1000"/>
    <b v="0"/>
    <b v="0"/>
    <b v="0"/>
    <x v="1"/>
    <x v="22"/>
    <n v="33.31"/>
    <n v="0"/>
    <n v="0"/>
    <n v="4"/>
    <x v="1"/>
    <n v="1"/>
  </r>
  <r>
    <x v="68"/>
    <d v="2026-03-26T00:00:00"/>
    <d v="2026-03-27T00:00:00"/>
    <d v="2026-03-31T00:00:00"/>
    <d v="2026-03-31T00:00:00"/>
    <x v="0"/>
    <x v="4"/>
    <x v="5"/>
    <x v="2"/>
    <n v="612.70000000000005"/>
    <n v="10755.2"/>
    <n v="15363000"/>
    <b v="0"/>
    <b v="0"/>
    <n v="16000"/>
    <b v="0"/>
    <b v="0"/>
    <b v="0"/>
    <x v="0"/>
    <x v="30"/>
    <n v="67.22"/>
    <n v="0"/>
    <n v="0"/>
    <n v="4"/>
    <x v="6"/>
    <m/>
  </r>
  <r>
    <x v="69"/>
    <d v="2026-03-31T00:00:00"/>
    <d v="2026-04-01T00:00:00"/>
    <d v="2026-04-04T00:00:00"/>
    <d v="2026-04-05T00:00:00"/>
    <x v="2"/>
    <x v="0"/>
    <x v="5"/>
    <x v="0"/>
    <n v="302.2"/>
    <n v="647.79999999999995"/>
    <n v="3964000"/>
    <b v="0"/>
    <b v="0"/>
    <n v="1500"/>
    <b v="0"/>
    <b v="0"/>
    <b v="0"/>
    <x v="1"/>
    <x v="7"/>
    <n v="43.18666666666666"/>
    <n v="0"/>
    <n v="0"/>
    <n v="4"/>
    <x v="4"/>
    <n v="1"/>
  </r>
  <r>
    <x v="70"/>
    <d v="2026-02-24T00:00:00"/>
    <d v="2026-02-25T00:00:00"/>
    <d v="2026-03-01T00:00:00"/>
    <d v="2026-03-01T00:00:00"/>
    <x v="3"/>
    <x v="9"/>
    <x v="0"/>
    <x v="0"/>
    <n v="793.2"/>
    <m/>
    <n v="8855000"/>
    <b v="0"/>
    <b v="1"/>
    <n v="1500"/>
    <b v="0"/>
    <b v="0"/>
    <b v="1"/>
    <x v="0"/>
    <x v="31"/>
    <m/>
    <n v="0"/>
    <n v="1"/>
    <n v="4"/>
    <x v="5"/>
    <m/>
  </r>
  <r>
    <x v="71"/>
    <d v="2026-06-24T00:00:00"/>
    <d v="2026-06-26T00:00:00"/>
    <d v="2026-06-28T00:00:00"/>
    <d v="2026-06-28T00:00:00"/>
    <x v="2"/>
    <x v="0"/>
    <x v="5"/>
    <x v="3"/>
    <n v="286"/>
    <n v="133.1"/>
    <n v="2969000"/>
    <b v="0"/>
    <b v="0"/>
    <n v="1000"/>
    <b v="0"/>
    <b v="0"/>
    <b v="0"/>
    <x v="0"/>
    <x v="7"/>
    <n v="13.31"/>
    <n v="0"/>
    <n v="0"/>
    <n v="2"/>
    <x v="1"/>
    <m/>
  </r>
  <r>
    <x v="72"/>
    <d v="2026-05-11T00:00:00"/>
    <d v="2026-05-12T00:00:00"/>
    <d v="2026-05-15T00:00:00"/>
    <d v="2026-05-15T00:00:00"/>
    <x v="2"/>
    <x v="9"/>
    <x v="2"/>
    <x v="3"/>
    <n v="514.20000000000005"/>
    <n v="673.8"/>
    <n v="5169000"/>
    <b v="0"/>
    <b v="0"/>
    <n v="1000"/>
    <b v="0"/>
    <b v="0"/>
    <b v="0"/>
    <x v="0"/>
    <x v="20"/>
    <n v="67.38"/>
    <n v="0"/>
    <n v="0"/>
    <n v="3"/>
    <x v="2"/>
    <m/>
  </r>
  <r>
    <x v="73"/>
    <d v="2026-03-27T00:00:00"/>
    <d v="2026-03-28T00:00:00"/>
    <d v="2026-04-02T00:00:00"/>
    <d v="2026-04-05T00:00:00"/>
    <x v="3"/>
    <x v="10"/>
    <x v="2"/>
    <x v="1"/>
    <n v="625.1"/>
    <n v="3001"/>
    <n v="8598000"/>
    <b v="0"/>
    <b v="0"/>
    <n v="5000"/>
    <b v="0"/>
    <b v="0"/>
    <b v="0"/>
    <x v="1"/>
    <x v="32"/>
    <n v="60.02"/>
    <n v="0"/>
    <n v="0"/>
    <n v="8"/>
    <x v="6"/>
    <n v="3"/>
  </r>
  <r>
    <x v="74"/>
    <d v="2026-01-02T00:00:00"/>
    <d v="2026-01-02T00:00:00"/>
    <d v="2026-01-06T00:00:00"/>
    <d v="2026-01-06T00:00:00"/>
    <x v="1"/>
    <x v="11"/>
    <x v="0"/>
    <x v="1"/>
    <n v="604.4"/>
    <n v="1084.4000000000001"/>
    <n v="7956000"/>
    <b v="0"/>
    <b v="0"/>
    <n v="5000"/>
    <b v="0"/>
    <b v="0"/>
    <b v="0"/>
    <x v="0"/>
    <x v="33"/>
    <n v="21.687999999999999"/>
    <n v="0"/>
    <n v="0"/>
    <n v="4"/>
    <x v="3"/>
    <m/>
  </r>
  <r>
    <x v="75"/>
    <d v="2026-03-03T00:00:00"/>
    <d v="2026-03-04T00:00:00"/>
    <d v="2026-03-05T00:00:00"/>
    <d v="2026-03-06T00:00:00"/>
    <x v="2"/>
    <x v="10"/>
    <x v="3"/>
    <x v="0"/>
    <n v="56"/>
    <n v="1065.5"/>
    <n v="1418000"/>
    <b v="0"/>
    <b v="0"/>
    <n v="1500"/>
    <b v="0"/>
    <b v="0"/>
    <b v="0"/>
    <x v="1"/>
    <x v="34"/>
    <n v="71.033333333333331"/>
    <n v="0"/>
    <n v="0"/>
    <n v="2"/>
    <x v="6"/>
    <n v="1"/>
  </r>
  <r>
    <x v="76"/>
    <d v="2026-04-11T00:00:00"/>
    <d v="2026-04-12T00:00:00"/>
    <d v="2026-04-15T00:00:00"/>
    <d v="2026-04-15T00:00:00"/>
    <x v="1"/>
    <x v="7"/>
    <x v="5"/>
    <x v="2"/>
    <n v="155"/>
    <n v="10389.299999999999"/>
    <n v="6722000"/>
    <b v="0"/>
    <b v="0"/>
    <n v="16000"/>
    <b v="0"/>
    <b v="0"/>
    <b v="0"/>
    <x v="0"/>
    <x v="26"/>
    <n v="64.93312499999999"/>
    <n v="0"/>
    <n v="0"/>
    <n v="3"/>
    <x v="4"/>
    <m/>
  </r>
  <r>
    <x v="77"/>
    <d v="2026-02-04T00:00:00"/>
    <d v="2026-02-04T00:00:00"/>
    <d v="2026-02-08T00:00:00"/>
    <d v="2026-02-09T00:00:00"/>
    <x v="3"/>
    <x v="9"/>
    <x v="5"/>
    <x v="2"/>
    <n v="936.8"/>
    <n v="13606.3"/>
    <n v="20939000"/>
    <b v="0"/>
    <b v="0"/>
    <n v="16000"/>
    <b v="0"/>
    <b v="0"/>
    <b v="0"/>
    <x v="1"/>
    <x v="31"/>
    <n v="85.039374999999993"/>
    <n v="0"/>
    <n v="0"/>
    <n v="5"/>
    <x v="5"/>
    <n v="1"/>
  </r>
  <r>
    <x v="78"/>
    <d v="2026-01-26T00:00:00"/>
    <d v="2026-01-28T00:00:00"/>
    <d v="2026-02-01T00:00:00"/>
    <d v="2026-02-01T00:00:00"/>
    <x v="1"/>
    <x v="3"/>
    <x v="1"/>
    <x v="0"/>
    <n v="878.3"/>
    <n v="953"/>
    <n v="9083000"/>
    <b v="0"/>
    <b v="0"/>
    <n v="1500"/>
    <b v="0"/>
    <b v="0"/>
    <b v="0"/>
    <x v="0"/>
    <x v="35"/>
    <n v="63.533333333333331"/>
    <n v="0"/>
    <n v="0"/>
    <n v="4"/>
    <x v="3"/>
    <m/>
  </r>
  <r>
    <x v="79"/>
    <d v="2026-04-08T00:00:00"/>
    <d v="2026-04-08T00:00:00"/>
    <d v="2026-04-11T00:00:00"/>
    <d v="2026-04-11T00:00:00"/>
    <x v="0"/>
    <x v="11"/>
    <x v="0"/>
    <x v="0"/>
    <n v="441.6"/>
    <n v="1016.7"/>
    <n v="5731000"/>
    <b v="0"/>
    <b v="0"/>
    <n v="1500"/>
    <b v="0"/>
    <b v="0"/>
    <b v="0"/>
    <x v="0"/>
    <x v="36"/>
    <n v="67.78"/>
    <n v="0"/>
    <n v="0"/>
    <n v="3"/>
    <x v="4"/>
    <m/>
  </r>
  <r>
    <x v="80"/>
    <d v="2026-01-13T00:00:00"/>
    <d v="2026-01-14T00:00:00"/>
    <d v="2026-01-17T00:00:00"/>
    <d v="2026-01-16T00:00:00"/>
    <x v="0"/>
    <x v="11"/>
    <x v="5"/>
    <x v="2"/>
    <n v="443.6"/>
    <n v="10580.6"/>
    <n v="14125000"/>
    <b v="0"/>
    <b v="0"/>
    <n v="16000"/>
    <b v="0"/>
    <b v="0"/>
    <b v="0"/>
    <x v="0"/>
    <x v="36"/>
    <n v="66.128749999999997"/>
    <n v="0"/>
    <n v="0"/>
    <n v="2"/>
    <x v="3"/>
    <m/>
  </r>
  <r>
    <x v="81"/>
    <d v="2026-03-22T00:00:00"/>
    <d v="2026-03-22T00:00:00"/>
    <d v="2026-03-25T00:00:00"/>
    <d v="2026-03-25T00:00:00"/>
    <x v="0"/>
    <x v="11"/>
    <x v="5"/>
    <x v="0"/>
    <n v="487.4"/>
    <n v="1013"/>
    <n v="5102000"/>
    <b v="0"/>
    <b v="0"/>
    <n v="1500"/>
    <b v="0"/>
    <b v="0"/>
    <b v="0"/>
    <x v="0"/>
    <x v="36"/>
    <n v="67.533333333333331"/>
    <n v="0"/>
    <n v="0"/>
    <n v="3"/>
    <x v="6"/>
    <m/>
  </r>
  <r>
    <x v="82"/>
    <d v="2026-01-26T00:00:00"/>
    <d v="2026-01-26T00:00:00"/>
    <d v="2026-01-28T00:00:00"/>
    <d v="2026-01-28T00:00:00"/>
    <x v="2"/>
    <x v="2"/>
    <x v="1"/>
    <x v="2"/>
    <n v="288.10000000000002"/>
    <n v="9083"/>
    <n v="7847000"/>
    <b v="0"/>
    <b v="0"/>
    <n v="16000"/>
    <b v="0"/>
    <b v="0"/>
    <b v="0"/>
    <x v="0"/>
    <x v="29"/>
    <n v="56.768749999999997"/>
    <n v="0"/>
    <n v="0"/>
    <n v="2"/>
    <x v="3"/>
    <m/>
  </r>
  <r>
    <x v="83"/>
    <d v="2026-02-27T00:00:00"/>
    <d v="2026-02-27T00:00:00"/>
    <d v="2026-03-02T00:00:00"/>
    <d v="2026-03-01T00:00:00"/>
    <x v="3"/>
    <x v="5"/>
    <x v="3"/>
    <x v="3"/>
    <n v="491.9"/>
    <n v="431.5"/>
    <n v="4762000"/>
    <b v="0"/>
    <b v="0"/>
    <n v="1000"/>
    <b v="0"/>
    <b v="0"/>
    <b v="0"/>
    <x v="0"/>
    <x v="37"/>
    <n v="43.15"/>
    <n v="0"/>
    <n v="0"/>
    <n v="2"/>
    <x v="5"/>
    <m/>
  </r>
  <r>
    <x v="84"/>
    <d v="2026-01-20T00:00:00"/>
    <d v="2026-01-20T00:00:00"/>
    <d v="2026-01-25T00:00:00"/>
    <d v="2026-01-26T00:00:00"/>
    <x v="1"/>
    <x v="4"/>
    <x v="0"/>
    <x v="3"/>
    <n v="746"/>
    <n v="687.4"/>
    <n v="7724000"/>
    <b v="0"/>
    <b v="0"/>
    <n v="1000"/>
    <b v="0"/>
    <b v="0"/>
    <b v="0"/>
    <x v="1"/>
    <x v="38"/>
    <n v="68.739999999999995"/>
    <n v="0"/>
    <n v="0"/>
    <n v="6"/>
    <x v="3"/>
    <n v="1"/>
  </r>
  <r>
    <x v="85"/>
    <d v="2026-02-28T00:00:00"/>
    <d v="2026-03-01T00:00:00"/>
    <d v="2026-03-02T00:00:00"/>
    <d v="2026-03-03T00:00:00"/>
    <x v="3"/>
    <x v="11"/>
    <x v="3"/>
    <x v="1"/>
    <n v="25.2"/>
    <n v="2122.4"/>
    <n v="1780000"/>
    <b v="0"/>
    <b v="0"/>
    <n v="5000"/>
    <b v="0"/>
    <b v="0"/>
    <b v="0"/>
    <x v="1"/>
    <x v="39"/>
    <n v="42.448"/>
    <n v="0"/>
    <n v="0"/>
    <n v="2"/>
    <x v="6"/>
    <n v="1"/>
  </r>
  <r>
    <x v="86"/>
    <d v="2026-05-21T00:00:00"/>
    <d v="2026-05-22T00:00:00"/>
    <d v="2026-05-23T00:00:00"/>
    <d v="2026-05-24T00:00:00"/>
    <x v="1"/>
    <x v="10"/>
    <x v="2"/>
    <x v="1"/>
    <n v="30.3"/>
    <n v="1891.5"/>
    <n v="2133000"/>
    <b v="0"/>
    <b v="0"/>
    <n v="5000"/>
    <b v="0"/>
    <b v="0"/>
    <b v="0"/>
    <x v="1"/>
    <x v="27"/>
    <n v="37.830000000000013"/>
    <n v="0"/>
    <n v="0"/>
    <n v="2"/>
    <x v="2"/>
    <n v="1"/>
  </r>
  <r>
    <x v="87"/>
    <d v="2026-02-14T00:00:00"/>
    <d v="2026-02-16T00:00:00"/>
    <d v="2026-02-18T00:00:00"/>
    <d v="2026-02-19T00:00:00"/>
    <x v="1"/>
    <x v="0"/>
    <x v="1"/>
    <x v="0"/>
    <n v="277"/>
    <n v="1052"/>
    <n v="3624000"/>
    <b v="0"/>
    <b v="0"/>
    <n v="1500"/>
    <b v="0"/>
    <b v="0"/>
    <b v="0"/>
    <x v="1"/>
    <x v="12"/>
    <n v="70.13333333333334"/>
    <n v="0"/>
    <n v="0"/>
    <n v="3"/>
    <x v="5"/>
    <n v="1"/>
  </r>
  <r>
    <x v="88"/>
    <d v="2026-04-11T00:00:00"/>
    <d v="2026-04-12T00:00:00"/>
    <d v="2026-04-14T00:00:00"/>
    <d v="2026-04-13T00:00:00"/>
    <x v="2"/>
    <x v="2"/>
    <x v="3"/>
    <x v="1"/>
    <n v="295.2"/>
    <n v="3261.4"/>
    <n v="5436000"/>
    <b v="0"/>
    <b v="0"/>
    <n v="5000"/>
    <b v="0"/>
    <b v="0"/>
    <b v="0"/>
    <x v="0"/>
    <x v="29"/>
    <n v="65.227999999999994"/>
    <n v="0"/>
    <n v="0"/>
    <n v="1"/>
    <x v="4"/>
    <m/>
  </r>
  <r>
    <x v="89"/>
    <d v="2026-04-08T00:00:00"/>
    <d v="2026-04-09T00:00:00"/>
    <d v="2026-04-12T00:00:00"/>
    <d v="2026-04-12T00:00:00"/>
    <x v="3"/>
    <x v="1"/>
    <x v="2"/>
    <x v="1"/>
    <n v="559.5"/>
    <n v="3610.7"/>
    <n v="10076000"/>
    <b v="0"/>
    <b v="0"/>
    <n v="5000"/>
    <b v="0"/>
    <b v="0"/>
    <b v="0"/>
    <x v="0"/>
    <x v="21"/>
    <n v="72.213999999999999"/>
    <n v="0"/>
    <n v="0"/>
    <n v="3"/>
    <x v="4"/>
    <m/>
  </r>
  <r>
    <x v="90"/>
    <d v="2026-03-26T00:00:00"/>
    <d v="2026-03-28T00:00:00"/>
    <d v="2026-04-02T00:00:00"/>
    <d v="2026-04-02T00:00:00"/>
    <x v="1"/>
    <x v="4"/>
    <x v="3"/>
    <x v="1"/>
    <n v="783.3"/>
    <n v="2695.5"/>
    <n v="11065000"/>
    <b v="0"/>
    <b v="0"/>
    <n v="5000"/>
    <b v="0"/>
    <b v="0"/>
    <b v="0"/>
    <x v="0"/>
    <x v="38"/>
    <n v="53.91"/>
    <n v="0"/>
    <n v="0"/>
    <n v="5"/>
    <x v="6"/>
    <m/>
  </r>
  <r>
    <x v="91"/>
    <d v="2026-03-17T00:00:00"/>
    <d v="2026-03-17T00:00:00"/>
    <d v="2026-03-21T00:00:00"/>
    <d v="2026-03-23T00:00:00"/>
    <x v="3"/>
    <x v="7"/>
    <x v="1"/>
    <x v="3"/>
    <n v="646.4"/>
    <n v="572"/>
    <n v="5783000"/>
    <b v="0"/>
    <b v="0"/>
    <n v="1000"/>
    <b v="0"/>
    <b v="0"/>
    <b v="0"/>
    <x v="1"/>
    <x v="40"/>
    <n v="57.2"/>
    <n v="0"/>
    <n v="0"/>
    <n v="6"/>
    <x v="6"/>
    <n v="2"/>
  </r>
  <r>
    <x v="92"/>
    <d v="2026-05-22T00:00:00"/>
    <d v="2026-05-22T00:00:00"/>
    <d v="2026-05-25T00:00:00"/>
    <d v="2026-05-25T00:00:00"/>
    <x v="2"/>
    <x v="11"/>
    <x v="5"/>
    <x v="1"/>
    <n v="590.20000000000005"/>
    <n v="4333.8999999999996"/>
    <n v="10555000"/>
    <b v="0"/>
    <b v="0"/>
    <n v="5000"/>
    <b v="0"/>
    <b v="0"/>
    <b v="0"/>
    <x v="0"/>
    <x v="41"/>
    <n v="86.677999999999983"/>
    <n v="0"/>
    <n v="0"/>
    <n v="3"/>
    <x v="2"/>
    <m/>
  </r>
  <r>
    <x v="93"/>
    <d v="2026-02-24T00:00:00"/>
    <d v="2026-02-24T00:00:00"/>
    <d v="2026-02-25T00:00:00"/>
    <d v="2026-02-25T00:00:00"/>
    <x v="3"/>
    <x v="11"/>
    <x v="2"/>
    <x v="1"/>
    <n v="15.7"/>
    <n v="3660.8"/>
    <n v="2475000"/>
    <b v="0"/>
    <b v="0"/>
    <n v="5000"/>
    <b v="0"/>
    <b v="0"/>
    <b v="0"/>
    <x v="0"/>
    <x v="39"/>
    <n v="73.216000000000008"/>
    <n v="0"/>
    <n v="0"/>
    <n v="1"/>
    <x v="5"/>
    <m/>
  </r>
  <r>
    <x v="94"/>
    <d v="2026-06-17T00:00:00"/>
    <d v="2026-06-18T00:00:00"/>
    <d v="2026-06-19T00:00:00"/>
    <d v="2026-06-21T00:00:00"/>
    <x v="3"/>
    <x v="11"/>
    <x v="2"/>
    <x v="0"/>
    <n v="27.1"/>
    <n v="558.5"/>
    <n v="1052000"/>
    <b v="0"/>
    <b v="0"/>
    <n v="1500"/>
    <b v="0"/>
    <b v="0"/>
    <b v="0"/>
    <x v="1"/>
    <x v="39"/>
    <n v="37.233333333333327"/>
    <n v="0"/>
    <n v="0"/>
    <n v="3"/>
    <x v="1"/>
    <n v="2"/>
  </r>
  <r>
    <x v="95"/>
    <d v="2026-01-20T00:00:00"/>
    <d v="2026-01-21T00:00:00"/>
    <d v="2026-01-24T00:00:00"/>
    <d v="2026-01-24T00:00:00"/>
    <x v="1"/>
    <x v="5"/>
    <x v="1"/>
    <x v="2"/>
    <n v="300.10000000000002"/>
    <n v="3243.1"/>
    <n v="7680000"/>
    <b v="0"/>
    <b v="0"/>
    <n v="16000"/>
    <b v="0"/>
    <b v="0"/>
    <b v="0"/>
    <x v="0"/>
    <x v="5"/>
    <n v="20.269375"/>
    <n v="0"/>
    <n v="0"/>
    <n v="3"/>
    <x v="3"/>
    <m/>
  </r>
  <r>
    <x v="96"/>
    <d v="2026-06-06T00:00:00"/>
    <d v="2026-06-07T00:00:00"/>
    <d v="2026-06-10T00:00:00"/>
    <d v="2026-06-10T00:00:00"/>
    <x v="3"/>
    <x v="8"/>
    <x v="3"/>
    <x v="3"/>
    <n v="578.29999999999995"/>
    <n v="572.70000000000005"/>
    <n v="5936000"/>
    <b v="0"/>
    <b v="0"/>
    <n v="1000"/>
    <b v="0"/>
    <b v="0"/>
    <b v="0"/>
    <x v="0"/>
    <x v="15"/>
    <n v="57.27000000000001"/>
    <n v="0"/>
    <n v="0"/>
    <n v="3"/>
    <x v="1"/>
    <m/>
  </r>
  <r>
    <x v="97"/>
    <d v="2026-03-27T00:00:00"/>
    <d v="2026-03-27T00:00:00"/>
    <d v="2026-03-31T00:00:00"/>
    <m/>
    <x v="1"/>
    <x v="4"/>
    <x v="1"/>
    <x v="1"/>
    <n v="770.3"/>
    <n v="2060.6999999999998"/>
    <n v="12273000"/>
    <b v="0"/>
    <b v="0"/>
    <n v="5000"/>
    <b v="0"/>
    <b v="0"/>
    <b v="0"/>
    <x v="2"/>
    <x v="38"/>
    <n v="41.213999999999999"/>
    <n v="0"/>
    <n v="0"/>
    <m/>
    <x v="6"/>
    <m/>
  </r>
  <r>
    <x v="98"/>
    <d v="2026-06-16T00:00:00"/>
    <d v="2026-06-17T00:00:00"/>
    <d v="2026-06-19T00:00:00"/>
    <d v="2026-06-19T00:00:00"/>
    <x v="2"/>
    <x v="2"/>
    <x v="2"/>
    <x v="1"/>
    <n v="294.5"/>
    <n v="3669.3"/>
    <n v="5998000"/>
    <b v="0"/>
    <b v="0"/>
    <n v="5000"/>
    <b v="0"/>
    <b v="0"/>
    <b v="0"/>
    <x v="0"/>
    <x v="29"/>
    <n v="73.38600000000001"/>
    <n v="0"/>
    <n v="0"/>
    <n v="2"/>
    <x v="1"/>
    <m/>
  </r>
  <r>
    <x v="99"/>
    <d v="2026-05-11T00:00:00"/>
    <d v="2026-05-11T00:00:00"/>
    <d v="2026-05-13T00:00:00"/>
    <d v="2026-05-15T00:00:00"/>
    <x v="2"/>
    <x v="1"/>
    <x v="0"/>
    <x v="2"/>
    <n v="261.2"/>
    <n v="2862"/>
    <n v="5865000"/>
    <b v="0"/>
    <b v="0"/>
    <n v="16000"/>
    <b v="0"/>
    <b v="0"/>
    <b v="0"/>
    <x v="1"/>
    <x v="16"/>
    <n v="17.887499999999999"/>
    <n v="0"/>
    <n v="0"/>
    <n v="4"/>
    <x v="2"/>
    <n v="2"/>
  </r>
  <r>
    <x v="100"/>
    <d v="2026-04-29T00:00:00"/>
    <d v="2026-04-30T00:00:00"/>
    <d v="2026-05-01T00:00:00"/>
    <d v="2026-04-30T00:00:00"/>
    <x v="1"/>
    <x v="10"/>
    <x v="2"/>
    <x v="1"/>
    <n v="16.3"/>
    <n v="3343.1"/>
    <n v="19856000"/>
    <b v="0"/>
    <b v="0"/>
    <n v="5000"/>
    <b v="0"/>
    <b v="0"/>
    <b v="0"/>
    <x v="0"/>
    <x v="27"/>
    <n v="66.861999999999995"/>
    <n v="0"/>
    <n v="0"/>
    <n v="0"/>
    <x v="4"/>
    <m/>
  </r>
  <r>
    <x v="101"/>
    <d v="2026-05-25T00:00:00"/>
    <d v="2026-05-26T00:00:00"/>
    <d v="2026-05-29T00:00:00"/>
    <d v="2026-05-30T00:00:00"/>
    <x v="3"/>
    <x v="1"/>
    <x v="5"/>
    <x v="3"/>
    <n v="521.20000000000005"/>
    <n v="592.79999999999995"/>
    <n v="5269000"/>
    <b v="0"/>
    <b v="0"/>
    <n v="1000"/>
    <b v="0"/>
    <b v="0"/>
    <b v="0"/>
    <x v="1"/>
    <x v="21"/>
    <n v="59.28"/>
    <n v="0"/>
    <n v="0"/>
    <n v="4"/>
    <x v="2"/>
    <n v="1"/>
  </r>
  <r>
    <x v="102"/>
    <d v="2026-04-22T00:00:00"/>
    <d v="2026-04-23T00:00:00"/>
    <d v="2026-04-24T00:00:00"/>
    <d v="2026-04-24T00:00:00"/>
    <x v="0"/>
    <x v="6"/>
    <x v="5"/>
    <x v="1"/>
    <n v="12.9"/>
    <n v="4444.2"/>
    <n v="2598000"/>
    <b v="0"/>
    <b v="0"/>
    <n v="5000"/>
    <b v="0"/>
    <b v="0"/>
    <b v="0"/>
    <x v="0"/>
    <x v="19"/>
    <n v="88.884"/>
    <n v="0"/>
    <n v="0"/>
    <n v="1"/>
    <x v="4"/>
    <m/>
  </r>
  <r>
    <x v="103"/>
    <d v="2026-02-06T00:00:00"/>
    <d v="2026-02-06T00:00:00"/>
    <d v="2026-02-10T00:00:00"/>
    <d v="2026-02-09T00:00:00"/>
    <x v="2"/>
    <x v="4"/>
    <x v="3"/>
    <x v="2"/>
    <n v="740.7"/>
    <n v="8741.9"/>
    <n v="17278000"/>
    <b v="0"/>
    <b v="0"/>
    <n v="16000"/>
    <b v="0"/>
    <b v="0"/>
    <b v="0"/>
    <x v="0"/>
    <x v="4"/>
    <n v="54.636875000000003"/>
    <n v="0"/>
    <n v="0"/>
    <n v="3"/>
    <x v="5"/>
    <m/>
  </r>
  <r>
    <x v="104"/>
    <d v="2026-03-09T00:00:00"/>
    <d v="2026-03-11T00:00:00"/>
    <d v="2026-03-15T00:00:00"/>
    <d v="2026-03-15T00:00:00"/>
    <x v="1"/>
    <x v="4"/>
    <x v="0"/>
    <x v="3"/>
    <n v="841.4"/>
    <n v="553.20000000000005"/>
    <n v="8076000"/>
    <b v="0"/>
    <b v="0"/>
    <n v="1000"/>
    <b v="0"/>
    <b v="0"/>
    <b v="0"/>
    <x v="0"/>
    <x v="38"/>
    <n v="55.32"/>
    <n v="0"/>
    <n v="0"/>
    <n v="4"/>
    <x v="6"/>
    <m/>
  </r>
  <r>
    <x v="105"/>
    <d v="2026-01-13T00:00:00"/>
    <d v="2026-01-14T00:00:00"/>
    <d v="2026-01-17T00:00:00"/>
    <d v="2026-01-17T00:00:00"/>
    <x v="0"/>
    <x v="0"/>
    <x v="5"/>
    <x v="1"/>
    <n v="304.2"/>
    <n v="3507.9"/>
    <n v="6163000"/>
    <b v="0"/>
    <b v="0"/>
    <n v="5000"/>
    <b v="0"/>
    <b v="0"/>
    <b v="0"/>
    <x v="0"/>
    <x v="0"/>
    <n v="70.158000000000001"/>
    <n v="0"/>
    <n v="0"/>
    <n v="3"/>
    <x v="3"/>
    <m/>
  </r>
  <r>
    <x v="106"/>
    <d v="2026-05-04T00:00:00"/>
    <d v="2026-05-05T00:00:00"/>
    <d v="2026-05-08T00:00:00"/>
    <d v="2026-05-08T00:00:00"/>
    <x v="1"/>
    <x v="1"/>
    <x v="5"/>
    <x v="0"/>
    <n v="337"/>
    <n v="1166.9000000000001"/>
    <n v="3932000"/>
    <b v="0"/>
    <b v="0"/>
    <n v="1500"/>
    <b v="0"/>
    <b v="0"/>
    <b v="0"/>
    <x v="0"/>
    <x v="25"/>
    <n v="77.793333333333337"/>
    <n v="0"/>
    <n v="0"/>
    <n v="3"/>
    <x v="2"/>
    <m/>
  </r>
  <r>
    <x v="107"/>
    <d v="2026-04-01T00:00:00"/>
    <d v="2026-04-02T00:00:00"/>
    <d v="2026-04-06T00:00:00"/>
    <d v="2026-04-06T00:00:00"/>
    <x v="3"/>
    <x v="1"/>
    <x v="3"/>
    <x v="3"/>
    <n v="605.70000000000005"/>
    <n v="341.5"/>
    <n v="5955000"/>
    <b v="0"/>
    <b v="0"/>
    <n v="1000"/>
    <b v="0"/>
    <b v="0"/>
    <b v="0"/>
    <x v="0"/>
    <x v="21"/>
    <n v="34.150000000000013"/>
    <n v="0"/>
    <n v="0"/>
    <n v="4"/>
    <x v="4"/>
    <m/>
  </r>
  <r>
    <x v="108"/>
    <d v="2026-06-17T00:00:00"/>
    <d v="2026-06-18T00:00:00"/>
    <d v="2026-06-20T00:00:00"/>
    <d v="2026-06-20T00:00:00"/>
    <x v="1"/>
    <x v="8"/>
    <x v="2"/>
    <x v="0"/>
    <n v="61.3"/>
    <n v="1243.4000000000001"/>
    <n v="1348000"/>
    <b v="0"/>
    <b v="0"/>
    <n v="1500"/>
    <b v="0"/>
    <b v="0"/>
    <b v="0"/>
    <x v="0"/>
    <x v="28"/>
    <n v="82.893333333333345"/>
    <n v="0"/>
    <n v="0"/>
    <n v="2"/>
    <x v="1"/>
    <m/>
  </r>
  <r>
    <x v="109"/>
    <d v="2026-05-07T00:00:00"/>
    <d v="2026-05-08T00:00:00"/>
    <d v="2026-05-12T00:00:00"/>
    <d v="2026-05-12T00:00:00"/>
    <x v="2"/>
    <x v="3"/>
    <x v="2"/>
    <x v="0"/>
    <n v="803.8"/>
    <n v="752.5"/>
    <n v="6850000"/>
    <b v="0"/>
    <b v="0"/>
    <n v="1500"/>
    <b v="0"/>
    <b v="0"/>
    <b v="0"/>
    <x v="0"/>
    <x v="3"/>
    <n v="50.166666666666671"/>
    <n v="0"/>
    <n v="0"/>
    <n v="4"/>
    <x v="2"/>
    <m/>
  </r>
  <r>
    <x v="110"/>
    <d v="2026-05-31T00:00:00"/>
    <d v="2026-06-01T00:00:00"/>
    <d v="2026-06-03T00:00:00"/>
    <d v="2026-06-03T00:00:00"/>
    <x v="1"/>
    <x v="7"/>
    <x v="0"/>
    <x v="0"/>
    <n v="149.5"/>
    <n v="901.5"/>
    <n v="2405000"/>
    <b v="0"/>
    <b v="0"/>
    <n v="1500"/>
    <b v="0"/>
    <b v="0"/>
    <b v="0"/>
    <x v="0"/>
    <x v="26"/>
    <n v="60.099999999999987"/>
    <n v="0"/>
    <n v="0"/>
    <n v="2"/>
    <x v="1"/>
    <m/>
  </r>
  <r>
    <x v="111"/>
    <d v="2026-06-06T00:00:00"/>
    <d v="2026-06-07T00:00:00"/>
    <d v="2026-06-09T00:00:00"/>
    <d v="2026-06-08T00:00:00"/>
    <x v="1"/>
    <x v="0"/>
    <x v="3"/>
    <x v="3"/>
    <n v="293.8"/>
    <n v="807.7"/>
    <n v="4047000"/>
    <b v="0"/>
    <b v="0"/>
    <n v="1000"/>
    <b v="0"/>
    <b v="0"/>
    <b v="0"/>
    <x v="0"/>
    <x v="12"/>
    <n v="80.77000000000001"/>
    <n v="0"/>
    <n v="0"/>
    <n v="1"/>
    <x v="1"/>
    <m/>
  </r>
  <r>
    <x v="112"/>
    <d v="2026-03-07T00:00:00"/>
    <d v="2026-03-09T00:00:00"/>
    <d v="2026-03-12T00:00:00"/>
    <d v="2026-03-12T00:00:00"/>
    <x v="2"/>
    <x v="9"/>
    <x v="5"/>
    <x v="3"/>
    <n v="482.8"/>
    <n v="602.6"/>
    <n v="4130000"/>
    <b v="0"/>
    <b v="0"/>
    <n v="1000"/>
    <b v="0"/>
    <b v="0"/>
    <b v="0"/>
    <x v="0"/>
    <x v="20"/>
    <n v="60.260000000000012"/>
    <n v="0"/>
    <n v="0"/>
    <n v="3"/>
    <x v="6"/>
    <m/>
  </r>
  <r>
    <x v="113"/>
    <d v="2026-06-05T00:00:00"/>
    <d v="2026-06-06T00:00:00"/>
    <d v="2026-06-08T00:00:00"/>
    <d v="2026-06-08T00:00:00"/>
    <x v="0"/>
    <x v="10"/>
    <x v="3"/>
    <x v="3"/>
    <n v="147.9"/>
    <n v="355.2"/>
    <n v="1724000"/>
    <b v="0"/>
    <b v="0"/>
    <n v="1000"/>
    <b v="0"/>
    <b v="0"/>
    <b v="0"/>
    <x v="0"/>
    <x v="42"/>
    <n v="35.520000000000003"/>
    <n v="0"/>
    <n v="0"/>
    <n v="2"/>
    <x v="1"/>
    <m/>
  </r>
  <r>
    <x v="114"/>
    <d v="2026-06-04T00:00:00"/>
    <d v="2026-06-04T00:00:00"/>
    <d v="2026-06-06T00:00:00"/>
    <d v="2026-06-08T00:00:00"/>
    <x v="2"/>
    <x v="10"/>
    <x v="0"/>
    <x v="1"/>
    <n v="53.9"/>
    <n v="3809.7"/>
    <n v="2724000"/>
    <b v="0"/>
    <b v="0"/>
    <n v="5000"/>
    <b v="0"/>
    <b v="0"/>
    <b v="0"/>
    <x v="1"/>
    <x v="34"/>
    <n v="76.193999999999988"/>
    <n v="0"/>
    <n v="0"/>
    <n v="4"/>
    <x v="1"/>
    <n v="2"/>
  </r>
  <r>
    <x v="115"/>
    <d v="2026-05-26T00:00:00"/>
    <d v="2026-05-27T00:00:00"/>
    <d v="2026-05-29T00:00:00"/>
    <d v="2026-05-28T00:00:00"/>
    <x v="0"/>
    <x v="10"/>
    <x v="3"/>
    <x v="3"/>
    <n v="162.19999999999999"/>
    <n v="116.9"/>
    <n v="1946000"/>
    <b v="0"/>
    <b v="0"/>
    <n v="1000"/>
    <b v="0"/>
    <b v="0"/>
    <b v="0"/>
    <x v="0"/>
    <x v="42"/>
    <n v="11.69"/>
    <n v="0"/>
    <n v="0"/>
    <n v="1"/>
    <x v="2"/>
    <m/>
  </r>
  <r>
    <x v="116"/>
    <d v="2026-05-01T00:00:00"/>
    <d v="2026-05-02T00:00:00"/>
    <d v="2026-05-03T00:00:00"/>
    <m/>
    <x v="1"/>
    <x v="8"/>
    <x v="1"/>
    <x v="0"/>
    <n v="55.7"/>
    <n v="1357.2"/>
    <n v="1793000"/>
    <b v="0"/>
    <b v="0"/>
    <n v="1500"/>
    <b v="0"/>
    <b v="0"/>
    <b v="0"/>
    <x v="2"/>
    <x v="28"/>
    <n v="90.48"/>
    <n v="0"/>
    <n v="0"/>
    <m/>
    <x v="2"/>
    <m/>
  </r>
  <r>
    <x v="117"/>
    <d v="2026-03-02T00:00:00"/>
    <d v="2026-03-03T00:00:00"/>
    <d v="2026-03-06T00:00:00"/>
    <d v="2026-03-06T00:00:00"/>
    <x v="2"/>
    <x v="11"/>
    <x v="5"/>
    <x v="1"/>
    <n v="553.70000000000005"/>
    <n v="3102.5"/>
    <n v="8228000"/>
    <b v="0"/>
    <b v="0"/>
    <n v="5000"/>
    <b v="0"/>
    <b v="0"/>
    <b v="0"/>
    <x v="0"/>
    <x v="41"/>
    <n v="62.05"/>
    <n v="0"/>
    <n v="0"/>
    <n v="3"/>
    <x v="6"/>
    <m/>
  </r>
  <r>
    <x v="118"/>
    <d v="2026-04-13T00:00:00"/>
    <d v="2026-04-14T00:00:00"/>
    <d v="2026-04-17T00:00:00"/>
    <d v="2026-04-17T00:00:00"/>
    <x v="1"/>
    <x v="5"/>
    <x v="2"/>
    <x v="1"/>
    <n v="350"/>
    <n v="2729.5"/>
    <n v="6021000"/>
    <b v="0"/>
    <b v="0"/>
    <n v="5000"/>
    <b v="0"/>
    <b v="0"/>
    <b v="0"/>
    <x v="0"/>
    <x v="5"/>
    <n v="54.59"/>
    <n v="0"/>
    <n v="0"/>
    <n v="3"/>
    <x v="4"/>
    <m/>
  </r>
  <r>
    <x v="119"/>
    <d v="2026-04-28T00:00:00"/>
    <d v="2026-04-29T00:00:00"/>
    <d v="2026-05-03T00:00:00"/>
    <d v="2026-05-04T00:00:00"/>
    <x v="2"/>
    <x v="3"/>
    <x v="2"/>
    <x v="3"/>
    <n v="867"/>
    <n v="313.3"/>
    <n v="7751000"/>
    <b v="0"/>
    <b v="0"/>
    <n v="1000"/>
    <b v="0"/>
    <b v="0"/>
    <b v="0"/>
    <x v="1"/>
    <x v="3"/>
    <n v="31.33"/>
    <n v="0"/>
    <n v="0"/>
    <n v="5"/>
    <x v="4"/>
    <n v="1"/>
  </r>
  <r>
    <x v="120"/>
    <d v="2026-04-22T00:00:00"/>
    <d v="2026-04-23T00:00:00"/>
    <d v="2026-04-27T00:00:00"/>
    <d v="2026-04-27T00:00:00"/>
    <x v="1"/>
    <x v="3"/>
    <x v="2"/>
    <x v="0"/>
    <n v="901.6"/>
    <n v="1211.9000000000001"/>
    <n v="10308000"/>
    <b v="0"/>
    <b v="0"/>
    <n v="1500"/>
    <b v="0"/>
    <b v="0"/>
    <b v="0"/>
    <x v="0"/>
    <x v="35"/>
    <n v="80.793333333333337"/>
    <n v="0"/>
    <n v="0"/>
    <n v="4"/>
    <x v="4"/>
    <m/>
  </r>
  <r>
    <x v="121"/>
    <d v="2026-04-17T00:00:00"/>
    <d v="2026-04-18T00:00:00"/>
    <d v="2026-04-19T00:00:00"/>
    <d v="2026-04-19T00:00:00"/>
    <x v="1"/>
    <x v="8"/>
    <x v="5"/>
    <x v="1"/>
    <n v="55.2"/>
    <n v="1850.6"/>
    <n v="2370000"/>
    <b v="0"/>
    <b v="0"/>
    <n v="5000"/>
    <b v="0"/>
    <b v="0"/>
    <b v="0"/>
    <x v="0"/>
    <x v="28"/>
    <n v="37.012"/>
    <n v="0"/>
    <n v="0"/>
    <n v="1"/>
    <x v="4"/>
    <m/>
  </r>
  <r>
    <x v="122"/>
    <d v="2026-02-16T00:00:00"/>
    <d v="2026-02-17T00:00:00"/>
    <d v="2026-02-22T00:00:00"/>
    <d v="2026-02-22T00:00:00"/>
    <x v="1"/>
    <x v="11"/>
    <x v="3"/>
    <x v="1"/>
    <n v="630.70000000000005"/>
    <n v="2914.8"/>
    <n v="10080000"/>
    <b v="0"/>
    <b v="0"/>
    <n v="5000"/>
    <b v="0"/>
    <b v="0"/>
    <b v="0"/>
    <x v="0"/>
    <x v="33"/>
    <n v="58.296000000000006"/>
    <n v="0"/>
    <n v="0"/>
    <n v="5"/>
    <x v="5"/>
    <m/>
  </r>
  <r>
    <x v="123"/>
    <d v="2026-05-03T00:00:00"/>
    <d v="2026-05-04T00:00:00"/>
    <d v="2026-05-08T00:00:00"/>
    <d v="2026-05-09T00:00:00"/>
    <x v="1"/>
    <x v="5"/>
    <x v="0"/>
    <x v="1"/>
    <n v="309.2"/>
    <n v="3900.7"/>
    <n v="6133000"/>
    <b v="0"/>
    <b v="0"/>
    <n v="5000"/>
    <b v="0"/>
    <b v="0"/>
    <b v="0"/>
    <x v="1"/>
    <x v="5"/>
    <n v="78.013999999999996"/>
    <n v="0"/>
    <n v="0"/>
    <n v="5"/>
    <x v="2"/>
    <n v="1"/>
  </r>
  <r>
    <x v="124"/>
    <d v="2026-02-08T00:00:00"/>
    <d v="2026-02-10T00:00:00"/>
    <d v="2026-02-11T00:00:00"/>
    <d v="2026-02-12T00:00:00"/>
    <x v="2"/>
    <x v="10"/>
    <x v="5"/>
    <x v="1"/>
    <n v="55.9"/>
    <n v="2046.3"/>
    <n v="2551000"/>
    <b v="0"/>
    <b v="0"/>
    <n v="5000"/>
    <b v="0"/>
    <b v="0"/>
    <b v="0"/>
    <x v="1"/>
    <x v="34"/>
    <n v="40.926000000000002"/>
    <n v="0"/>
    <n v="0"/>
    <n v="2"/>
    <x v="5"/>
    <n v="1"/>
  </r>
  <r>
    <x v="125"/>
    <d v="2026-05-16T00:00:00"/>
    <d v="2026-05-17T00:00:00"/>
    <d v="2026-05-20T00:00:00"/>
    <d v="2026-05-20T00:00:00"/>
    <x v="2"/>
    <x v="1"/>
    <x v="0"/>
    <x v="0"/>
    <n v="326.7"/>
    <n v="431.8"/>
    <n v="3873000"/>
    <b v="0"/>
    <b v="0"/>
    <n v="1500"/>
    <b v="0"/>
    <b v="0"/>
    <b v="0"/>
    <x v="0"/>
    <x v="16"/>
    <n v="28.786666666666669"/>
    <n v="0"/>
    <n v="0"/>
    <n v="3"/>
    <x v="2"/>
    <m/>
  </r>
  <r>
    <x v="126"/>
    <d v="2026-01-01T00:00:00"/>
    <d v="2026-01-02T00:00:00"/>
    <d v="2026-01-05T00:00:00"/>
    <d v="2026-01-05T00:00:00"/>
    <x v="2"/>
    <x v="5"/>
    <x v="3"/>
    <x v="1"/>
    <n v="309.10000000000002"/>
    <n v="3801.6"/>
    <n v="5872000"/>
    <b v="0"/>
    <b v="0"/>
    <n v="5000"/>
    <b v="0"/>
    <b v="0"/>
    <b v="0"/>
    <x v="0"/>
    <x v="17"/>
    <n v="76.031999999999996"/>
    <n v="0"/>
    <n v="0"/>
    <n v="3"/>
    <x v="3"/>
    <m/>
  </r>
  <r>
    <x v="127"/>
    <d v="2026-06-21T00:00:00"/>
    <d v="2026-06-22T00:00:00"/>
    <d v="2026-06-26T00:00:00"/>
    <d v="2026-06-26T00:00:00"/>
    <x v="3"/>
    <x v="9"/>
    <x v="2"/>
    <x v="2"/>
    <n v="949.1"/>
    <n v="14287.8"/>
    <n v="22286000"/>
    <b v="0"/>
    <b v="0"/>
    <n v="16000"/>
    <b v="0"/>
    <b v="0"/>
    <b v="0"/>
    <x v="0"/>
    <x v="31"/>
    <n v="89.298749999999998"/>
    <n v="0"/>
    <n v="0"/>
    <n v="4"/>
    <x v="1"/>
    <m/>
  </r>
  <r>
    <x v="128"/>
    <d v="2026-04-04T00:00:00"/>
    <d v="2026-04-05T00:00:00"/>
    <d v="2026-04-10T00:00:00"/>
    <d v="2026-04-11T00:00:00"/>
    <x v="2"/>
    <x v="4"/>
    <x v="5"/>
    <x v="1"/>
    <n v="721"/>
    <n v="3857.9"/>
    <n v="11022000"/>
    <b v="0"/>
    <b v="0"/>
    <n v="5000"/>
    <b v="0"/>
    <b v="0"/>
    <b v="0"/>
    <x v="1"/>
    <x v="4"/>
    <n v="77.158000000000001"/>
    <n v="0"/>
    <n v="0"/>
    <n v="6"/>
    <x v="4"/>
    <n v="1"/>
  </r>
  <r>
    <x v="129"/>
    <d v="2026-05-16T00:00:00"/>
    <d v="2026-05-18T00:00:00"/>
    <d v="2026-05-22T00:00:00"/>
    <d v="2026-05-22T00:00:00"/>
    <x v="3"/>
    <x v="10"/>
    <x v="2"/>
    <x v="1"/>
    <n v="660.2"/>
    <n v="1407.3"/>
    <n v="8093000"/>
    <b v="0"/>
    <b v="0"/>
    <n v="5000"/>
    <b v="0"/>
    <b v="0"/>
    <b v="0"/>
    <x v="0"/>
    <x v="32"/>
    <n v="28.146000000000001"/>
    <n v="0"/>
    <n v="0"/>
    <n v="4"/>
    <x v="2"/>
    <m/>
  </r>
  <r>
    <x v="130"/>
    <d v="2026-03-30T00:00:00"/>
    <d v="2026-04-01T00:00:00"/>
    <d v="2026-04-04T00:00:00"/>
    <d v="2026-04-04T00:00:00"/>
    <x v="3"/>
    <x v="5"/>
    <x v="2"/>
    <x v="0"/>
    <n v="482.6"/>
    <n v="279.2"/>
    <n v="5189000"/>
    <b v="0"/>
    <b v="0"/>
    <n v="1500"/>
    <b v="0"/>
    <b v="0"/>
    <b v="0"/>
    <x v="0"/>
    <x v="37"/>
    <n v="18.61333333333333"/>
    <n v="0"/>
    <n v="0"/>
    <n v="3"/>
    <x v="4"/>
    <m/>
  </r>
  <r>
    <x v="131"/>
    <d v="2026-04-13T00:00:00"/>
    <d v="2026-04-14T00:00:00"/>
    <d v="2026-04-16T00:00:00"/>
    <d v="2026-04-16T00:00:00"/>
    <x v="2"/>
    <x v="0"/>
    <x v="0"/>
    <x v="0"/>
    <n v="285.5"/>
    <n v="1085.9000000000001"/>
    <n v="3584000"/>
    <b v="0"/>
    <b v="0"/>
    <n v="1500"/>
    <b v="0"/>
    <b v="0"/>
    <b v="0"/>
    <x v="0"/>
    <x v="7"/>
    <n v="72.393333333333345"/>
    <n v="0"/>
    <n v="0"/>
    <n v="2"/>
    <x v="4"/>
    <m/>
  </r>
  <r>
    <x v="132"/>
    <d v="2026-01-24T00:00:00"/>
    <d v="2026-01-26T00:00:00"/>
    <d v="2026-01-27T00:00:00"/>
    <d v="2026-01-27T00:00:00"/>
    <x v="3"/>
    <x v="11"/>
    <x v="5"/>
    <x v="1"/>
    <n v="21.6"/>
    <n v="1941.6"/>
    <n v="1817000"/>
    <b v="0"/>
    <b v="0"/>
    <n v="5000"/>
    <b v="0"/>
    <b v="0"/>
    <b v="0"/>
    <x v="0"/>
    <x v="39"/>
    <n v="38.832000000000001"/>
    <n v="0"/>
    <n v="0"/>
    <n v="1"/>
    <x v="3"/>
    <m/>
  </r>
  <r>
    <x v="133"/>
    <d v="2026-04-03T00:00:00"/>
    <d v="2026-04-03T00:00:00"/>
    <d v="2026-04-05T00:00:00"/>
    <d v="2026-04-06T00:00:00"/>
    <x v="2"/>
    <x v="0"/>
    <x v="0"/>
    <x v="2"/>
    <n v="294.39999999999998"/>
    <n v="4072.3"/>
    <n v="7088000"/>
    <b v="0"/>
    <b v="0"/>
    <n v="16000"/>
    <b v="0"/>
    <b v="0"/>
    <b v="0"/>
    <x v="1"/>
    <x v="7"/>
    <n v="25.451875000000001"/>
    <n v="0"/>
    <n v="0"/>
    <n v="3"/>
    <x v="4"/>
    <n v="1"/>
  </r>
  <r>
    <x v="134"/>
    <d v="2026-03-17T00:00:00"/>
    <d v="2026-03-18T00:00:00"/>
    <d v="2026-03-22T00:00:00"/>
    <d v="2026-03-23T00:00:00"/>
    <x v="2"/>
    <x v="3"/>
    <x v="3"/>
    <x v="0"/>
    <n v="960.7"/>
    <n v="1369.8"/>
    <n v="11328000"/>
    <b v="0"/>
    <b v="0"/>
    <n v="1500"/>
    <b v="0"/>
    <b v="0"/>
    <b v="0"/>
    <x v="1"/>
    <x v="3"/>
    <n v="91.32"/>
    <n v="0"/>
    <n v="0"/>
    <n v="5"/>
    <x v="6"/>
    <n v="1"/>
  </r>
  <r>
    <x v="135"/>
    <d v="2026-05-23T00:00:00"/>
    <d v="2026-05-24T00:00:00"/>
    <d v="2026-05-27T00:00:00"/>
    <d v="2026-05-28T00:00:00"/>
    <x v="1"/>
    <x v="9"/>
    <x v="0"/>
    <x v="0"/>
    <n v="466"/>
    <n v="895"/>
    <n v="5003000"/>
    <b v="0"/>
    <b v="0"/>
    <n v="1500"/>
    <b v="0"/>
    <b v="0"/>
    <b v="0"/>
    <x v="1"/>
    <x v="24"/>
    <n v="59.666666666666671"/>
    <n v="0"/>
    <n v="0"/>
    <n v="4"/>
    <x v="2"/>
    <n v="1"/>
  </r>
  <r>
    <x v="136"/>
    <d v="2026-02-22T00:00:00"/>
    <d v="2026-02-23T00:00:00"/>
    <d v="2026-02-25T00:00:00"/>
    <d v="2026-02-27T00:00:00"/>
    <x v="1"/>
    <x v="6"/>
    <x v="5"/>
    <x v="1"/>
    <n v="154"/>
    <n v="3844.5"/>
    <n v="4864000"/>
    <b v="0"/>
    <b v="0"/>
    <n v="5000"/>
    <b v="0"/>
    <b v="0"/>
    <b v="0"/>
    <x v="1"/>
    <x v="9"/>
    <n v="76.89"/>
    <n v="0"/>
    <n v="0"/>
    <n v="4"/>
    <x v="5"/>
    <n v="2"/>
  </r>
  <r>
    <x v="137"/>
    <d v="2026-04-07T00:00:00"/>
    <d v="2026-04-09T00:00:00"/>
    <d v="2026-04-13T00:00:00"/>
    <d v="2026-04-14T00:00:00"/>
    <x v="3"/>
    <x v="3"/>
    <x v="0"/>
    <x v="1"/>
    <n v="1542.6"/>
    <n v="1674.4"/>
    <n v="25519000"/>
    <b v="0"/>
    <b v="0"/>
    <n v="5000"/>
    <b v="0"/>
    <b v="0"/>
    <b v="0"/>
    <x v="1"/>
    <x v="43"/>
    <n v="33.488"/>
    <n v="0"/>
    <n v="0"/>
    <n v="5"/>
    <x v="4"/>
    <n v="1"/>
  </r>
  <r>
    <x v="138"/>
    <d v="2026-04-03T00:00:00"/>
    <d v="2026-04-03T00:00:00"/>
    <d v="2026-04-05T00:00:00"/>
    <m/>
    <x v="0"/>
    <x v="1"/>
    <x v="5"/>
    <x v="2"/>
    <n v="260.3"/>
    <n v="7372.7"/>
    <n v="7710000"/>
    <b v="0"/>
    <b v="0"/>
    <n v="16000"/>
    <b v="0"/>
    <b v="0"/>
    <b v="0"/>
    <x v="2"/>
    <x v="1"/>
    <n v="46.079374999999999"/>
    <n v="0"/>
    <n v="0"/>
    <m/>
    <x v="4"/>
    <m/>
  </r>
  <r>
    <x v="139"/>
    <d v="2026-03-17T00:00:00"/>
    <d v="2026-03-18T00:00:00"/>
    <d v="2026-03-20T00:00:00"/>
    <d v="2026-03-20T00:00:00"/>
    <x v="2"/>
    <x v="7"/>
    <x v="5"/>
    <x v="2"/>
    <n v="192"/>
    <n v="13402.1"/>
    <n v="9125000"/>
    <b v="0"/>
    <b v="0"/>
    <n v="16000"/>
    <b v="0"/>
    <b v="0"/>
    <b v="0"/>
    <x v="0"/>
    <x v="10"/>
    <n v="83.763125000000002"/>
    <n v="0"/>
    <n v="0"/>
    <n v="2"/>
    <x v="6"/>
    <m/>
  </r>
  <r>
    <x v="140"/>
    <d v="2026-02-20T00:00:00"/>
    <d v="2026-02-21T00:00:00"/>
    <d v="2026-02-25T00:00:00"/>
    <d v="2026-02-26T00:00:00"/>
    <x v="1"/>
    <x v="3"/>
    <x v="2"/>
    <x v="3"/>
    <n v="876.9"/>
    <n v="519.70000000000005"/>
    <n v="8340000"/>
    <b v="0"/>
    <b v="0"/>
    <n v="1000"/>
    <b v="0"/>
    <b v="0"/>
    <b v="0"/>
    <x v="1"/>
    <x v="35"/>
    <n v="51.970000000000013"/>
    <n v="0"/>
    <n v="0"/>
    <n v="5"/>
    <x v="5"/>
    <n v="1"/>
  </r>
  <r>
    <x v="141"/>
    <d v="2026-01-05T00:00:00"/>
    <d v="2026-01-06T00:00:00"/>
    <d v="2026-01-07T00:00:00"/>
    <d v="2026-01-07T00:00:00"/>
    <x v="0"/>
    <x v="6"/>
    <x v="3"/>
    <x v="3"/>
    <n v="14.4"/>
    <n v="778"/>
    <n v="6036000"/>
    <b v="0"/>
    <b v="0"/>
    <n v="1000"/>
    <b v="0"/>
    <b v="0"/>
    <b v="0"/>
    <x v="0"/>
    <x v="19"/>
    <n v="77.8"/>
    <n v="0"/>
    <n v="0"/>
    <n v="1"/>
    <x v="3"/>
    <m/>
  </r>
  <r>
    <x v="142"/>
    <d v="2026-04-25T00:00:00"/>
    <d v="2026-04-26T00:00:00"/>
    <d v="2026-04-27T00:00:00"/>
    <d v="2026-04-27T00:00:00"/>
    <x v="2"/>
    <x v="8"/>
    <x v="2"/>
    <x v="3"/>
    <n v="15.7"/>
    <n v="80"/>
    <n v="641000"/>
    <b v="0"/>
    <b v="0"/>
    <n v="1000"/>
    <b v="0"/>
    <b v="0"/>
    <b v="0"/>
    <x v="0"/>
    <x v="18"/>
    <n v="8"/>
    <n v="0"/>
    <n v="0"/>
    <n v="1"/>
    <x v="4"/>
    <m/>
  </r>
  <r>
    <x v="143"/>
    <d v="2026-03-20T00:00:00"/>
    <d v="2026-03-20T00:00:00"/>
    <d v="2026-03-22T00:00:00"/>
    <d v="2026-03-22T00:00:00"/>
    <x v="1"/>
    <x v="10"/>
    <x v="0"/>
    <x v="0"/>
    <n v="26.2"/>
    <n v="266.3"/>
    <n v="877000"/>
    <b v="0"/>
    <b v="0"/>
    <n v="1500"/>
    <b v="0"/>
    <b v="0"/>
    <b v="0"/>
    <x v="0"/>
    <x v="27"/>
    <n v="17.75333333333333"/>
    <n v="0"/>
    <n v="0"/>
    <n v="2"/>
    <x v="6"/>
    <m/>
  </r>
  <r>
    <x v="144"/>
    <d v="2026-06-17T00:00:00"/>
    <d v="2026-06-19T00:00:00"/>
    <d v="2026-06-21T00:00:00"/>
    <d v="2026-06-20T00:00:00"/>
    <x v="2"/>
    <x v="6"/>
    <x v="2"/>
    <x v="0"/>
    <n v="131.5"/>
    <n v="718.1"/>
    <n v="2223000"/>
    <b v="0"/>
    <b v="0"/>
    <n v="1500"/>
    <b v="0"/>
    <b v="0"/>
    <b v="0"/>
    <x v="0"/>
    <x v="6"/>
    <n v="47.873333333333328"/>
    <n v="0"/>
    <n v="0"/>
    <n v="1"/>
    <x v="1"/>
    <m/>
  </r>
  <r>
    <x v="145"/>
    <d v="2026-05-22T00:00:00"/>
    <d v="2026-05-23T00:00:00"/>
    <d v="2026-05-26T00:00:00"/>
    <d v="2026-05-25T00:00:00"/>
    <x v="2"/>
    <x v="1"/>
    <x v="5"/>
    <x v="3"/>
    <n v="316.3"/>
    <n v="200.1"/>
    <n v="3067000"/>
    <b v="0"/>
    <b v="0"/>
    <n v="1000"/>
    <b v="0"/>
    <b v="0"/>
    <b v="0"/>
    <x v="0"/>
    <x v="16"/>
    <n v="20.010000000000002"/>
    <n v="0"/>
    <n v="0"/>
    <n v="2"/>
    <x v="2"/>
    <m/>
  </r>
  <r>
    <x v="146"/>
    <d v="2026-01-17T00:00:00"/>
    <d v="2026-01-18T00:00:00"/>
    <d v="2026-01-19T00:00:00"/>
    <d v="2026-01-19T00:00:00"/>
    <x v="2"/>
    <x v="8"/>
    <x v="2"/>
    <x v="2"/>
    <n v="19.2"/>
    <n v="8027.7"/>
    <n v="3625000"/>
    <b v="0"/>
    <b v="0"/>
    <n v="16000"/>
    <b v="0"/>
    <b v="0"/>
    <b v="0"/>
    <x v="0"/>
    <x v="18"/>
    <n v="50.173124999999999"/>
    <n v="0"/>
    <n v="0"/>
    <n v="1"/>
    <x v="3"/>
    <m/>
  </r>
  <r>
    <x v="147"/>
    <d v="2026-05-14T00:00:00"/>
    <d v="2026-05-15T00:00:00"/>
    <d v="2026-05-17T00:00:00"/>
    <d v="2026-05-17T00:00:00"/>
    <x v="0"/>
    <x v="5"/>
    <x v="5"/>
    <x v="1"/>
    <n v="174.1"/>
    <n v="644.6"/>
    <n v="3631000"/>
    <b v="0"/>
    <b v="0"/>
    <n v="5000"/>
    <b v="0"/>
    <b v="0"/>
    <b v="0"/>
    <x v="0"/>
    <x v="8"/>
    <n v="12.891999999999999"/>
    <n v="0"/>
    <n v="0"/>
    <n v="2"/>
    <x v="2"/>
    <m/>
  </r>
  <r>
    <x v="148"/>
    <d v="2026-04-22T00:00:00"/>
    <d v="2026-04-23T00:00:00"/>
    <d v="2026-04-27T00:00:00"/>
    <d v="2026-04-27T00:00:00"/>
    <x v="1"/>
    <x v="4"/>
    <x v="5"/>
    <x v="0"/>
    <n v="718.8"/>
    <n v="364"/>
    <n v="7570000"/>
    <b v="0"/>
    <b v="0"/>
    <n v="1500"/>
    <b v="0"/>
    <b v="0"/>
    <b v="0"/>
    <x v="0"/>
    <x v="38"/>
    <n v="24.266666666666669"/>
    <n v="0"/>
    <n v="0"/>
    <n v="4"/>
    <x v="4"/>
    <m/>
  </r>
  <r>
    <x v="149"/>
    <d v="2026-01-23T00:00:00"/>
    <d v="2026-01-23T00:00:00"/>
    <d v="2026-01-25T00:00:00"/>
    <d v="2026-01-26T00:00:00"/>
    <x v="0"/>
    <x v="5"/>
    <x v="1"/>
    <x v="3"/>
    <n v="171.5"/>
    <n v="727"/>
    <n v="1828000"/>
    <b v="0"/>
    <b v="0"/>
    <n v="1000"/>
    <b v="0"/>
    <b v="0"/>
    <b v="0"/>
    <x v="1"/>
    <x v="8"/>
    <n v="72.7"/>
    <n v="0"/>
    <n v="0"/>
    <n v="3"/>
    <x v="3"/>
    <n v="1"/>
  </r>
  <r>
    <x v="150"/>
    <d v="2026-01-19T00:00:00"/>
    <d v="2026-01-20T00:00:00"/>
    <d v="2026-01-23T00:00:00"/>
    <d v="2026-01-26T00:00:00"/>
    <x v="1"/>
    <x v="5"/>
    <x v="2"/>
    <x v="0"/>
    <n v="335.5"/>
    <n v="789.4"/>
    <n v="4556000"/>
    <b v="0"/>
    <b v="0"/>
    <n v="1500"/>
    <b v="0"/>
    <b v="0"/>
    <b v="0"/>
    <x v="1"/>
    <x v="5"/>
    <n v="52.626666666666672"/>
    <n v="0"/>
    <n v="0"/>
    <n v="6"/>
    <x v="3"/>
    <n v="3"/>
  </r>
  <r>
    <x v="151"/>
    <d v="2026-05-18T00:00:00"/>
    <d v="2026-05-19T00:00:00"/>
    <d v="2026-05-23T00:00:00"/>
    <d v="2026-05-23T00:00:00"/>
    <x v="1"/>
    <x v="11"/>
    <x v="0"/>
    <x v="1"/>
    <n v="659"/>
    <n v="593.1"/>
    <n v="7758000"/>
    <b v="0"/>
    <b v="0"/>
    <n v="5000"/>
    <b v="0"/>
    <b v="0"/>
    <b v="0"/>
    <x v="0"/>
    <x v="33"/>
    <n v="11.862"/>
    <n v="0"/>
    <n v="0"/>
    <n v="4"/>
    <x v="2"/>
    <m/>
  </r>
  <r>
    <x v="152"/>
    <d v="2026-02-24T00:00:00"/>
    <d v="2026-02-26T00:00:00"/>
    <d v="2026-02-28T00:00:00"/>
    <d v="2026-02-28T00:00:00"/>
    <x v="0"/>
    <x v="8"/>
    <x v="2"/>
    <x v="0"/>
    <n v="133.1"/>
    <n v="649.4"/>
    <n v="1898000"/>
    <b v="0"/>
    <b v="0"/>
    <n v="1500"/>
    <b v="0"/>
    <b v="0"/>
    <b v="0"/>
    <x v="0"/>
    <x v="22"/>
    <n v="43.293333333333337"/>
    <n v="0"/>
    <n v="0"/>
    <n v="2"/>
    <x v="5"/>
    <m/>
  </r>
  <r>
    <x v="153"/>
    <d v="2026-04-26T00:00:00"/>
    <d v="2026-04-27T00:00:00"/>
    <d v="2026-04-26T00:00:00"/>
    <d v="2026-05-01T00:00:00"/>
    <x v="0"/>
    <x v="9"/>
    <x v="1"/>
    <x v="1"/>
    <n v="577.1"/>
    <n v="3349.3"/>
    <n v="9326000"/>
    <b v="1"/>
    <b v="0"/>
    <n v="5000"/>
    <b v="0"/>
    <b v="0"/>
    <b v="1"/>
    <x v="3"/>
    <x v="44"/>
    <n v="66.986000000000004"/>
    <n v="0"/>
    <n v="1"/>
    <m/>
    <x v="4"/>
    <m/>
  </r>
  <r>
    <x v="154"/>
    <d v="2026-06-17T00:00:00"/>
    <d v="2026-06-19T00:00:00"/>
    <d v="2026-06-23T00:00:00"/>
    <d v="2026-06-24T00:00:00"/>
    <x v="2"/>
    <x v="3"/>
    <x v="2"/>
    <x v="0"/>
    <n v="916.8"/>
    <n v="867.1"/>
    <n v="9335000"/>
    <b v="0"/>
    <b v="0"/>
    <n v="1500"/>
    <b v="0"/>
    <b v="0"/>
    <b v="0"/>
    <x v="1"/>
    <x v="3"/>
    <n v="57.806666666666672"/>
    <n v="0"/>
    <n v="0"/>
    <n v="5"/>
    <x v="1"/>
    <n v="1"/>
  </r>
  <r>
    <x v="155"/>
    <d v="2026-05-28T00:00:00"/>
    <d v="2026-05-29T00:00:00"/>
    <d v="2026-06-01T00:00:00"/>
    <d v="2026-06-01T00:00:00"/>
    <x v="2"/>
    <x v="9"/>
    <x v="5"/>
    <x v="3"/>
    <n v="493"/>
    <n v="370.4"/>
    <n v="5575000"/>
    <b v="0"/>
    <b v="0"/>
    <n v="1000"/>
    <b v="0"/>
    <b v="0"/>
    <b v="0"/>
    <x v="0"/>
    <x v="20"/>
    <n v="37.039999999999992"/>
    <n v="0"/>
    <n v="0"/>
    <n v="3"/>
    <x v="2"/>
    <m/>
  </r>
  <r>
    <x v="156"/>
    <d v="2026-04-24T00:00:00"/>
    <d v="2026-04-26T00:00:00"/>
    <d v="2026-04-28T00:00:00"/>
    <d v="2026-04-30T00:00:00"/>
    <x v="2"/>
    <x v="7"/>
    <x v="0"/>
    <x v="1"/>
    <n v="178.4"/>
    <n v="1561.8"/>
    <n v="3165000"/>
    <b v="0"/>
    <b v="0"/>
    <n v="5000"/>
    <b v="0"/>
    <b v="0"/>
    <b v="0"/>
    <x v="1"/>
    <x v="10"/>
    <n v="31.236000000000001"/>
    <n v="0"/>
    <n v="0"/>
    <n v="4"/>
    <x v="4"/>
    <n v="2"/>
  </r>
  <r>
    <x v="157"/>
    <d v="2026-03-25T00:00:00"/>
    <d v="2026-03-25T00:00:00"/>
    <d v="2026-03-28T00:00:00"/>
    <d v="2026-03-28T00:00:00"/>
    <x v="3"/>
    <x v="0"/>
    <x v="3"/>
    <x v="1"/>
    <n v="599.4"/>
    <n v="2442"/>
    <n v="9253000"/>
    <b v="0"/>
    <b v="0"/>
    <n v="5000"/>
    <b v="0"/>
    <b v="0"/>
    <b v="0"/>
    <x v="0"/>
    <x v="11"/>
    <n v="48.84"/>
    <n v="0"/>
    <n v="0"/>
    <n v="3"/>
    <x v="6"/>
    <m/>
  </r>
  <r>
    <x v="158"/>
    <d v="2026-01-17T00:00:00"/>
    <d v="2026-01-18T00:00:00"/>
    <d v="2026-01-19T00:00:00"/>
    <m/>
    <x v="1"/>
    <x v="8"/>
    <x v="2"/>
    <x v="0"/>
    <n v="53.4"/>
    <n v="932.3"/>
    <n v="1519000"/>
    <b v="0"/>
    <b v="0"/>
    <n v="1500"/>
    <b v="0"/>
    <b v="0"/>
    <b v="0"/>
    <x v="2"/>
    <x v="28"/>
    <n v="62.153333333333329"/>
    <n v="0"/>
    <n v="0"/>
    <m/>
    <x v="3"/>
    <m/>
  </r>
  <r>
    <x v="159"/>
    <d v="2026-03-06T00:00:00"/>
    <d v="2026-03-07T00:00:00"/>
    <d v="2026-03-10T00:00:00"/>
    <d v="2026-03-10T00:00:00"/>
    <x v="3"/>
    <x v="1"/>
    <x v="2"/>
    <x v="1"/>
    <n v="518.6"/>
    <n v="3325.6"/>
    <n v="9256000"/>
    <b v="0"/>
    <b v="0"/>
    <n v="5000"/>
    <b v="0"/>
    <b v="0"/>
    <b v="0"/>
    <x v="0"/>
    <x v="21"/>
    <n v="66.512"/>
    <n v="0"/>
    <n v="0"/>
    <n v="3"/>
    <x v="6"/>
    <m/>
  </r>
  <r>
    <x v="160"/>
    <d v="2026-06-25T00:00:00"/>
    <d v="2026-06-26T00:00:00"/>
    <d v="2026-06-27T00:00:00"/>
    <d v="2026-06-27T00:00:00"/>
    <x v="0"/>
    <x v="6"/>
    <x v="2"/>
    <x v="3"/>
    <n v="14.1"/>
    <n v="203.7"/>
    <n v="618000"/>
    <b v="0"/>
    <b v="0"/>
    <n v="1000"/>
    <b v="0"/>
    <b v="0"/>
    <b v="0"/>
    <x v="0"/>
    <x v="19"/>
    <n v="20.37"/>
    <n v="0"/>
    <n v="0"/>
    <n v="1"/>
    <x v="1"/>
    <m/>
  </r>
  <r>
    <x v="161"/>
    <d v="2026-06-13T00:00:00"/>
    <d v="2026-06-14T00:00:00"/>
    <d v="2026-06-17T00:00:00"/>
    <d v="2026-06-17T00:00:00"/>
    <x v="1"/>
    <x v="6"/>
    <x v="5"/>
    <x v="2"/>
    <n v="161.1"/>
    <n v="9002.2000000000007"/>
    <n v="7466000"/>
    <b v="0"/>
    <b v="0"/>
    <n v="16000"/>
    <b v="0"/>
    <b v="0"/>
    <b v="0"/>
    <x v="0"/>
    <x v="9"/>
    <n v="56.263750000000002"/>
    <n v="0"/>
    <n v="0"/>
    <n v="3"/>
    <x v="1"/>
    <m/>
  </r>
  <r>
    <x v="162"/>
    <d v="2026-01-15T00:00:00"/>
    <d v="2026-01-16T00:00:00"/>
    <d v="2026-01-19T00:00:00"/>
    <d v="2026-01-19T00:00:00"/>
    <x v="1"/>
    <x v="2"/>
    <x v="2"/>
    <x v="2"/>
    <n v="313"/>
    <n v="5030.2"/>
    <n v="8217000"/>
    <b v="0"/>
    <b v="0"/>
    <n v="16000"/>
    <b v="0"/>
    <b v="0"/>
    <b v="0"/>
    <x v="0"/>
    <x v="2"/>
    <n v="31.438749999999999"/>
    <n v="0"/>
    <n v="0"/>
    <n v="3"/>
    <x v="3"/>
    <m/>
  </r>
  <r>
    <x v="163"/>
    <d v="2026-02-13T00:00:00"/>
    <d v="2026-02-13T00:00:00"/>
    <d v="2026-02-16T00:00:00"/>
    <d v="2026-02-16T00:00:00"/>
    <x v="1"/>
    <x v="0"/>
    <x v="5"/>
    <x v="3"/>
    <n v="265.8"/>
    <n v="843.1"/>
    <n v="3054000"/>
    <b v="0"/>
    <b v="0"/>
    <n v="1000"/>
    <b v="0"/>
    <b v="0"/>
    <b v="0"/>
    <x v="0"/>
    <x v="12"/>
    <n v="84.31"/>
    <n v="0"/>
    <n v="0"/>
    <n v="3"/>
    <x v="5"/>
    <m/>
  </r>
  <r>
    <x v="164"/>
    <d v="2026-02-06T00:00:00"/>
    <d v="2026-02-07T00:00:00"/>
    <d v="2026-02-11T00:00:00"/>
    <d v="2026-02-10T00:00:00"/>
    <x v="3"/>
    <x v="7"/>
    <x v="1"/>
    <x v="1"/>
    <n v="705.9"/>
    <n v="1131.5999999999999"/>
    <n v="10007000"/>
    <b v="0"/>
    <b v="0"/>
    <n v="5000"/>
    <b v="0"/>
    <b v="0"/>
    <b v="0"/>
    <x v="0"/>
    <x v="40"/>
    <n v="22.632000000000001"/>
    <n v="0"/>
    <n v="0"/>
    <n v="3"/>
    <x v="5"/>
    <m/>
  </r>
  <r>
    <x v="165"/>
    <d v="2026-05-01T00:00:00"/>
    <d v="2026-05-02T00:00:00"/>
    <d v="2026-05-03T00:00:00"/>
    <d v="2026-05-03T00:00:00"/>
    <x v="2"/>
    <x v="10"/>
    <x v="3"/>
    <x v="0"/>
    <n v="60.8"/>
    <n v="615.20000000000005"/>
    <n v="1359000"/>
    <b v="0"/>
    <b v="0"/>
    <n v="1500"/>
    <b v="0"/>
    <b v="0"/>
    <b v="0"/>
    <x v="0"/>
    <x v="34"/>
    <n v="41.013333333333343"/>
    <n v="0"/>
    <n v="0"/>
    <n v="1"/>
    <x v="2"/>
    <m/>
  </r>
  <r>
    <x v="166"/>
    <d v="2026-04-23T00:00:00"/>
    <d v="2026-04-24T00:00:00"/>
    <d v="2026-04-28T00:00:00"/>
    <d v="2026-04-28T00:00:00"/>
    <x v="2"/>
    <x v="4"/>
    <x v="0"/>
    <x v="0"/>
    <n v="754.6"/>
    <n v="730.1"/>
    <n v="7751000"/>
    <b v="0"/>
    <b v="0"/>
    <n v="1500"/>
    <b v="0"/>
    <b v="0"/>
    <b v="0"/>
    <x v="0"/>
    <x v="4"/>
    <n v="48.673333333333332"/>
    <n v="0"/>
    <n v="0"/>
    <n v="4"/>
    <x v="4"/>
    <m/>
  </r>
  <r>
    <x v="167"/>
    <d v="2026-04-01T00:00:00"/>
    <d v="2026-04-02T00:00:00"/>
    <d v="2026-04-05T00:00:00"/>
    <d v="2026-04-05T00:00:00"/>
    <x v="3"/>
    <x v="1"/>
    <x v="5"/>
    <x v="3"/>
    <n v="585.4"/>
    <n v="264.89999999999998"/>
    <n v="6447000"/>
    <b v="0"/>
    <b v="0"/>
    <n v="1000"/>
    <b v="0"/>
    <b v="0"/>
    <b v="0"/>
    <x v="0"/>
    <x v="21"/>
    <n v="26.49"/>
    <n v="0"/>
    <n v="0"/>
    <n v="3"/>
    <x v="4"/>
    <m/>
  </r>
  <r>
    <x v="168"/>
    <d v="2026-06-21T00:00:00"/>
    <d v="2026-06-22T00:00:00"/>
    <d v="2026-06-25T00:00:00"/>
    <d v="2026-06-25T00:00:00"/>
    <x v="3"/>
    <x v="1"/>
    <x v="0"/>
    <x v="1"/>
    <n v="530.6"/>
    <n v="3018.4"/>
    <n v="7869000"/>
    <b v="0"/>
    <b v="0"/>
    <n v="5000"/>
    <b v="0"/>
    <b v="0"/>
    <b v="0"/>
    <x v="0"/>
    <x v="21"/>
    <n v="60.368000000000002"/>
    <n v="0"/>
    <n v="0"/>
    <n v="3"/>
    <x v="1"/>
    <m/>
  </r>
  <r>
    <x v="169"/>
    <d v="2026-01-01T00:00:00"/>
    <d v="2026-01-03T00:00:00"/>
    <d v="2026-01-05T00:00:00"/>
    <d v="2026-01-05T00:00:00"/>
    <x v="1"/>
    <x v="6"/>
    <x v="5"/>
    <x v="1"/>
    <n v="156"/>
    <n v="3626.7"/>
    <n v="4088000"/>
    <b v="0"/>
    <b v="0"/>
    <n v="5000"/>
    <b v="0"/>
    <b v="0"/>
    <b v="0"/>
    <x v="0"/>
    <x v="9"/>
    <n v="72.533999999999992"/>
    <n v="0"/>
    <n v="0"/>
    <n v="2"/>
    <x v="3"/>
    <m/>
  </r>
  <r>
    <x v="170"/>
    <d v="2026-04-24T00:00:00"/>
    <d v="2026-04-24T00:00:00"/>
    <d v="2026-04-25T00:00:00"/>
    <d v="2026-04-26T00:00:00"/>
    <x v="1"/>
    <x v="8"/>
    <x v="5"/>
    <x v="1"/>
    <n v="53.9"/>
    <n v="1026.0999999999999"/>
    <n v="1676000"/>
    <b v="0"/>
    <b v="0"/>
    <n v="5000"/>
    <b v="0"/>
    <b v="0"/>
    <b v="0"/>
    <x v="1"/>
    <x v="28"/>
    <n v="20.521999999999998"/>
    <n v="0"/>
    <n v="0"/>
    <n v="2"/>
    <x v="4"/>
    <n v="1"/>
  </r>
  <r>
    <x v="171"/>
    <d v="2026-03-20T00:00:00"/>
    <d v="2026-03-21T00:00:00"/>
    <d v="2026-03-24T00:00:00"/>
    <d v="2026-03-24T00:00:00"/>
    <x v="1"/>
    <x v="9"/>
    <x v="1"/>
    <x v="1"/>
    <n v="460.3"/>
    <n v="1464.3"/>
    <n v="7231000"/>
    <b v="0"/>
    <b v="0"/>
    <n v="5000"/>
    <b v="0"/>
    <b v="0"/>
    <b v="0"/>
    <x v="0"/>
    <x v="24"/>
    <n v="29.286000000000001"/>
    <n v="0"/>
    <n v="0"/>
    <n v="3"/>
    <x v="6"/>
    <m/>
  </r>
  <r>
    <x v="172"/>
    <d v="2026-01-21T00:00:00"/>
    <d v="2026-01-22T00:00:00"/>
    <d v="2026-01-26T00:00:00"/>
    <d v="2026-01-28T00:00:00"/>
    <x v="1"/>
    <x v="3"/>
    <x v="0"/>
    <x v="3"/>
    <n v="946.6"/>
    <n v="652.70000000000005"/>
    <n v="10272000"/>
    <b v="0"/>
    <b v="0"/>
    <n v="1000"/>
    <b v="0"/>
    <b v="0"/>
    <b v="0"/>
    <x v="1"/>
    <x v="35"/>
    <n v="65.27000000000001"/>
    <n v="0"/>
    <n v="0"/>
    <n v="6"/>
    <x v="3"/>
    <n v="2"/>
  </r>
  <r>
    <x v="173"/>
    <d v="2026-04-05T00:00:00"/>
    <d v="2026-04-06T00:00:00"/>
    <d v="2026-04-08T00:00:00"/>
    <d v="2026-04-09T00:00:00"/>
    <x v="0"/>
    <x v="7"/>
    <x v="0"/>
    <x v="3"/>
    <n v="299.60000000000002"/>
    <n v="510.6"/>
    <n v="3528000"/>
    <b v="0"/>
    <b v="0"/>
    <n v="1000"/>
    <b v="0"/>
    <b v="0"/>
    <b v="0"/>
    <x v="1"/>
    <x v="45"/>
    <n v="51.06"/>
    <n v="0"/>
    <n v="0"/>
    <n v="3"/>
    <x v="4"/>
    <n v="1"/>
  </r>
  <r>
    <x v="174"/>
    <d v="2026-04-15T00:00:00"/>
    <d v="2026-04-16T00:00:00"/>
    <d v="2026-04-19T00:00:00"/>
    <d v="2026-04-19T00:00:00"/>
    <x v="2"/>
    <x v="9"/>
    <x v="3"/>
    <x v="3"/>
    <n v="483.9"/>
    <n v="106"/>
    <n v="5028000"/>
    <b v="0"/>
    <b v="0"/>
    <n v="1000"/>
    <b v="0"/>
    <b v="0"/>
    <b v="0"/>
    <x v="0"/>
    <x v="20"/>
    <n v="10.6"/>
    <n v="0"/>
    <n v="0"/>
    <n v="3"/>
    <x v="4"/>
    <m/>
  </r>
  <r>
    <x v="175"/>
    <d v="2026-04-24T00:00:00"/>
    <d v="2026-04-24T00:00:00"/>
    <d v="2026-04-28T00:00:00"/>
    <d v="2026-04-28T00:00:00"/>
    <x v="1"/>
    <x v="11"/>
    <x v="2"/>
    <x v="1"/>
    <n v="601.29999999999995"/>
    <n v="3779.9"/>
    <n v="10390000"/>
    <b v="0"/>
    <b v="0"/>
    <n v="5000"/>
    <b v="0"/>
    <b v="0"/>
    <b v="0"/>
    <x v="0"/>
    <x v="33"/>
    <n v="75.597999999999999"/>
    <n v="0"/>
    <n v="0"/>
    <n v="4"/>
    <x v="4"/>
    <m/>
  </r>
  <r>
    <x v="176"/>
    <d v="2026-02-05T00:00:00"/>
    <d v="2026-02-06T00:00:00"/>
    <d v="2026-02-09T00:00:00"/>
    <d v="2026-02-10T00:00:00"/>
    <x v="3"/>
    <x v="0"/>
    <x v="1"/>
    <x v="0"/>
    <n v="579.29999999999995"/>
    <n v="328.9"/>
    <n v="6129000"/>
    <b v="0"/>
    <b v="0"/>
    <n v="1500"/>
    <b v="0"/>
    <b v="0"/>
    <b v="0"/>
    <x v="1"/>
    <x v="11"/>
    <n v="21.926666666666669"/>
    <n v="0"/>
    <n v="0"/>
    <n v="4"/>
    <x v="5"/>
    <n v="1"/>
  </r>
  <r>
    <x v="177"/>
    <d v="2026-06-23T00:00:00"/>
    <d v="2026-06-23T00:00:00"/>
    <d v="2026-06-24T00:00:00"/>
    <d v="2026-06-25T00:00:00"/>
    <x v="2"/>
    <x v="10"/>
    <x v="2"/>
    <x v="0"/>
    <n v="53.1"/>
    <n v="826.9"/>
    <n v="1369000"/>
    <b v="0"/>
    <b v="0"/>
    <n v="1500"/>
    <b v="0"/>
    <b v="0"/>
    <b v="0"/>
    <x v="1"/>
    <x v="34"/>
    <n v="55.126666666666672"/>
    <n v="0"/>
    <n v="0"/>
    <n v="2"/>
    <x v="1"/>
    <n v="1"/>
  </r>
  <r>
    <x v="178"/>
    <d v="2026-02-15T00:00:00"/>
    <d v="2026-02-16T00:00:00"/>
    <d v="2026-02-17T00:00:00"/>
    <d v="2026-02-18T00:00:00"/>
    <x v="2"/>
    <x v="10"/>
    <x v="3"/>
    <x v="1"/>
    <n v="58.2"/>
    <n v="2995.5"/>
    <n v="2475000"/>
    <b v="0"/>
    <b v="0"/>
    <n v="5000"/>
    <b v="0"/>
    <b v="0"/>
    <b v="0"/>
    <x v="1"/>
    <x v="34"/>
    <n v="59.91"/>
    <n v="0"/>
    <n v="0"/>
    <n v="2"/>
    <x v="5"/>
    <n v="1"/>
  </r>
  <r>
    <x v="179"/>
    <d v="2026-05-02T00:00:00"/>
    <d v="2026-05-03T00:00:00"/>
    <d v="2026-05-06T00:00:00"/>
    <d v="2026-05-07T00:00:00"/>
    <x v="1"/>
    <x v="5"/>
    <x v="0"/>
    <x v="0"/>
    <n v="358.2"/>
    <n v="575.20000000000005"/>
    <n v="3668000"/>
    <b v="0"/>
    <b v="0"/>
    <n v="1500"/>
    <b v="0"/>
    <b v="0"/>
    <b v="0"/>
    <x v="1"/>
    <x v="5"/>
    <n v="38.346666666666671"/>
    <n v="0"/>
    <n v="0"/>
    <n v="4"/>
    <x v="2"/>
    <n v="1"/>
  </r>
  <r>
    <x v="180"/>
    <d v="2026-03-29T00:00:00"/>
    <d v="2026-03-29T00:00:00"/>
    <d v="2026-04-01T00:00:00"/>
    <d v="2026-04-01T00:00:00"/>
    <x v="3"/>
    <x v="1"/>
    <x v="3"/>
    <x v="0"/>
    <n v="594.9"/>
    <n v="585.9"/>
    <n v="6072000"/>
    <b v="0"/>
    <b v="0"/>
    <n v="1500"/>
    <b v="0"/>
    <b v="0"/>
    <b v="0"/>
    <x v="0"/>
    <x v="21"/>
    <n v="39.06"/>
    <n v="0"/>
    <n v="0"/>
    <n v="3"/>
    <x v="6"/>
    <m/>
  </r>
  <r>
    <x v="181"/>
    <d v="2026-01-20T00:00:00"/>
    <d v="2026-01-21T00:00:00"/>
    <d v="2026-01-25T00:00:00"/>
    <d v="2026-01-26T00:00:00"/>
    <x v="1"/>
    <x v="3"/>
    <x v="5"/>
    <x v="1"/>
    <n v="914"/>
    <n v="2485.4"/>
    <n v="13005000"/>
    <b v="0"/>
    <b v="0"/>
    <n v="5000"/>
    <b v="0"/>
    <b v="0"/>
    <b v="0"/>
    <x v="1"/>
    <x v="35"/>
    <n v="49.708000000000013"/>
    <n v="0"/>
    <n v="0"/>
    <n v="5"/>
    <x v="3"/>
    <n v="1"/>
  </r>
  <r>
    <x v="182"/>
    <d v="2026-05-07T00:00:00"/>
    <d v="2026-05-07T00:00:00"/>
    <d v="2026-05-09T00:00:00"/>
    <d v="2026-05-09T00:00:00"/>
    <x v="0"/>
    <x v="7"/>
    <x v="5"/>
    <x v="1"/>
    <n v="289.10000000000002"/>
    <n v="2824.5"/>
    <n v="5423000"/>
    <b v="0"/>
    <b v="0"/>
    <n v="5000"/>
    <b v="0"/>
    <b v="0"/>
    <b v="0"/>
    <x v="0"/>
    <x v="45"/>
    <n v="56.489999999999988"/>
    <n v="0"/>
    <n v="0"/>
    <n v="2"/>
    <x v="2"/>
    <m/>
  </r>
  <r>
    <x v="183"/>
    <d v="2026-01-17T00:00:00"/>
    <d v="2026-01-18T00:00:00"/>
    <d v="2026-01-21T00:00:00"/>
    <d v="2026-01-22T00:00:00"/>
    <x v="1"/>
    <x v="1"/>
    <x v="5"/>
    <x v="2"/>
    <n v="311.60000000000002"/>
    <n v="11523.8"/>
    <m/>
    <b v="0"/>
    <b v="1"/>
    <n v="16000"/>
    <b v="0"/>
    <b v="0"/>
    <b v="1"/>
    <x v="1"/>
    <x v="25"/>
    <n v="72.023749999999993"/>
    <n v="0"/>
    <n v="1"/>
    <n v="4"/>
    <x v="3"/>
    <n v="1"/>
  </r>
  <r>
    <x v="184"/>
    <d v="2026-03-13T00:00:00"/>
    <d v="2026-03-14T00:00:00"/>
    <d v="2026-03-17T00:00:00"/>
    <d v="2026-03-17T00:00:00"/>
    <x v="1"/>
    <x v="2"/>
    <x v="0"/>
    <x v="0"/>
    <n v="363.9"/>
    <n v="1183"/>
    <n v="4638000"/>
    <b v="0"/>
    <b v="0"/>
    <n v="1500"/>
    <b v="0"/>
    <b v="0"/>
    <b v="0"/>
    <x v="0"/>
    <x v="2"/>
    <n v="78.86666666666666"/>
    <n v="0"/>
    <n v="0"/>
    <n v="3"/>
    <x v="6"/>
    <m/>
  </r>
  <r>
    <x v="185"/>
    <d v="2026-02-21T00:00:00"/>
    <d v="2026-02-22T00:00:00"/>
    <d v="2026-02-26T00:00:00"/>
    <d v="2026-02-27T00:00:00"/>
    <x v="1"/>
    <x v="4"/>
    <x v="3"/>
    <x v="3"/>
    <n v="765.6"/>
    <n v="702.8"/>
    <n v="8112000"/>
    <b v="0"/>
    <b v="0"/>
    <n v="1000"/>
    <b v="0"/>
    <b v="0"/>
    <b v="0"/>
    <x v="1"/>
    <x v="38"/>
    <n v="70.28"/>
    <n v="0"/>
    <n v="0"/>
    <n v="5"/>
    <x v="5"/>
    <n v="1"/>
  </r>
  <r>
    <x v="186"/>
    <d v="2026-03-07T00:00:00"/>
    <d v="2026-03-08T00:00:00"/>
    <d v="2026-03-10T00:00:00"/>
    <d v="2026-03-10T00:00:00"/>
    <x v="3"/>
    <x v="4"/>
    <x v="3"/>
    <x v="3"/>
    <n v="146.9"/>
    <n v="533.5"/>
    <n v="1675000"/>
    <b v="0"/>
    <b v="0"/>
    <n v="1000"/>
    <b v="0"/>
    <b v="0"/>
    <b v="0"/>
    <x v="0"/>
    <x v="46"/>
    <n v="53.349999999999987"/>
    <n v="0"/>
    <n v="0"/>
    <n v="2"/>
    <x v="6"/>
    <m/>
  </r>
  <r>
    <x v="187"/>
    <d v="2026-06-19T00:00:00"/>
    <d v="2026-06-19T00:00:00"/>
    <d v="2026-06-23T00:00:00"/>
    <d v="2026-06-24T00:00:00"/>
    <x v="1"/>
    <x v="3"/>
    <x v="2"/>
    <x v="3"/>
    <n v="930.2"/>
    <n v="400.1"/>
    <n v="9199000"/>
    <b v="0"/>
    <b v="0"/>
    <n v="1000"/>
    <b v="0"/>
    <b v="0"/>
    <b v="0"/>
    <x v="1"/>
    <x v="35"/>
    <n v="40.01"/>
    <n v="0"/>
    <n v="0"/>
    <n v="5"/>
    <x v="1"/>
    <n v="1"/>
  </r>
  <r>
    <x v="188"/>
    <d v="2026-04-06T00:00:00"/>
    <d v="2026-04-07T00:00:00"/>
    <d v="2026-04-10T00:00:00"/>
    <d v="2026-04-11T00:00:00"/>
    <x v="2"/>
    <x v="9"/>
    <x v="5"/>
    <x v="0"/>
    <n v="470.1"/>
    <n v="817.6"/>
    <n v="5286000"/>
    <b v="0"/>
    <b v="0"/>
    <n v="1500"/>
    <b v="0"/>
    <b v="0"/>
    <b v="0"/>
    <x v="1"/>
    <x v="20"/>
    <n v="54.506666666666668"/>
    <n v="0"/>
    <n v="0"/>
    <n v="4"/>
    <x v="4"/>
    <n v="1"/>
  </r>
  <r>
    <x v="189"/>
    <d v="2026-05-13T00:00:00"/>
    <d v="2026-05-14T00:00:00"/>
    <d v="2026-05-16T00:00:00"/>
    <d v="2026-05-16T00:00:00"/>
    <x v="1"/>
    <x v="7"/>
    <x v="1"/>
    <x v="0"/>
    <n v="146"/>
    <n v="273.89999999999998"/>
    <n v="1953000"/>
    <b v="0"/>
    <b v="0"/>
    <n v="1500"/>
    <b v="0"/>
    <b v="0"/>
    <b v="0"/>
    <x v="0"/>
    <x v="26"/>
    <n v="18.260000000000002"/>
    <n v="0"/>
    <n v="0"/>
    <n v="2"/>
    <x v="2"/>
    <m/>
  </r>
  <r>
    <x v="190"/>
    <d v="2026-06-11T00:00:00"/>
    <d v="2026-06-12T00:00:00"/>
    <d v="2026-06-16T00:00:00"/>
    <d v="2026-06-18T00:00:00"/>
    <x v="1"/>
    <x v="3"/>
    <x v="2"/>
    <x v="2"/>
    <n v="869"/>
    <n v="4226.3999999999996"/>
    <n v="18292000"/>
    <b v="0"/>
    <b v="0"/>
    <n v="16000"/>
    <b v="0"/>
    <b v="0"/>
    <b v="0"/>
    <x v="1"/>
    <x v="35"/>
    <n v="26.414999999999999"/>
    <n v="0"/>
    <n v="0"/>
    <n v="6"/>
    <x v="1"/>
    <n v="2"/>
  </r>
  <r>
    <x v="191"/>
    <d v="2026-02-04T00:00:00"/>
    <d v="2026-02-05T00:00:00"/>
    <d v="2026-02-09T00:00:00"/>
    <d v="2026-02-09T00:00:00"/>
    <x v="3"/>
    <x v="0"/>
    <x v="0"/>
    <x v="0"/>
    <n v="652.1"/>
    <n v="887.2"/>
    <n v="6167000"/>
    <b v="0"/>
    <b v="0"/>
    <n v="1500"/>
    <b v="0"/>
    <b v="0"/>
    <b v="0"/>
    <x v="0"/>
    <x v="11"/>
    <n v="59.146666666666668"/>
    <n v="0"/>
    <n v="0"/>
    <n v="4"/>
    <x v="5"/>
    <m/>
  </r>
  <r>
    <x v="192"/>
    <d v="2026-02-03T00:00:00"/>
    <d v="2026-02-04T00:00:00"/>
    <d v="2026-02-07T00:00:00"/>
    <d v="2026-02-07T00:00:00"/>
    <x v="0"/>
    <x v="7"/>
    <x v="2"/>
    <x v="2"/>
    <n v="330.1"/>
    <n v="4868"/>
    <n v="8639000"/>
    <b v="0"/>
    <b v="0"/>
    <n v="16000"/>
    <b v="0"/>
    <b v="0"/>
    <b v="0"/>
    <x v="0"/>
    <x v="45"/>
    <n v="30.425000000000001"/>
    <n v="0"/>
    <n v="0"/>
    <n v="3"/>
    <x v="5"/>
    <m/>
  </r>
  <r>
    <x v="193"/>
    <d v="2026-05-03T00:00:00"/>
    <d v="2026-05-04T00:00:00"/>
    <d v="2026-05-08T00:00:00"/>
    <m/>
    <x v="1"/>
    <x v="11"/>
    <x v="0"/>
    <x v="1"/>
    <n v="676.9"/>
    <n v="1379.8"/>
    <n v="9806000"/>
    <b v="0"/>
    <b v="0"/>
    <n v="5000"/>
    <b v="0"/>
    <b v="0"/>
    <b v="0"/>
    <x v="2"/>
    <x v="33"/>
    <n v="27.596"/>
    <n v="0"/>
    <n v="0"/>
    <m/>
    <x v="2"/>
    <m/>
  </r>
  <r>
    <x v="194"/>
    <d v="2026-03-15T00:00:00"/>
    <d v="2026-03-17T00:00:00"/>
    <d v="2026-03-21T00:00:00"/>
    <d v="2026-03-22T00:00:00"/>
    <x v="3"/>
    <x v="7"/>
    <x v="1"/>
    <x v="1"/>
    <n v="661.3"/>
    <n v="4111.8"/>
    <n v="11406000"/>
    <b v="0"/>
    <b v="0"/>
    <n v="5000"/>
    <b v="0"/>
    <b v="0"/>
    <b v="0"/>
    <x v="1"/>
    <x v="40"/>
    <n v="82.236000000000004"/>
    <n v="0"/>
    <n v="0"/>
    <n v="5"/>
    <x v="6"/>
    <n v="1"/>
  </r>
  <r>
    <x v="195"/>
    <d v="2026-03-15T00:00:00"/>
    <d v="2026-03-17T00:00:00"/>
    <d v="2026-03-20T00:00:00"/>
    <m/>
    <x v="1"/>
    <x v="9"/>
    <x v="3"/>
    <x v="0"/>
    <n v="480.1"/>
    <n v="1005.2"/>
    <n v="4832000"/>
    <b v="0"/>
    <b v="0"/>
    <n v="1500"/>
    <b v="0"/>
    <b v="0"/>
    <b v="0"/>
    <x v="2"/>
    <x v="24"/>
    <n v="67.013333333333335"/>
    <n v="0"/>
    <n v="0"/>
    <m/>
    <x v="6"/>
    <m/>
  </r>
  <r>
    <x v="196"/>
    <d v="2026-01-17T00:00:00"/>
    <d v="2026-01-18T00:00:00"/>
    <d v="2026-01-20T00:00:00"/>
    <d v="2026-01-21T00:00:00"/>
    <x v="1"/>
    <x v="6"/>
    <x v="0"/>
    <x v="0"/>
    <n v="147.30000000000001"/>
    <n v="805.7"/>
    <n v="2437000"/>
    <b v="0"/>
    <b v="0"/>
    <n v="1500"/>
    <b v="0"/>
    <b v="0"/>
    <b v="0"/>
    <x v="1"/>
    <x v="9"/>
    <n v="53.713333333333338"/>
    <n v="0"/>
    <n v="0"/>
    <n v="3"/>
    <x v="3"/>
    <n v="1"/>
  </r>
  <r>
    <x v="197"/>
    <d v="2026-03-21T00:00:00"/>
    <d v="2026-03-22T00:00:00"/>
    <d v="2026-03-24T00:00:00"/>
    <d v="2026-03-25T00:00:00"/>
    <x v="2"/>
    <x v="7"/>
    <x v="0"/>
    <x v="1"/>
    <n v="197.5"/>
    <n v="3372.4"/>
    <n v="4318000"/>
    <b v="0"/>
    <b v="0"/>
    <n v="5000"/>
    <b v="0"/>
    <b v="0"/>
    <b v="0"/>
    <x v="1"/>
    <x v="10"/>
    <n v="67.447999999999993"/>
    <n v="0"/>
    <n v="0"/>
    <n v="3"/>
    <x v="6"/>
    <n v="1"/>
  </r>
  <r>
    <x v="198"/>
    <d v="2026-03-21T00:00:00"/>
    <d v="2026-03-22T00:00:00"/>
    <d v="2026-03-23T00:00:00"/>
    <d v="2026-03-21T00:00:00"/>
    <x v="1"/>
    <x v="10"/>
    <x v="0"/>
    <x v="1"/>
    <n v="21.1"/>
    <n v="2068.1"/>
    <n v="2068000"/>
    <b v="1"/>
    <b v="0"/>
    <n v="5000"/>
    <b v="0"/>
    <b v="0"/>
    <b v="1"/>
    <x v="3"/>
    <x v="27"/>
    <n v="41.362000000000002"/>
    <n v="0"/>
    <n v="1"/>
    <m/>
    <x v="6"/>
    <m/>
  </r>
  <r>
    <x v="199"/>
    <d v="2026-04-01T00:00:00"/>
    <d v="2026-04-02T00:00:00"/>
    <d v="2026-04-06T00:00:00"/>
    <d v="2026-04-06T00:00:00"/>
    <x v="1"/>
    <x v="11"/>
    <x v="2"/>
    <x v="3"/>
    <n v="629.29999999999995"/>
    <n v="717.9"/>
    <n v="5625000"/>
    <b v="0"/>
    <b v="0"/>
    <n v="1000"/>
    <b v="0"/>
    <b v="0"/>
    <b v="0"/>
    <x v="0"/>
    <x v="33"/>
    <n v="71.789999999999992"/>
    <n v="0"/>
    <n v="0"/>
    <n v="4"/>
    <x v="4"/>
    <m/>
  </r>
  <r>
    <x v="200"/>
    <d v="2026-06-16T00:00:00"/>
    <d v="2026-06-17T00:00:00"/>
    <d v="2026-06-21T00:00:00"/>
    <d v="2026-06-21T00:00:00"/>
    <x v="3"/>
    <x v="5"/>
    <x v="2"/>
    <x v="0"/>
    <n v="503.9"/>
    <n v="183.3"/>
    <n v="5671000"/>
    <b v="0"/>
    <b v="0"/>
    <n v="1500"/>
    <b v="0"/>
    <b v="0"/>
    <b v="0"/>
    <x v="0"/>
    <x v="37"/>
    <n v="12.22"/>
    <n v="0"/>
    <n v="0"/>
    <n v="4"/>
    <x v="1"/>
    <m/>
  </r>
  <r>
    <x v="201"/>
    <d v="2026-04-08T00:00:00"/>
    <d v="2026-04-10T00:00:00"/>
    <d v="2026-04-14T00:00:00"/>
    <d v="2026-04-14T00:00:00"/>
    <x v="1"/>
    <x v="3"/>
    <x v="2"/>
    <x v="0"/>
    <n v="851.5"/>
    <n v="984.2"/>
    <n v="8719000"/>
    <b v="0"/>
    <b v="0"/>
    <n v="1500"/>
    <b v="0"/>
    <b v="0"/>
    <b v="0"/>
    <x v="0"/>
    <x v="35"/>
    <n v="65.61333333333333"/>
    <n v="0"/>
    <n v="0"/>
    <n v="4"/>
    <x v="4"/>
    <m/>
  </r>
  <r>
    <x v="202"/>
    <d v="2026-06-17T00:00:00"/>
    <d v="2026-06-18T00:00:00"/>
    <d v="2026-06-21T00:00:00"/>
    <d v="2026-06-21T00:00:00"/>
    <x v="1"/>
    <x v="2"/>
    <x v="0"/>
    <x v="1"/>
    <n v="332"/>
    <n v="4129.8"/>
    <n v="6025000"/>
    <b v="0"/>
    <b v="0"/>
    <n v="5000"/>
    <b v="0"/>
    <b v="0"/>
    <b v="0"/>
    <x v="0"/>
    <x v="2"/>
    <n v="82.596000000000004"/>
    <n v="0"/>
    <n v="0"/>
    <n v="3"/>
    <x v="1"/>
    <m/>
  </r>
  <r>
    <x v="203"/>
    <d v="2026-01-02T00:00:00"/>
    <d v="2026-01-03T00:00:00"/>
    <d v="2026-01-06T00:00:00"/>
    <d v="2026-01-07T00:00:00"/>
    <x v="3"/>
    <x v="6"/>
    <x v="1"/>
    <x v="1"/>
    <n v="512.20000000000005"/>
    <n v="1516.1"/>
    <n v="7634000"/>
    <b v="0"/>
    <b v="0"/>
    <n v="5000"/>
    <b v="0"/>
    <b v="0"/>
    <b v="0"/>
    <x v="1"/>
    <x v="13"/>
    <n v="30.321999999999999"/>
    <n v="0"/>
    <n v="0"/>
    <n v="4"/>
    <x v="3"/>
    <n v="1"/>
  </r>
  <r>
    <x v="204"/>
    <d v="2026-04-19T00:00:00"/>
    <d v="2026-04-21T00:00:00"/>
    <d v="2026-04-24T00:00:00"/>
    <d v="2026-04-24T00:00:00"/>
    <x v="2"/>
    <x v="1"/>
    <x v="2"/>
    <x v="1"/>
    <n v="316.5"/>
    <n v="4267.6000000000004"/>
    <n v="6694000"/>
    <b v="0"/>
    <b v="0"/>
    <n v="5000"/>
    <b v="0"/>
    <b v="0"/>
    <b v="0"/>
    <x v="0"/>
    <x v="16"/>
    <n v="85.352000000000004"/>
    <n v="0"/>
    <n v="0"/>
    <n v="3"/>
    <x v="4"/>
    <m/>
  </r>
  <r>
    <x v="205"/>
    <d v="2026-04-03T00:00:00"/>
    <d v="2026-04-05T00:00:00"/>
    <d v="2026-04-09T00:00:00"/>
    <d v="2026-04-09T00:00:00"/>
    <x v="3"/>
    <x v="7"/>
    <x v="2"/>
    <x v="0"/>
    <n v="715.3"/>
    <n v="619.5"/>
    <n v="8118000"/>
    <b v="0"/>
    <b v="0"/>
    <n v="1500"/>
    <b v="0"/>
    <b v="0"/>
    <b v="0"/>
    <x v="0"/>
    <x v="40"/>
    <n v="41.3"/>
    <n v="0"/>
    <n v="0"/>
    <n v="4"/>
    <x v="4"/>
    <m/>
  </r>
  <r>
    <x v="206"/>
    <d v="2026-04-20T00:00:00"/>
    <d v="2026-04-20T00:00:00"/>
    <d v="2026-04-23T00:00:00"/>
    <d v="2026-04-23T00:00:00"/>
    <x v="0"/>
    <x v="11"/>
    <x v="5"/>
    <x v="2"/>
    <n v="469"/>
    <n v="3886.7"/>
    <n v="11040000"/>
    <b v="0"/>
    <b v="0"/>
    <n v="16000"/>
    <b v="0"/>
    <b v="0"/>
    <b v="0"/>
    <x v="0"/>
    <x v="36"/>
    <n v="24.291875000000001"/>
    <n v="0"/>
    <n v="0"/>
    <n v="3"/>
    <x v="4"/>
    <m/>
  </r>
  <r>
    <x v="207"/>
    <d v="2026-04-23T00:00:00"/>
    <d v="2026-04-23T00:00:00"/>
    <d v="2026-04-27T00:00:00"/>
    <d v="2026-04-27T00:00:00"/>
    <x v="3"/>
    <x v="7"/>
    <x v="2"/>
    <x v="2"/>
    <n v="709.9"/>
    <n v="2897.3"/>
    <n v="15363000"/>
    <b v="0"/>
    <b v="0"/>
    <n v="16000"/>
    <b v="0"/>
    <b v="0"/>
    <b v="0"/>
    <x v="0"/>
    <x v="40"/>
    <n v="18.108125000000001"/>
    <n v="0"/>
    <n v="0"/>
    <n v="4"/>
    <x v="4"/>
    <m/>
  </r>
  <r>
    <x v="208"/>
    <d v="2026-01-09T00:00:00"/>
    <d v="2026-01-10T00:00:00"/>
    <d v="2026-01-14T00:00:00"/>
    <d v="2026-01-14T00:00:00"/>
    <x v="3"/>
    <x v="9"/>
    <x v="3"/>
    <x v="1"/>
    <n v="921.4"/>
    <n v="2496.1"/>
    <n v="12411000"/>
    <b v="0"/>
    <b v="0"/>
    <n v="5000"/>
    <b v="0"/>
    <b v="0"/>
    <b v="0"/>
    <x v="0"/>
    <x v="31"/>
    <n v="49.921999999999997"/>
    <n v="0"/>
    <n v="0"/>
    <n v="4"/>
    <x v="3"/>
    <m/>
  </r>
  <r>
    <x v="209"/>
    <d v="2026-05-02T00:00:00"/>
    <d v="2026-05-03T00:00:00"/>
    <d v="2026-05-06T00:00:00"/>
    <d v="2026-05-06T00:00:00"/>
    <x v="2"/>
    <x v="1"/>
    <x v="0"/>
    <x v="2"/>
    <n v="323.3"/>
    <n v="11939.6"/>
    <n v="9988000"/>
    <b v="0"/>
    <b v="0"/>
    <n v="16000"/>
    <b v="0"/>
    <b v="0"/>
    <b v="0"/>
    <x v="0"/>
    <x v="16"/>
    <n v="74.622500000000002"/>
    <n v="0"/>
    <n v="0"/>
    <n v="3"/>
    <x v="2"/>
    <m/>
  </r>
  <r>
    <x v="210"/>
    <d v="2026-06-25T00:00:00"/>
    <d v="2026-06-26T00:00:00"/>
    <d v="2026-06-30T00:00:00"/>
    <d v="2026-06-30T00:00:00"/>
    <x v="3"/>
    <x v="8"/>
    <x v="3"/>
    <x v="3"/>
    <n v="624.5"/>
    <n v="490.6"/>
    <n v="6153000"/>
    <b v="0"/>
    <b v="0"/>
    <n v="1000"/>
    <b v="0"/>
    <b v="0"/>
    <b v="0"/>
    <x v="0"/>
    <x v="15"/>
    <n v="49.06"/>
    <n v="0"/>
    <n v="0"/>
    <n v="4"/>
    <x v="1"/>
    <m/>
  </r>
  <r>
    <x v="211"/>
    <d v="2026-02-02T00:00:00"/>
    <d v="2026-02-03T00:00:00"/>
    <d v="2026-02-07T00:00:00"/>
    <d v="2026-02-08T00:00:00"/>
    <x v="3"/>
    <x v="10"/>
    <x v="2"/>
    <x v="1"/>
    <n v="659.8"/>
    <n v="1639"/>
    <n v="9431000"/>
    <b v="0"/>
    <b v="0"/>
    <n v="5000"/>
    <b v="0"/>
    <b v="0"/>
    <b v="0"/>
    <x v="1"/>
    <x v="32"/>
    <n v="32.78"/>
    <n v="0"/>
    <n v="0"/>
    <n v="5"/>
    <x v="5"/>
    <n v="1"/>
  </r>
  <r>
    <x v="212"/>
    <d v="2026-05-22T00:00:00"/>
    <d v="2026-05-22T00:00:00"/>
    <d v="2026-05-26T00:00:00"/>
    <d v="2026-05-26T00:00:00"/>
    <x v="3"/>
    <x v="8"/>
    <x v="5"/>
    <x v="3"/>
    <n v="600.20000000000005"/>
    <n v="272.2"/>
    <n v="5380000"/>
    <b v="0"/>
    <b v="0"/>
    <n v="1000"/>
    <b v="0"/>
    <b v="0"/>
    <b v="0"/>
    <x v="0"/>
    <x v="15"/>
    <n v="27.22"/>
    <n v="0"/>
    <n v="0"/>
    <n v="4"/>
    <x v="2"/>
    <m/>
  </r>
  <r>
    <x v="213"/>
    <d v="2026-05-22T00:00:00"/>
    <d v="2026-05-22T00:00:00"/>
    <d v="2026-05-24T00:00:00"/>
    <d v="2026-05-24T00:00:00"/>
    <x v="2"/>
    <x v="6"/>
    <x v="2"/>
    <x v="2"/>
    <n v="126.7"/>
    <n v="8737.7000000000007"/>
    <n v="5656000"/>
    <b v="0"/>
    <b v="0"/>
    <n v="16000"/>
    <b v="0"/>
    <b v="0"/>
    <b v="0"/>
    <x v="0"/>
    <x v="6"/>
    <n v="54.610624999999999"/>
    <n v="0"/>
    <n v="0"/>
    <n v="2"/>
    <x v="2"/>
    <m/>
  </r>
  <r>
    <x v="214"/>
    <d v="2026-01-31T00:00:00"/>
    <d v="2026-01-31T00:00:00"/>
    <d v="2026-02-03T00:00:00"/>
    <d v="2026-02-04T00:00:00"/>
    <x v="3"/>
    <x v="1"/>
    <x v="1"/>
    <x v="0"/>
    <n v="581.1"/>
    <n v="626.9"/>
    <n v="6056000"/>
    <b v="0"/>
    <b v="0"/>
    <n v="1500"/>
    <b v="0"/>
    <b v="0"/>
    <b v="0"/>
    <x v="1"/>
    <x v="21"/>
    <n v="41.793333333333329"/>
    <n v="0"/>
    <n v="0"/>
    <n v="4"/>
    <x v="3"/>
    <n v="1"/>
  </r>
  <r>
    <x v="215"/>
    <d v="2026-04-28T00:00:00"/>
    <d v="2026-04-29T00:00:00"/>
    <d v="2026-05-01T00:00:00"/>
    <d v="2026-05-02T00:00:00"/>
    <x v="0"/>
    <x v="5"/>
    <x v="2"/>
    <x v="1"/>
    <n v="173"/>
    <n v="1382.7"/>
    <n v="3792000"/>
    <b v="0"/>
    <b v="0"/>
    <n v="5000"/>
    <b v="0"/>
    <b v="0"/>
    <b v="0"/>
    <x v="1"/>
    <x v="8"/>
    <n v="27.654"/>
    <n v="0"/>
    <n v="0"/>
    <n v="3"/>
    <x v="4"/>
    <n v="1"/>
  </r>
  <r>
    <x v="216"/>
    <d v="2026-05-26T00:00:00"/>
    <d v="2026-05-28T00:00:00"/>
    <d v="2026-06-01T00:00:00"/>
    <d v="2026-06-02T00:00:00"/>
    <x v="2"/>
    <x v="3"/>
    <x v="5"/>
    <x v="1"/>
    <n v="901.3"/>
    <n v="882"/>
    <n v="11018000"/>
    <b v="0"/>
    <b v="0"/>
    <n v="5000"/>
    <b v="0"/>
    <b v="0"/>
    <b v="0"/>
    <x v="1"/>
    <x v="3"/>
    <n v="17.64"/>
    <n v="0"/>
    <n v="0"/>
    <n v="5"/>
    <x v="2"/>
    <n v="1"/>
  </r>
  <r>
    <x v="217"/>
    <d v="2026-04-07T00:00:00"/>
    <d v="2026-04-08T00:00:00"/>
    <d v="2026-04-09T00:00:00"/>
    <d v="2026-04-09T00:00:00"/>
    <x v="2"/>
    <x v="10"/>
    <x v="5"/>
    <x v="1"/>
    <n v="53.5"/>
    <n v="1350.7"/>
    <n v="1817000"/>
    <b v="0"/>
    <b v="0"/>
    <n v="5000"/>
    <b v="0"/>
    <b v="0"/>
    <b v="0"/>
    <x v="0"/>
    <x v="34"/>
    <n v="27.013999999999999"/>
    <n v="0"/>
    <n v="0"/>
    <n v="1"/>
    <x v="4"/>
    <m/>
  </r>
  <r>
    <x v="218"/>
    <d v="2026-03-03T00:00:00"/>
    <d v="2026-03-03T00:00:00"/>
    <d v="2026-03-07T00:00:00"/>
    <d v="2026-03-07T00:00:00"/>
    <x v="3"/>
    <x v="9"/>
    <x v="3"/>
    <x v="3"/>
    <n v="930.9"/>
    <n v="297.10000000000002"/>
    <n v="8013000"/>
    <b v="0"/>
    <b v="0"/>
    <n v="1000"/>
    <b v="0"/>
    <b v="0"/>
    <b v="0"/>
    <x v="0"/>
    <x v="31"/>
    <n v="29.71"/>
    <n v="0"/>
    <n v="0"/>
    <n v="4"/>
    <x v="6"/>
    <m/>
  </r>
  <r>
    <x v="219"/>
    <d v="2026-05-13T00:00:00"/>
    <d v="2026-05-14T00:00:00"/>
    <d v="2026-05-15T00:00:00"/>
    <d v="2026-05-15T00:00:00"/>
    <x v="3"/>
    <x v="11"/>
    <x v="3"/>
    <x v="2"/>
    <n v="28.2"/>
    <n v="11422"/>
    <n v="4428000"/>
    <b v="0"/>
    <b v="0"/>
    <n v="16000"/>
    <b v="0"/>
    <b v="0"/>
    <b v="0"/>
    <x v="0"/>
    <x v="39"/>
    <n v="71.387500000000003"/>
    <n v="0"/>
    <n v="0"/>
    <n v="1"/>
    <x v="2"/>
    <m/>
  </r>
  <r>
    <x v="220"/>
    <d v="2026-05-22T00:00:00"/>
    <d v="2026-05-23T00:00:00"/>
    <d v="2026-05-25T00:00:00"/>
    <d v="2026-05-26T00:00:00"/>
    <x v="1"/>
    <x v="6"/>
    <x v="2"/>
    <x v="2"/>
    <n v="151.9"/>
    <n v="9137.6"/>
    <n v="5534000"/>
    <b v="0"/>
    <b v="0"/>
    <n v="16000"/>
    <b v="0"/>
    <b v="0"/>
    <b v="0"/>
    <x v="1"/>
    <x v="9"/>
    <n v="57.110000000000007"/>
    <n v="0"/>
    <n v="0"/>
    <n v="3"/>
    <x v="2"/>
    <n v="1"/>
  </r>
  <r>
    <x v="221"/>
    <d v="2026-02-18T00:00:00"/>
    <d v="2026-02-19T00:00:00"/>
    <d v="2026-02-22T00:00:00"/>
    <d v="2026-02-22T00:00:00"/>
    <x v="2"/>
    <x v="1"/>
    <x v="2"/>
    <x v="0"/>
    <n v="307.5"/>
    <n v="271.89999999999998"/>
    <n v="3477000"/>
    <b v="0"/>
    <b v="0"/>
    <n v="1500"/>
    <b v="0"/>
    <b v="0"/>
    <b v="0"/>
    <x v="0"/>
    <x v="16"/>
    <n v="18.126666666666669"/>
    <n v="0"/>
    <n v="0"/>
    <n v="3"/>
    <x v="5"/>
    <m/>
  </r>
  <r>
    <x v="222"/>
    <d v="2026-06-21T00:00:00"/>
    <d v="2026-06-22T00:00:00"/>
    <d v="2026-06-25T00:00:00"/>
    <d v="2026-06-27T00:00:00"/>
    <x v="0"/>
    <x v="9"/>
    <x v="1"/>
    <x v="2"/>
    <n v="511.7"/>
    <n v="9096.6"/>
    <n v="12486000"/>
    <b v="0"/>
    <b v="0"/>
    <n v="16000"/>
    <b v="0"/>
    <b v="0"/>
    <b v="0"/>
    <x v="1"/>
    <x v="44"/>
    <n v="56.853750000000012"/>
    <n v="0"/>
    <n v="0"/>
    <n v="5"/>
    <x v="1"/>
    <n v="2"/>
  </r>
  <r>
    <x v="223"/>
    <d v="2026-03-22T00:00:00"/>
    <d v="2026-03-23T00:00:00"/>
    <d v="2026-03-27T00:00:00"/>
    <d v="2026-03-27T00:00:00"/>
    <x v="1"/>
    <x v="4"/>
    <x v="1"/>
    <x v="0"/>
    <n v="713"/>
    <n v="598.29999999999995"/>
    <n v="7461000"/>
    <b v="0"/>
    <b v="0"/>
    <n v="1500"/>
    <b v="0"/>
    <b v="0"/>
    <b v="0"/>
    <x v="0"/>
    <x v="38"/>
    <n v="39.886666666666663"/>
    <n v="0"/>
    <n v="0"/>
    <n v="4"/>
    <x v="6"/>
    <m/>
  </r>
  <r>
    <x v="224"/>
    <d v="2026-01-05T00:00:00"/>
    <d v="2026-01-06T00:00:00"/>
    <d v="2026-01-09T00:00:00"/>
    <d v="2026-01-09T00:00:00"/>
    <x v="1"/>
    <x v="1"/>
    <x v="5"/>
    <x v="1"/>
    <n v="320.10000000000002"/>
    <n v="1973.6"/>
    <n v="5374000"/>
    <b v="0"/>
    <b v="0"/>
    <n v="5000"/>
    <b v="0"/>
    <b v="0"/>
    <b v="0"/>
    <x v="0"/>
    <x v="25"/>
    <n v="39.471999999999987"/>
    <n v="0"/>
    <n v="0"/>
    <n v="3"/>
    <x v="3"/>
    <m/>
  </r>
  <r>
    <x v="225"/>
    <d v="2026-03-23T00:00:00"/>
    <d v="2026-03-25T00:00:00"/>
    <d v="2026-03-29T00:00:00"/>
    <d v="2026-03-29T00:00:00"/>
    <x v="1"/>
    <x v="11"/>
    <x v="2"/>
    <x v="3"/>
    <n v="646.9"/>
    <n v="221"/>
    <n v="6066000"/>
    <b v="0"/>
    <b v="0"/>
    <n v="1000"/>
    <b v="0"/>
    <b v="0"/>
    <b v="0"/>
    <x v="0"/>
    <x v="33"/>
    <n v="22.1"/>
    <n v="0"/>
    <n v="0"/>
    <n v="4"/>
    <x v="6"/>
    <m/>
  </r>
  <r>
    <x v="226"/>
    <d v="2026-04-09T00:00:00"/>
    <d v="2026-04-10T00:00:00"/>
    <d v="2026-04-14T00:00:00"/>
    <d v="2026-04-14T00:00:00"/>
    <x v="2"/>
    <x v="4"/>
    <x v="3"/>
    <x v="3"/>
    <n v="686.3"/>
    <n v="857.1"/>
    <n v="7016000"/>
    <b v="0"/>
    <b v="0"/>
    <n v="1000"/>
    <b v="0"/>
    <b v="0"/>
    <b v="0"/>
    <x v="0"/>
    <x v="4"/>
    <n v="85.71"/>
    <n v="0"/>
    <n v="0"/>
    <n v="4"/>
    <x v="4"/>
    <m/>
  </r>
  <r>
    <x v="227"/>
    <d v="2026-04-23T00:00:00"/>
    <d v="2026-04-24T00:00:00"/>
    <d v="2026-04-26T00:00:00"/>
    <d v="2026-04-27T00:00:00"/>
    <x v="0"/>
    <x v="10"/>
    <x v="0"/>
    <x v="1"/>
    <n v="166.3"/>
    <n v="3444.3"/>
    <n v="4051000"/>
    <b v="0"/>
    <b v="0"/>
    <n v="5000"/>
    <b v="0"/>
    <b v="0"/>
    <b v="0"/>
    <x v="1"/>
    <x v="42"/>
    <n v="68.885999999999996"/>
    <n v="0"/>
    <n v="0"/>
    <n v="3"/>
    <x v="4"/>
    <n v="1"/>
  </r>
  <r>
    <x v="228"/>
    <d v="2026-02-12T00:00:00"/>
    <d v="2026-02-12T00:00:00"/>
    <d v="2026-02-14T00:00:00"/>
    <d v="2026-02-14T00:00:00"/>
    <x v="1"/>
    <x v="6"/>
    <x v="2"/>
    <x v="1"/>
    <n v="162.1"/>
    <n v="1600.5"/>
    <n v="3186000"/>
    <b v="0"/>
    <b v="0"/>
    <n v="5000"/>
    <b v="0"/>
    <b v="0"/>
    <b v="0"/>
    <x v="0"/>
    <x v="9"/>
    <n v="32.01"/>
    <n v="0"/>
    <n v="0"/>
    <n v="2"/>
    <x v="5"/>
    <m/>
  </r>
  <r>
    <x v="229"/>
    <d v="2026-03-12T00:00:00"/>
    <d v="2026-03-13T00:00:00"/>
    <d v="2026-03-15T00:00:00"/>
    <d v="2026-03-15T00:00:00"/>
    <x v="2"/>
    <x v="7"/>
    <x v="5"/>
    <x v="3"/>
    <n v="192.2"/>
    <n v="287.2"/>
    <n v="2306000"/>
    <b v="0"/>
    <b v="0"/>
    <n v="1000"/>
    <b v="0"/>
    <b v="0"/>
    <b v="0"/>
    <x v="0"/>
    <x v="10"/>
    <n v="28.72"/>
    <n v="0"/>
    <n v="0"/>
    <n v="2"/>
    <x v="6"/>
    <m/>
  </r>
  <r>
    <x v="230"/>
    <d v="2026-01-16T00:00:00"/>
    <d v="2026-01-16T00:00:00"/>
    <d v="2026-01-20T00:00:00"/>
    <d v="2026-01-23T00:00:00"/>
    <x v="0"/>
    <x v="4"/>
    <x v="1"/>
    <x v="2"/>
    <n v="625.5"/>
    <n v="6418.9"/>
    <n v="14112000"/>
    <b v="0"/>
    <b v="0"/>
    <n v="16000"/>
    <b v="0"/>
    <b v="0"/>
    <b v="0"/>
    <x v="1"/>
    <x v="30"/>
    <n v="40.118124999999999"/>
    <n v="0"/>
    <n v="0"/>
    <n v="7"/>
    <x v="3"/>
    <n v="3"/>
  </r>
  <r>
    <x v="231"/>
    <d v="2026-05-23T00:00:00"/>
    <d v="2026-05-24T00:00:00"/>
    <d v="2026-05-26T00:00:00"/>
    <d v="2026-05-26T00:00:00"/>
    <x v="1"/>
    <x v="1"/>
    <x v="0"/>
    <x v="2"/>
    <n v="298.8"/>
    <n v="7721.6"/>
    <n v="9998000"/>
    <b v="0"/>
    <b v="0"/>
    <n v="16000"/>
    <b v="0"/>
    <b v="0"/>
    <b v="0"/>
    <x v="0"/>
    <x v="25"/>
    <n v="48.260000000000012"/>
    <n v="0"/>
    <n v="0"/>
    <n v="2"/>
    <x v="2"/>
    <m/>
  </r>
  <r>
    <x v="232"/>
    <d v="2026-03-01T00:00:00"/>
    <d v="2026-03-01T00:00:00"/>
    <d v="2026-03-03T00:00:00"/>
    <d v="2026-03-03T00:00:00"/>
    <x v="2"/>
    <x v="7"/>
    <x v="2"/>
    <x v="1"/>
    <n v="194.6"/>
    <n v="1978"/>
    <n v="4049000"/>
    <b v="0"/>
    <b v="0"/>
    <n v="5000"/>
    <b v="0"/>
    <b v="0"/>
    <b v="0"/>
    <x v="0"/>
    <x v="10"/>
    <n v="39.56"/>
    <n v="0"/>
    <n v="0"/>
    <n v="2"/>
    <x v="6"/>
    <m/>
  </r>
  <r>
    <x v="233"/>
    <d v="2026-06-16T00:00:00"/>
    <d v="2026-06-18T00:00:00"/>
    <d v="2026-06-20T00:00:00"/>
    <d v="2026-06-19T00:00:00"/>
    <x v="1"/>
    <x v="6"/>
    <x v="1"/>
    <x v="1"/>
    <n v="153.80000000000001"/>
    <n v="1133.2"/>
    <n v="3067000"/>
    <b v="0"/>
    <b v="0"/>
    <n v="5000"/>
    <b v="0"/>
    <b v="0"/>
    <b v="0"/>
    <x v="0"/>
    <x v="9"/>
    <n v="22.664000000000001"/>
    <n v="0"/>
    <n v="0"/>
    <n v="1"/>
    <x v="1"/>
    <m/>
  </r>
  <r>
    <x v="234"/>
    <d v="2026-04-03T00:00:00"/>
    <d v="2026-04-04T00:00:00"/>
    <d v="2026-04-07T00:00:00"/>
    <d v="2026-04-07T00:00:00"/>
    <x v="0"/>
    <x v="9"/>
    <x v="1"/>
    <x v="1"/>
    <n v="544.20000000000005"/>
    <n v="3271.7"/>
    <n v="8651000"/>
    <b v="0"/>
    <b v="0"/>
    <n v="5000"/>
    <b v="0"/>
    <b v="0"/>
    <b v="0"/>
    <x v="0"/>
    <x v="44"/>
    <n v="65.433999999999997"/>
    <n v="0"/>
    <n v="0"/>
    <n v="3"/>
    <x v="4"/>
    <m/>
  </r>
  <r>
    <x v="235"/>
    <d v="2026-06-30T00:00:00"/>
    <d v="2026-06-30T00:00:00"/>
    <d v="2026-07-02T00:00:00"/>
    <d v="2026-07-02T00:00:00"/>
    <x v="2"/>
    <x v="2"/>
    <x v="5"/>
    <x v="1"/>
    <n v="295"/>
    <n v="2385.9"/>
    <n v="4979000"/>
    <b v="0"/>
    <b v="0"/>
    <n v="5000"/>
    <b v="0"/>
    <b v="0"/>
    <b v="0"/>
    <x v="0"/>
    <x v="29"/>
    <n v="47.718000000000004"/>
    <n v="0"/>
    <n v="0"/>
    <n v="2"/>
    <x v="1"/>
    <m/>
  </r>
  <r>
    <x v="236"/>
    <d v="2026-01-01T00:00:00"/>
    <d v="2026-01-02T00:00:00"/>
    <d v="2026-01-05T00:00:00"/>
    <d v="2026-01-05T00:00:00"/>
    <x v="0"/>
    <x v="9"/>
    <x v="2"/>
    <x v="1"/>
    <n v="598.79999999999995"/>
    <n v="3123.3"/>
    <n v="10015000"/>
    <b v="0"/>
    <b v="0"/>
    <n v="5000"/>
    <b v="0"/>
    <b v="0"/>
    <b v="0"/>
    <x v="0"/>
    <x v="44"/>
    <n v="62.466000000000001"/>
    <n v="0"/>
    <n v="0"/>
    <n v="3"/>
    <x v="3"/>
    <m/>
  </r>
  <r>
    <x v="237"/>
    <d v="2026-03-04T00:00:00"/>
    <d v="2026-03-06T00:00:00"/>
    <d v="2026-03-07T00:00:00"/>
    <d v="2026-03-07T00:00:00"/>
    <x v="1"/>
    <x v="10"/>
    <x v="2"/>
    <x v="0"/>
    <n v="16.7"/>
    <n v="1346.6"/>
    <n v="1445000"/>
    <b v="0"/>
    <b v="0"/>
    <n v="1500"/>
    <b v="0"/>
    <b v="0"/>
    <b v="0"/>
    <x v="0"/>
    <x v="27"/>
    <n v="89.773333333333326"/>
    <n v="0"/>
    <n v="0"/>
    <n v="1"/>
    <x v="6"/>
    <m/>
  </r>
  <r>
    <x v="238"/>
    <d v="2026-05-14T00:00:00"/>
    <d v="2026-05-15T00:00:00"/>
    <d v="2026-05-18T00:00:00"/>
    <d v="2026-05-18T00:00:00"/>
    <x v="1"/>
    <x v="2"/>
    <x v="3"/>
    <x v="1"/>
    <n v="347.1"/>
    <n v="3458"/>
    <n v="5894000"/>
    <b v="0"/>
    <b v="0"/>
    <n v="5000"/>
    <b v="0"/>
    <b v="0"/>
    <b v="0"/>
    <x v="0"/>
    <x v="2"/>
    <n v="69.16"/>
    <n v="0"/>
    <n v="0"/>
    <n v="3"/>
    <x v="2"/>
    <m/>
  </r>
  <r>
    <x v="239"/>
    <d v="2026-03-20T00:00:00"/>
    <d v="2026-03-22T00:00:00"/>
    <d v="2026-03-26T00:00:00"/>
    <d v="2026-03-26T00:00:00"/>
    <x v="1"/>
    <x v="11"/>
    <x v="3"/>
    <x v="3"/>
    <n v="624.9"/>
    <n v="536.1"/>
    <n v="6039000"/>
    <b v="0"/>
    <b v="0"/>
    <n v="1000"/>
    <b v="0"/>
    <b v="0"/>
    <b v="0"/>
    <x v="0"/>
    <x v="33"/>
    <n v="53.61"/>
    <n v="0"/>
    <n v="0"/>
    <n v="4"/>
    <x v="6"/>
    <m/>
  </r>
  <r>
    <x v="240"/>
    <d v="2026-04-27T00:00:00"/>
    <d v="2026-04-28T00:00:00"/>
    <d v="2026-05-01T00:00:00"/>
    <d v="2026-05-01T00:00:00"/>
    <x v="1"/>
    <x v="1"/>
    <x v="5"/>
    <x v="1"/>
    <n v="323.2"/>
    <n v="1721.8"/>
    <n v="5364000"/>
    <b v="0"/>
    <b v="0"/>
    <n v="5000"/>
    <b v="0"/>
    <b v="0"/>
    <b v="0"/>
    <x v="0"/>
    <x v="25"/>
    <n v="34.436"/>
    <n v="0"/>
    <n v="0"/>
    <n v="3"/>
    <x v="4"/>
    <m/>
  </r>
  <r>
    <x v="241"/>
    <d v="2026-01-03T00:00:00"/>
    <d v="2026-01-04T00:00:00"/>
    <d v="2026-01-08T00:00:00"/>
    <m/>
    <x v="0"/>
    <x v="9"/>
    <x v="3"/>
    <x v="3"/>
    <n v="581.5"/>
    <n v="782.7"/>
    <n v="5902000"/>
    <b v="0"/>
    <b v="0"/>
    <n v="1000"/>
    <b v="0"/>
    <b v="0"/>
    <b v="0"/>
    <x v="2"/>
    <x v="44"/>
    <n v="78.27000000000001"/>
    <n v="0"/>
    <n v="0"/>
    <m/>
    <x v="3"/>
    <m/>
  </r>
  <r>
    <x v="242"/>
    <d v="2026-01-26T00:00:00"/>
    <d v="2026-01-27T00:00:00"/>
    <d v="2026-01-31T00:00:00"/>
    <d v="2026-01-31T00:00:00"/>
    <x v="3"/>
    <x v="3"/>
    <x v="3"/>
    <x v="0"/>
    <n v="1560.7"/>
    <n v="1054.0999999999999"/>
    <n v="16783000"/>
    <b v="0"/>
    <b v="0"/>
    <n v="1500"/>
    <b v="0"/>
    <b v="0"/>
    <b v="0"/>
    <x v="0"/>
    <x v="43"/>
    <n v="70.273333333333326"/>
    <n v="0"/>
    <n v="0"/>
    <n v="4"/>
    <x v="3"/>
    <m/>
  </r>
  <r>
    <x v="243"/>
    <d v="2026-01-29T00:00:00"/>
    <d v="2026-01-30T00:00:00"/>
    <d v="2026-02-02T00:00:00"/>
    <d v="2026-02-02T00:00:00"/>
    <x v="0"/>
    <x v="9"/>
    <x v="2"/>
    <x v="1"/>
    <n v="572.6"/>
    <n v="2358.1"/>
    <n v="9002000"/>
    <b v="0"/>
    <b v="0"/>
    <n v="5000"/>
    <b v="0"/>
    <b v="0"/>
    <b v="0"/>
    <x v="0"/>
    <x v="44"/>
    <n v="47.161999999999999"/>
    <n v="0"/>
    <n v="0"/>
    <n v="3"/>
    <x v="3"/>
    <m/>
  </r>
  <r>
    <x v="244"/>
    <d v="2026-06-15T00:00:00"/>
    <d v="2026-06-16T00:00:00"/>
    <d v="2026-06-19T00:00:00"/>
    <d v="2026-06-20T00:00:00"/>
    <x v="0"/>
    <x v="11"/>
    <x v="0"/>
    <x v="1"/>
    <n v="458"/>
    <n v="4495"/>
    <n v="7635000"/>
    <b v="0"/>
    <b v="0"/>
    <n v="5000"/>
    <b v="0"/>
    <b v="0"/>
    <b v="0"/>
    <x v="1"/>
    <x v="36"/>
    <n v="89.9"/>
    <n v="0"/>
    <n v="0"/>
    <n v="4"/>
    <x v="1"/>
    <n v="1"/>
  </r>
  <r>
    <x v="245"/>
    <d v="2026-06-04T00:00:00"/>
    <d v="2026-06-04T00:00:00"/>
    <d v="2026-06-08T00:00:00"/>
    <d v="2026-06-08T00:00:00"/>
    <x v="1"/>
    <x v="11"/>
    <x v="1"/>
    <x v="3"/>
    <n v="633"/>
    <n v="80.400000000000006"/>
    <n v="5530000"/>
    <b v="0"/>
    <b v="0"/>
    <n v="1000"/>
    <b v="0"/>
    <b v="0"/>
    <b v="0"/>
    <x v="0"/>
    <x v="33"/>
    <n v="8.0399999999999991"/>
    <n v="0"/>
    <n v="0"/>
    <n v="4"/>
    <x v="1"/>
    <m/>
  </r>
  <r>
    <x v="246"/>
    <d v="2026-03-12T00:00:00"/>
    <d v="2026-03-13T00:00:00"/>
    <d v="2026-03-15T00:00:00"/>
    <d v="2026-03-15T00:00:00"/>
    <x v="1"/>
    <x v="1"/>
    <x v="3"/>
    <x v="0"/>
    <n v="290.89999999999998"/>
    <n v="362.4"/>
    <n v="3479000"/>
    <b v="0"/>
    <b v="0"/>
    <n v="1500"/>
    <b v="0"/>
    <b v="0"/>
    <b v="0"/>
    <x v="0"/>
    <x v="25"/>
    <n v="24.16"/>
    <n v="0"/>
    <n v="0"/>
    <n v="2"/>
    <x v="6"/>
    <m/>
  </r>
  <r>
    <x v="247"/>
    <d v="2026-02-16T00:00:00"/>
    <d v="2026-02-17T00:00:00"/>
    <d v="2026-02-21T00:00:00"/>
    <d v="2026-02-21T00:00:00"/>
    <x v="2"/>
    <x v="4"/>
    <x v="0"/>
    <x v="1"/>
    <n v="728.6"/>
    <n v="4202.8"/>
    <n v="11984000"/>
    <b v="0"/>
    <b v="0"/>
    <n v="5000"/>
    <b v="0"/>
    <b v="0"/>
    <b v="0"/>
    <x v="0"/>
    <x v="4"/>
    <n v="84.056000000000012"/>
    <n v="0"/>
    <n v="0"/>
    <n v="4"/>
    <x v="5"/>
    <m/>
  </r>
  <r>
    <x v="248"/>
    <d v="2026-03-08T00:00:00"/>
    <d v="2026-03-09T00:00:00"/>
    <d v="2026-03-11T00:00:00"/>
    <d v="2026-03-10T00:00:00"/>
    <x v="2"/>
    <x v="6"/>
    <x v="0"/>
    <x v="1"/>
    <n v="136.30000000000001"/>
    <n v="3518.9"/>
    <n v="3500000"/>
    <b v="0"/>
    <b v="0"/>
    <n v="5000"/>
    <b v="0"/>
    <b v="0"/>
    <b v="0"/>
    <x v="0"/>
    <x v="6"/>
    <n v="70.378000000000014"/>
    <n v="0"/>
    <n v="0"/>
    <n v="1"/>
    <x v="6"/>
    <m/>
  </r>
  <r>
    <x v="249"/>
    <d v="2026-02-20T00:00:00"/>
    <d v="2026-02-21T00:00:00"/>
    <d v="2026-02-22T00:00:00"/>
    <d v="2026-02-22T00:00:00"/>
    <x v="1"/>
    <x v="10"/>
    <x v="5"/>
    <x v="0"/>
    <n v="25.3"/>
    <n v="597.1"/>
    <n v="1090000"/>
    <b v="0"/>
    <b v="0"/>
    <n v="1500"/>
    <b v="0"/>
    <b v="0"/>
    <b v="0"/>
    <x v="0"/>
    <x v="27"/>
    <n v="39.806666666666658"/>
    <n v="0"/>
    <n v="0"/>
    <n v="1"/>
    <x v="5"/>
    <m/>
  </r>
  <r>
    <x v="250"/>
    <d v="2026-02-23T00:00:00"/>
    <d v="2026-02-24T00:00:00"/>
    <d v="2026-02-28T00:00:00"/>
    <d v="2026-02-28T00:00:00"/>
    <x v="2"/>
    <x v="11"/>
    <x v="0"/>
    <x v="2"/>
    <n v="605.5"/>
    <n v="10232.5"/>
    <n v="12851000"/>
    <b v="0"/>
    <b v="0"/>
    <n v="16000"/>
    <b v="0"/>
    <b v="0"/>
    <b v="0"/>
    <x v="0"/>
    <x v="41"/>
    <n v="63.953125"/>
    <n v="0"/>
    <n v="0"/>
    <n v="4"/>
    <x v="5"/>
    <m/>
  </r>
  <r>
    <x v="251"/>
    <d v="2026-01-25T00:00:00"/>
    <d v="2026-01-26T00:00:00"/>
    <d v="2026-01-28T00:00:00"/>
    <d v="2026-01-28T00:00:00"/>
    <x v="0"/>
    <x v="6"/>
    <x v="0"/>
    <x v="0"/>
    <n v="16.899999999999999"/>
    <n v="424.1"/>
    <n v="738000"/>
    <b v="0"/>
    <b v="0"/>
    <n v="1500"/>
    <b v="0"/>
    <b v="0"/>
    <b v="0"/>
    <x v="0"/>
    <x v="19"/>
    <n v="28.27333333333333"/>
    <n v="0"/>
    <n v="0"/>
    <n v="2"/>
    <x v="3"/>
    <m/>
  </r>
  <r>
    <x v="252"/>
    <d v="2026-03-03T00:00:00"/>
    <d v="2026-03-05T00:00:00"/>
    <d v="2026-03-09T00:00:00"/>
    <d v="2026-03-10T00:00:00"/>
    <x v="1"/>
    <x v="9"/>
    <x v="1"/>
    <x v="2"/>
    <n v="482.5"/>
    <n v="7060.9"/>
    <n v="11056000"/>
    <b v="0"/>
    <b v="0"/>
    <n v="16000"/>
    <b v="0"/>
    <b v="0"/>
    <b v="0"/>
    <x v="1"/>
    <x v="24"/>
    <n v="44.130624999999988"/>
    <n v="0"/>
    <n v="0"/>
    <n v="5"/>
    <x v="6"/>
    <n v="1"/>
  </r>
  <r>
    <x v="253"/>
    <d v="2026-03-17T00:00:00"/>
    <d v="2026-03-18T00:00:00"/>
    <d v="2026-03-21T00:00:00"/>
    <d v="2026-03-21T00:00:00"/>
    <x v="2"/>
    <x v="9"/>
    <x v="2"/>
    <x v="1"/>
    <n v="449.1"/>
    <n v="2799"/>
    <n v="7177000"/>
    <b v="0"/>
    <b v="0"/>
    <n v="5000"/>
    <b v="0"/>
    <b v="0"/>
    <b v="0"/>
    <x v="0"/>
    <x v="20"/>
    <n v="55.98"/>
    <n v="0"/>
    <n v="0"/>
    <n v="3"/>
    <x v="6"/>
    <m/>
  </r>
  <r>
    <x v="254"/>
    <d v="2026-01-18T00:00:00"/>
    <d v="2026-01-19T00:00:00"/>
    <d v="2026-01-21T00:00:00"/>
    <d v="2026-01-21T00:00:00"/>
    <x v="2"/>
    <x v="6"/>
    <x v="2"/>
    <x v="3"/>
    <n v="132.9"/>
    <n v="396.4"/>
    <n v="1738000"/>
    <b v="0"/>
    <b v="0"/>
    <n v="1000"/>
    <b v="0"/>
    <b v="0"/>
    <b v="0"/>
    <x v="0"/>
    <x v="6"/>
    <n v="39.64"/>
    <n v="0"/>
    <n v="0"/>
    <n v="2"/>
    <x v="3"/>
    <m/>
  </r>
  <r>
    <x v="255"/>
    <d v="2026-04-30T00:00:00"/>
    <d v="2026-05-01T00:00:00"/>
    <d v="2026-05-04T00:00:00"/>
    <d v="2026-05-07T00:00:00"/>
    <x v="1"/>
    <x v="0"/>
    <x v="1"/>
    <x v="2"/>
    <n v="271.8"/>
    <n v="4527.3"/>
    <n v="8282000"/>
    <b v="0"/>
    <b v="0"/>
    <n v="16000"/>
    <b v="0"/>
    <b v="0"/>
    <b v="0"/>
    <x v="1"/>
    <x v="12"/>
    <n v="28.295625000000001"/>
    <n v="0"/>
    <n v="0"/>
    <n v="6"/>
    <x v="2"/>
    <n v="3"/>
  </r>
  <r>
    <x v="256"/>
    <d v="2026-06-01T00:00:00"/>
    <d v="2026-06-03T00:00:00"/>
    <d v="2026-06-06T00:00:00"/>
    <d v="2026-06-06T00:00:00"/>
    <x v="3"/>
    <x v="1"/>
    <x v="1"/>
    <x v="0"/>
    <n v="563.70000000000005"/>
    <n v="499.3"/>
    <n v="5849000"/>
    <b v="0"/>
    <b v="0"/>
    <n v="1500"/>
    <b v="0"/>
    <b v="0"/>
    <b v="0"/>
    <x v="0"/>
    <x v="21"/>
    <n v="33.286666666666669"/>
    <n v="0"/>
    <n v="0"/>
    <n v="3"/>
    <x v="1"/>
    <m/>
  </r>
  <r>
    <x v="257"/>
    <d v="2026-02-27T00:00:00"/>
    <d v="2026-02-28T00:00:00"/>
    <d v="2026-03-04T00:00:00"/>
    <d v="2026-03-06T00:00:00"/>
    <x v="1"/>
    <x v="11"/>
    <x v="1"/>
    <x v="1"/>
    <n v="677.6"/>
    <n v="1197.9000000000001"/>
    <n v="10842000"/>
    <b v="0"/>
    <b v="0"/>
    <n v="5000"/>
    <b v="0"/>
    <b v="0"/>
    <b v="0"/>
    <x v="1"/>
    <x v="33"/>
    <n v="23.957999999999998"/>
    <n v="0"/>
    <n v="0"/>
    <n v="6"/>
    <x v="5"/>
    <n v="2"/>
  </r>
  <r>
    <x v="258"/>
    <d v="2026-01-20T00:00:00"/>
    <d v="2026-01-22T00:00:00"/>
    <d v="2026-01-24T00:00:00"/>
    <d v="2026-01-24T00:00:00"/>
    <x v="2"/>
    <x v="7"/>
    <x v="5"/>
    <x v="3"/>
    <n v="189.1"/>
    <n v="212.6"/>
    <n v="2141000"/>
    <b v="0"/>
    <b v="0"/>
    <n v="1000"/>
    <b v="0"/>
    <b v="0"/>
    <b v="0"/>
    <x v="0"/>
    <x v="10"/>
    <n v="21.26"/>
    <n v="0"/>
    <n v="0"/>
    <n v="2"/>
    <x v="3"/>
    <m/>
  </r>
  <r>
    <x v="259"/>
    <d v="2026-04-07T00:00:00"/>
    <d v="2026-04-08T00:00:00"/>
    <d v="2026-04-12T00:00:00"/>
    <d v="2026-04-15T00:00:00"/>
    <x v="3"/>
    <x v="8"/>
    <x v="2"/>
    <x v="0"/>
    <n v="649.5"/>
    <n v="594.9"/>
    <n v="5953000"/>
    <b v="0"/>
    <b v="0"/>
    <n v="1500"/>
    <b v="0"/>
    <b v="0"/>
    <b v="0"/>
    <x v="1"/>
    <x v="15"/>
    <n v="39.659999999999997"/>
    <n v="0"/>
    <n v="0"/>
    <n v="7"/>
    <x v="4"/>
    <n v="3"/>
  </r>
  <r>
    <x v="260"/>
    <d v="2026-05-01T00:00:00"/>
    <d v="2026-05-02T00:00:00"/>
    <d v="2026-05-04T00:00:00"/>
    <d v="2026-05-05T00:00:00"/>
    <x v="1"/>
    <x v="1"/>
    <x v="1"/>
    <x v="2"/>
    <n v="275.7"/>
    <n v="2807"/>
    <n v="6819000"/>
    <b v="0"/>
    <b v="0"/>
    <n v="16000"/>
    <b v="0"/>
    <b v="0"/>
    <b v="0"/>
    <x v="1"/>
    <x v="25"/>
    <n v="17.543749999999999"/>
    <n v="0"/>
    <n v="0"/>
    <n v="3"/>
    <x v="2"/>
    <n v="1"/>
  </r>
  <r>
    <x v="261"/>
    <d v="2026-04-15T00:00:00"/>
    <d v="2026-04-16T00:00:00"/>
    <d v="2026-04-20T00:00:00"/>
    <d v="2026-04-20T00:00:00"/>
    <x v="2"/>
    <x v="5"/>
    <x v="0"/>
    <x v="1"/>
    <n v="303.7"/>
    <n v="3343.5"/>
    <n v="5968000"/>
    <b v="0"/>
    <b v="0"/>
    <n v="5000"/>
    <b v="0"/>
    <b v="0"/>
    <b v="0"/>
    <x v="0"/>
    <x v="17"/>
    <n v="66.86999999999999"/>
    <n v="0"/>
    <n v="0"/>
    <n v="4"/>
    <x v="4"/>
    <m/>
  </r>
  <r>
    <x v="262"/>
    <d v="2026-06-02T00:00:00"/>
    <d v="2026-06-03T00:00:00"/>
    <d v="2026-06-06T00:00:00"/>
    <d v="2026-06-07T00:00:00"/>
    <x v="3"/>
    <x v="2"/>
    <x v="3"/>
    <x v="3"/>
    <n v="309.7"/>
    <n v="334.9"/>
    <n v="3181000"/>
    <b v="0"/>
    <b v="0"/>
    <n v="1000"/>
    <b v="0"/>
    <b v="0"/>
    <b v="0"/>
    <x v="1"/>
    <x v="14"/>
    <n v="33.489999999999988"/>
    <n v="0"/>
    <n v="0"/>
    <n v="4"/>
    <x v="1"/>
    <n v="1"/>
  </r>
  <r>
    <x v="263"/>
    <d v="2026-01-07T00:00:00"/>
    <d v="2026-01-08T00:00:00"/>
    <d v="2026-01-11T00:00:00"/>
    <d v="2026-01-12T00:00:00"/>
    <x v="3"/>
    <x v="0"/>
    <x v="1"/>
    <x v="2"/>
    <n v="502.4"/>
    <n v="6845.7"/>
    <n v="10848000"/>
    <b v="0"/>
    <b v="0"/>
    <n v="16000"/>
    <b v="0"/>
    <b v="0"/>
    <b v="0"/>
    <x v="1"/>
    <x v="11"/>
    <n v="42.785625000000003"/>
    <n v="0"/>
    <n v="0"/>
    <n v="4"/>
    <x v="3"/>
    <n v="1"/>
  </r>
  <r>
    <x v="264"/>
    <d v="2026-04-07T00:00:00"/>
    <d v="2026-04-08T00:00:00"/>
    <d v="2026-04-11T00:00:00"/>
    <d v="2026-04-11T00:00:00"/>
    <x v="1"/>
    <x v="1"/>
    <x v="0"/>
    <x v="2"/>
    <n v="318.60000000000002"/>
    <n v="8864.7999999999993"/>
    <n v="8778000"/>
    <b v="0"/>
    <b v="0"/>
    <n v="16000"/>
    <b v="0"/>
    <b v="0"/>
    <b v="0"/>
    <x v="0"/>
    <x v="25"/>
    <n v="55.404999999999987"/>
    <n v="0"/>
    <n v="0"/>
    <n v="3"/>
    <x v="4"/>
    <m/>
  </r>
  <r>
    <x v="265"/>
    <d v="2026-05-25T00:00:00"/>
    <d v="2026-05-26T00:00:00"/>
    <d v="2026-05-27T00:00:00"/>
    <d v="2026-05-28T00:00:00"/>
    <x v="0"/>
    <x v="6"/>
    <x v="5"/>
    <x v="0"/>
    <n v="4200"/>
    <n v="797.2"/>
    <n v="1023000"/>
    <b v="0"/>
    <b v="0"/>
    <n v="1500"/>
    <b v="0"/>
    <b v="1"/>
    <b v="1"/>
    <x v="1"/>
    <x v="19"/>
    <n v="53.146666666666661"/>
    <n v="0"/>
    <n v="1"/>
    <n v="2"/>
    <x v="2"/>
    <n v="1"/>
  </r>
  <r>
    <x v="266"/>
    <d v="2026-02-17T00:00:00"/>
    <d v="2026-02-18T00:00:00"/>
    <d v="2026-02-21T00:00:00"/>
    <d v="2026-02-21T00:00:00"/>
    <x v="2"/>
    <x v="0"/>
    <x v="1"/>
    <x v="1"/>
    <n v="299"/>
    <n v="3046.2"/>
    <n v="5664000"/>
    <b v="0"/>
    <b v="0"/>
    <n v="5000"/>
    <b v="0"/>
    <b v="0"/>
    <b v="0"/>
    <x v="0"/>
    <x v="7"/>
    <n v="60.923999999999999"/>
    <n v="0"/>
    <n v="0"/>
    <n v="3"/>
    <x v="5"/>
    <m/>
  </r>
  <r>
    <x v="267"/>
    <d v="2026-03-26T00:00:00"/>
    <d v="2026-03-27T00:00:00"/>
    <d v="2026-03-29T00:00:00"/>
    <d v="2026-03-29T00:00:00"/>
    <x v="1"/>
    <x v="7"/>
    <x v="2"/>
    <x v="2"/>
    <n v="151.69999999999999"/>
    <n v="9935.1"/>
    <n v="7112000"/>
    <b v="0"/>
    <b v="0"/>
    <n v="16000"/>
    <b v="0"/>
    <b v="0"/>
    <b v="0"/>
    <x v="0"/>
    <x v="26"/>
    <n v="62.094374999999999"/>
    <n v="0"/>
    <n v="0"/>
    <n v="2"/>
    <x v="6"/>
    <m/>
  </r>
  <r>
    <x v="268"/>
    <d v="2026-04-22T00:00:00"/>
    <d v="2026-04-23T00:00:00"/>
    <d v="2026-04-25T00:00:00"/>
    <d v="2026-04-25T00:00:00"/>
    <x v="0"/>
    <x v="5"/>
    <x v="0"/>
    <x v="0"/>
    <n v="181.2"/>
    <n v="1267.8"/>
    <n v="2966000"/>
    <b v="0"/>
    <b v="0"/>
    <n v="1500"/>
    <b v="0"/>
    <b v="0"/>
    <b v="0"/>
    <x v="0"/>
    <x v="8"/>
    <n v="84.52"/>
    <n v="0"/>
    <n v="0"/>
    <n v="2"/>
    <x v="4"/>
    <m/>
  </r>
  <r>
    <x v="269"/>
    <d v="2026-03-20T00:00:00"/>
    <d v="2026-03-21T00:00:00"/>
    <d v="2026-03-23T00:00:00"/>
    <d v="2026-03-24T00:00:00"/>
    <x v="2"/>
    <x v="6"/>
    <x v="2"/>
    <x v="1"/>
    <n v="139.69999999999999"/>
    <n v="2524.5500000000002"/>
    <n v="4391000"/>
    <b v="0"/>
    <b v="0"/>
    <n v="5000"/>
    <b v="0"/>
    <b v="0"/>
    <b v="0"/>
    <x v="1"/>
    <x v="6"/>
    <n v="50.491000000000007"/>
    <n v="0"/>
    <n v="0"/>
    <n v="3"/>
    <x v="6"/>
    <n v="1"/>
  </r>
  <r>
    <x v="270"/>
    <d v="2026-05-15T00:00:00"/>
    <d v="2026-05-16T00:00:00"/>
    <d v="2026-05-19T00:00:00"/>
    <d v="2026-05-20T00:00:00"/>
    <x v="1"/>
    <x v="9"/>
    <x v="1"/>
    <x v="2"/>
    <n v="442.4"/>
    <n v="7585.3"/>
    <n v="11645000"/>
    <b v="0"/>
    <b v="0"/>
    <n v="16000"/>
    <b v="0"/>
    <b v="0"/>
    <b v="0"/>
    <x v="1"/>
    <x v="24"/>
    <n v="47.408124999999998"/>
    <n v="0"/>
    <n v="0"/>
    <n v="4"/>
    <x v="2"/>
    <n v="1"/>
  </r>
  <r>
    <x v="271"/>
    <d v="2026-06-12T00:00:00"/>
    <d v="2026-06-13T00:00:00"/>
    <d v="2026-06-16T00:00:00"/>
    <d v="2026-06-16T00:00:00"/>
    <x v="2"/>
    <x v="5"/>
    <x v="0"/>
    <x v="2"/>
    <n v="309.5"/>
    <n v="6876.6"/>
    <n v="8814000"/>
    <b v="0"/>
    <b v="0"/>
    <n v="16000"/>
    <b v="0"/>
    <b v="0"/>
    <b v="0"/>
    <x v="0"/>
    <x v="17"/>
    <n v="42.978750000000012"/>
    <n v="0"/>
    <n v="0"/>
    <n v="3"/>
    <x v="1"/>
    <m/>
  </r>
  <r>
    <x v="272"/>
    <d v="2026-06-23T00:00:00"/>
    <d v="2026-06-24T00:00:00"/>
    <d v="2026-06-26T00:00:00"/>
    <d v="2026-06-26T00:00:00"/>
    <x v="0"/>
    <x v="2"/>
    <x v="5"/>
    <x v="1"/>
    <n v="180.2"/>
    <n v="3162.9"/>
    <n v="4232000"/>
    <b v="0"/>
    <b v="0"/>
    <n v="5000"/>
    <b v="0"/>
    <b v="0"/>
    <b v="0"/>
    <x v="0"/>
    <x v="23"/>
    <n v="63.258000000000003"/>
    <n v="0"/>
    <n v="0"/>
    <n v="2"/>
    <x v="1"/>
    <m/>
  </r>
  <r>
    <x v="273"/>
    <d v="2026-01-07T00:00:00"/>
    <d v="2026-01-07T00:00:00"/>
    <d v="2026-01-10T00:00:00"/>
    <d v="2026-01-11T00:00:00"/>
    <x v="0"/>
    <x v="7"/>
    <x v="0"/>
    <x v="2"/>
    <n v="317.3"/>
    <n v="4821.3"/>
    <n v="8523000"/>
    <b v="0"/>
    <b v="0"/>
    <n v="16000"/>
    <b v="0"/>
    <b v="0"/>
    <b v="0"/>
    <x v="1"/>
    <x v="45"/>
    <n v="30.133125"/>
    <n v="0"/>
    <n v="0"/>
    <n v="4"/>
    <x v="3"/>
    <n v="1"/>
  </r>
  <r>
    <x v="274"/>
    <d v="2026-06-17T00:00:00"/>
    <d v="2026-06-18T00:00:00"/>
    <d v="2026-06-20T00:00:00"/>
    <m/>
    <x v="1"/>
    <x v="0"/>
    <x v="3"/>
    <x v="2"/>
    <n v="277.60000000000002"/>
    <n v="6993.6"/>
    <n v="7277000"/>
    <b v="0"/>
    <b v="0"/>
    <n v="16000"/>
    <b v="0"/>
    <b v="0"/>
    <b v="0"/>
    <x v="2"/>
    <x v="12"/>
    <n v="43.710000000000008"/>
    <n v="0"/>
    <n v="0"/>
    <m/>
    <x v="1"/>
    <m/>
  </r>
  <r>
    <x v="275"/>
    <d v="2026-03-27T00:00:00"/>
    <d v="2026-03-28T00:00:00"/>
    <d v="2026-04-01T00:00:00"/>
    <d v="2026-04-01T00:00:00"/>
    <x v="1"/>
    <x v="4"/>
    <x v="0"/>
    <x v="0"/>
    <n v="738.9"/>
    <n v="207.9"/>
    <n v="7449000"/>
    <b v="0"/>
    <b v="0"/>
    <n v="1500"/>
    <b v="0"/>
    <b v="0"/>
    <b v="0"/>
    <x v="0"/>
    <x v="38"/>
    <n v="13.86"/>
    <n v="0"/>
    <n v="0"/>
    <n v="4"/>
    <x v="6"/>
    <m/>
  </r>
  <r>
    <x v="276"/>
    <d v="2026-06-24T00:00:00"/>
    <d v="2026-06-25T00:00:00"/>
    <d v="2026-06-27T00:00:00"/>
    <d v="2026-06-27T00:00:00"/>
    <x v="0"/>
    <x v="8"/>
    <x v="0"/>
    <x v="3"/>
    <n v="129.4"/>
    <n v="398.2"/>
    <n v="1672000"/>
    <b v="0"/>
    <b v="0"/>
    <n v="1000"/>
    <b v="0"/>
    <b v="0"/>
    <b v="0"/>
    <x v="0"/>
    <x v="22"/>
    <n v="39.82"/>
    <n v="0"/>
    <n v="0"/>
    <n v="2"/>
    <x v="1"/>
    <m/>
  </r>
  <r>
    <x v="277"/>
    <d v="2026-02-27T00:00:00"/>
    <d v="2026-03-01T00:00:00"/>
    <d v="2026-03-04T00:00:00"/>
    <d v="2026-03-04T00:00:00"/>
    <x v="3"/>
    <x v="1"/>
    <x v="5"/>
    <x v="3"/>
    <n v="554.5"/>
    <n v="690"/>
    <n v="5401000"/>
    <b v="0"/>
    <b v="0"/>
    <n v="1000"/>
    <b v="0"/>
    <b v="0"/>
    <b v="0"/>
    <x v="0"/>
    <x v="21"/>
    <n v="69"/>
    <n v="0"/>
    <n v="0"/>
    <n v="3"/>
    <x v="6"/>
    <m/>
  </r>
  <r>
    <x v="278"/>
    <d v="2026-01-25T00:00:00"/>
    <d v="2026-01-26T00:00:00"/>
    <d v="2026-01-30T00:00:00"/>
    <d v="2026-01-29T00:00:00"/>
    <x v="2"/>
    <x v="11"/>
    <x v="2"/>
    <x v="1"/>
    <n v="606.4"/>
    <n v="2773.7"/>
    <n v="10029000"/>
    <b v="0"/>
    <b v="0"/>
    <n v="5000"/>
    <b v="0"/>
    <b v="0"/>
    <b v="0"/>
    <x v="0"/>
    <x v="41"/>
    <n v="55.473999999999997"/>
    <n v="0"/>
    <n v="0"/>
    <n v="3"/>
    <x v="3"/>
    <m/>
  </r>
  <r>
    <x v="279"/>
    <d v="2026-06-27T00:00:00"/>
    <d v="2026-06-29T00:00:00"/>
    <d v="2026-07-02T00:00:00"/>
    <d v="2026-07-03T00:00:00"/>
    <x v="3"/>
    <x v="0"/>
    <x v="1"/>
    <x v="1"/>
    <n v="580.20000000000005"/>
    <n v="2385.1"/>
    <n v="7597000"/>
    <b v="0"/>
    <b v="0"/>
    <n v="5000"/>
    <b v="0"/>
    <b v="0"/>
    <b v="0"/>
    <x v="1"/>
    <x v="11"/>
    <n v="47.701999999999998"/>
    <n v="0"/>
    <n v="0"/>
    <n v="4"/>
    <x v="1"/>
    <n v="1"/>
  </r>
  <r>
    <x v="280"/>
    <d v="2026-04-21T00:00:00"/>
    <d v="2026-04-21T00:00:00"/>
    <d v="2026-04-25T00:00:00"/>
    <d v="2026-04-25T00:00:00"/>
    <x v="3"/>
    <x v="3"/>
    <x v="3"/>
    <x v="3"/>
    <n v="1525.3"/>
    <n v="116.1"/>
    <n v="13623000"/>
    <b v="0"/>
    <b v="0"/>
    <n v="1000"/>
    <b v="0"/>
    <b v="0"/>
    <b v="0"/>
    <x v="0"/>
    <x v="43"/>
    <n v="11.61"/>
    <n v="0"/>
    <n v="0"/>
    <n v="4"/>
    <x v="4"/>
    <m/>
  </r>
  <r>
    <x v="281"/>
    <d v="2026-06-25T00:00:00"/>
    <d v="2026-06-26T00:00:00"/>
    <d v="2026-06-28T00:00:00"/>
    <d v="2026-06-30T00:00:00"/>
    <x v="0"/>
    <x v="1"/>
    <x v="1"/>
    <x v="2"/>
    <n v="272.39999999999998"/>
    <n v="8942.9"/>
    <n v="8603000"/>
    <b v="0"/>
    <b v="0"/>
    <n v="16000"/>
    <b v="0"/>
    <b v="0"/>
    <b v="0"/>
    <x v="1"/>
    <x v="1"/>
    <n v="55.893124999999998"/>
    <n v="0"/>
    <n v="0"/>
    <n v="4"/>
    <x v="1"/>
    <n v="2"/>
  </r>
  <r>
    <x v="282"/>
    <d v="2026-01-24T00:00:00"/>
    <d v="2026-01-25T00:00:00"/>
    <d v="2026-01-27T00:00:00"/>
    <d v="2026-01-27T00:00:00"/>
    <x v="0"/>
    <x v="6"/>
    <x v="5"/>
    <x v="3"/>
    <n v="17.899999999999999"/>
    <n v="493.1"/>
    <n v="765000"/>
    <b v="0"/>
    <b v="0"/>
    <n v="1000"/>
    <b v="0"/>
    <b v="0"/>
    <b v="0"/>
    <x v="0"/>
    <x v="19"/>
    <n v="49.31"/>
    <n v="0"/>
    <n v="0"/>
    <n v="2"/>
    <x v="3"/>
    <m/>
  </r>
  <r>
    <x v="283"/>
    <d v="2026-05-18T00:00:00"/>
    <d v="2026-05-20T00:00:00"/>
    <d v="2026-05-21T00:00:00"/>
    <d v="2026-05-21T00:00:00"/>
    <x v="2"/>
    <x v="10"/>
    <x v="1"/>
    <x v="3"/>
    <n v="53.6"/>
    <n v="375.7"/>
    <n v="1120000"/>
    <b v="0"/>
    <b v="0"/>
    <n v="1000"/>
    <b v="0"/>
    <b v="0"/>
    <b v="0"/>
    <x v="0"/>
    <x v="34"/>
    <n v="37.57"/>
    <n v="0"/>
    <n v="0"/>
    <n v="1"/>
    <x v="2"/>
    <m/>
  </r>
  <r>
    <x v="284"/>
    <d v="2026-01-12T00:00:00"/>
    <d v="2026-01-13T00:00:00"/>
    <d v="2026-01-16T00:00:00"/>
    <d v="2026-01-16T00:00:00"/>
    <x v="1"/>
    <x v="1"/>
    <x v="2"/>
    <x v="1"/>
    <n v="312.7"/>
    <n v="1305.3"/>
    <n v="5178000"/>
    <b v="0"/>
    <b v="0"/>
    <n v="5000"/>
    <b v="0"/>
    <b v="0"/>
    <b v="0"/>
    <x v="0"/>
    <x v="25"/>
    <n v="26.106000000000002"/>
    <n v="0"/>
    <n v="0"/>
    <n v="3"/>
    <x v="3"/>
    <m/>
  </r>
  <r>
    <x v="285"/>
    <d v="2026-03-04T00:00:00"/>
    <d v="2026-03-05T00:00:00"/>
    <d v="2026-03-08T00:00:00"/>
    <d v="2026-03-08T00:00:00"/>
    <x v="1"/>
    <x v="6"/>
    <x v="1"/>
    <x v="2"/>
    <n v="165.5"/>
    <n v="6344.9"/>
    <n v="5310000"/>
    <b v="0"/>
    <b v="0"/>
    <n v="16000"/>
    <b v="0"/>
    <b v="0"/>
    <b v="0"/>
    <x v="0"/>
    <x v="9"/>
    <n v="39.655625000000001"/>
    <n v="0"/>
    <n v="0"/>
    <n v="3"/>
    <x v="6"/>
    <m/>
  </r>
  <r>
    <x v="286"/>
    <d v="2026-05-26T00:00:00"/>
    <d v="2026-05-26T00:00:00"/>
    <d v="2026-05-29T00:00:00"/>
    <d v="2026-05-29T00:00:00"/>
    <x v="2"/>
    <x v="1"/>
    <x v="5"/>
    <x v="2"/>
    <n v="318.39999999999998"/>
    <n v="14340.9"/>
    <n v="10579000"/>
    <b v="0"/>
    <b v="0"/>
    <n v="16000"/>
    <b v="0"/>
    <b v="0"/>
    <b v="0"/>
    <x v="0"/>
    <x v="16"/>
    <n v="89.630624999999995"/>
    <n v="0"/>
    <n v="0"/>
    <n v="3"/>
    <x v="2"/>
    <m/>
  </r>
  <r>
    <x v="287"/>
    <d v="2026-03-21T00:00:00"/>
    <d v="2026-03-21T00:00:00"/>
    <d v="2026-03-22T00:00:00"/>
    <d v="2026-03-22T00:00:00"/>
    <x v="0"/>
    <x v="6"/>
    <x v="3"/>
    <x v="2"/>
    <n v="19.5"/>
    <n v="6882.5"/>
    <n v="3305000"/>
    <b v="0"/>
    <b v="0"/>
    <n v="16000"/>
    <b v="0"/>
    <b v="0"/>
    <b v="0"/>
    <x v="0"/>
    <x v="19"/>
    <n v="43.015625"/>
    <n v="0"/>
    <n v="0"/>
    <n v="1"/>
    <x v="6"/>
    <m/>
  </r>
  <r>
    <x v="288"/>
    <d v="2026-02-02T00:00:00"/>
    <d v="2026-02-04T00:00:00"/>
    <d v="2026-02-07T00:00:00"/>
    <d v="2026-02-07T00:00:00"/>
    <x v="0"/>
    <x v="0"/>
    <x v="3"/>
    <x v="1"/>
    <n v="300.3"/>
    <n v="4140.6000000000004"/>
    <n v="5550000"/>
    <b v="0"/>
    <b v="0"/>
    <n v="5000"/>
    <b v="0"/>
    <b v="0"/>
    <b v="0"/>
    <x v="0"/>
    <x v="0"/>
    <n v="82.812000000000012"/>
    <n v="0"/>
    <n v="0"/>
    <n v="3"/>
    <x v="5"/>
    <m/>
  </r>
  <r>
    <x v="289"/>
    <d v="2026-05-22T00:00:00"/>
    <d v="2026-05-23T00:00:00"/>
    <d v="2026-05-28T00:00:00"/>
    <d v="2026-05-28T00:00:00"/>
    <x v="2"/>
    <x v="4"/>
    <x v="2"/>
    <x v="1"/>
    <n v="717.8"/>
    <n v="1630.4"/>
    <n v="9971000"/>
    <b v="0"/>
    <b v="0"/>
    <n v="5000"/>
    <b v="0"/>
    <b v="0"/>
    <b v="0"/>
    <x v="0"/>
    <x v="4"/>
    <n v="32.607999999999997"/>
    <n v="0"/>
    <n v="0"/>
    <n v="5"/>
    <x v="2"/>
    <m/>
  </r>
  <r>
    <x v="290"/>
    <d v="2026-01-22T00:00:00"/>
    <d v="2026-01-22T00:00:00"/>
    <d v="2026-01-25T00:00:00"/>
    <d v="2026-01-25T00:00:00"/>
    <x v="3"/>
    <x v="6"/>
    <x v="2"/>
    <x v="1"/>
    <n v="451.8"/>
    <n v="1715.2"/>
    <n v="7816000"/>
    <b v="0"/>
    <b v="0"/>
    <n v="5000"/>
    <b v="0"/>
    <b v="0"/>
    <b v="0"/>
    <x v="0"/>
    <x v="13"/>
    <n v="34.304000000000002"/>
    <n v="0"/>
    <n v="0"/>
    <n v="3"/>
    <x v="3"/>
    <m/>
  </r>
  <r>
    <x v="291"/>
    <d v="2026-05-22T00:00:00"/>
    <d v="2026-05-23T00:00:00"/>
    <d v="2026-05-26T00:00:00"/>
    <d v="2026-05-28T00:00:00"/>
    <x v="2"/>
    <x v="1"/>
    <x v="5"/>
    <x v="1"/>
    <n v="315.7"/>
    <n v="2973.9"/>
    <n v="6123000"/>
    <b v="0"/>
    <b v="0"/>
    <n v="5000"/>
    <b v="0"/>
    <b v="0"/>
    <b v="0"/>
    <x v="1"/>
    <x v="16"/>
    <n v="59.477999999999987"/>
    <n v="0"/>
    <n v="0"/>
    <n v="5"/>
    <x v="2"/>
    <n v="2"/>
  </r>
  <r>
    <x v="292"/>
    <d v="2026-04-29T00:00:00"/>
    <d v="2026-05-01T00:00:00"/>
    <d v="2026-05-05T00:00:00"/>
    <d v="2026-05-05T00:00:00"/>
    <x v="1"/>
    <x v="4"/>
    <x v="3"/>
    <x v="3"/>
    <n v="709.5"/>
    <n v="214.1"/>
    <n v="6296000"/>
    <b v="0"/>
    <b v="0"/>
    <n v="1000"/>
    <b v="0"/>
    <b v="0"/>
    <b v="0"/>
    <x v="0"/>
    <x v="38"/>
    <n v="21.41"/>
    <n v="0"/>
    <n v="0"/>
    <n v="4"/>
    <x v="2"/>
    <m/>
  </r>
  <r>
    <x v="293"/>
    <d v="2026-06-08T00:00:00"/>
    <d v="2026-06-09T00:00:00"/>
    <d v="2026-06-12T00:00:00"/>
    <d v="2026-06-13T00:00:00"/>
    <x v="1"/>
    <x v="1"/>
    <x v="3"/>
    <x v="1"/>
    <n v="319.60000000000002"/>
    <n v="4297.1000000000004"/>
    <n v="6414000"/>
    <b v="0"/>
    <b v="0"/>
    <n v="5000"/>
    <b v="0"/>
    <b v="0"/>
    <b v="0"/>
    <x v="1"/>
    <x v="25"/>
    <n v="85.942000000000007"/>
    <n v="0"/>
    <n v="0"/>
    <n v="4"/>
    <x v="1"/>
    <n v="1"/>
  </r>
  <r>
    <x v="294"/>
    <d v="2026-04-28T00:00:00"/>
    <d v="2026-04-29T00:00:00"/>
    <d v="2026-05-02T00:00:00"/>
    <d v="2026-05-02T00:00:00"/>
    <x v="3"/>
    <x v="4"/>
    <x v="1"/>
    <x v="1"/>
    <n v="142.4"/>
    <n v="1397.9"/>
    <n v="3186000"/>
    <b v="0"/>
    <b v="0"/>
    <n v="5000"/>
    <b v="0"/>
    <b v="0"/>
    <b v="0"/>
    <x v="0"/>
    <x v="46"/>
    <n v="27.957999999999998"/>
    <n v="0"/>
    <n v="0"/>
    <n v="3"/>
    <x v="4"/>
    <m/>
  </r>
  <r>
    <x v="295"/>
    <d v="2026-03-22T00:00:00"/>
    <d v="2026-03-23T00:00:00"/>
    <d v="2026-03-24T00:00:00"/>
    <d v="2026-03-24T00:00:00"/>
    <x v="1"/>
    <x v="10"/>
    <x v="2"/>
    <x v="3"/>
    <n v="27.3"/>
    <n v="490.5"/>
    <n v="945000"/>
    <b v="0"/>
    <b v="0"/>
    <n v="1000"/>
    <b v="0"/>
    <b v="0"/>
    <b v="0"/>
    <x v="0"/>
    <x v="27"/>
    <n v="49.05"/>
    <n v="0"/>
    <n v="0"/>
    <n v="1"/>
    <x v="6"/>
    <m/>
  </r>
  <r>
    <x v="296"/>
    <d v="2026-01-07T00:00:00"/>
    <d v="2026-01-08T00:00:00"/>
    <d v="2026-01-11T00:00:00"/>
    <d v="2026-01-11T00:00:00"/>
    <x v="0"/>
    <x v="11"/>
    <x v="3"/>
    <x v="2"/>
    <n v="443.9"/>
    <n v="13258.3"/>
    <n v="12395000"/>
    <b v="0"/>
    <b v="0"/>
    <n v="16000"/>
    <b v="0"/>
    <b v="0"/>
    <b v="0"/>
    <x v="0"/>
    <x v="36"/>
    <n v="82.864374999999995"/>
    <n v="0"/>
    <n v="0"/>
    <n v="3"/>
    <x v="3"/>
    <m/>
  </r>
  <r>
    <x v="297"/>
    <d v="2026-03-08T00:00:00"/>
    <d v="2026-03-08T00:00:00"/>
    <d v="2026-03-10T00:00:00"/>
    <d v="2026-03-11T00:00:00"/>
    <x v="1"/>
    <x v="5"/>
    <x v="5"/>
    <x v="2"/>
    <n v="294.89999999999998"/>
    <n v="7167.6"/>
    <n v="7583000"/>
    <b v="0"/>
    <b v="0"/>
    <n v="16000"/>
    <b v="0"/>
    <b v="0"/>
    <b v="0"/>
    <x v="1"/>
    <x v="5"/>
    <n v="44.797499999999999"/>
    <n v="0"/>
    <n v="0"/>
    <n v="3"/>
    <x v="6"/>
    <n v="1"/>
  </r>
  <r>
    <x v="298"/>
    <d v="2026-04-23T00:00:00"/>
    <d v="2026-04-24T00:00:00"/>
    <d v="2026-04-26T00:00:00"/>
    <d v="2026-04-26T00:00:00"/>
    <x v="0"/>
    <x v="2"/>
    <x v="5"/>
    <x v="1"/>
    <n v="198.4"/>
    <n v="4211.6000000000004"/>
    <n v="4581000"/>
    <b v="0"/>
    <b v="0"/>
    <n v="5000"/>
    <b v="0"/>
    <b v="0"/>
    <b v="0"/>
    <x v="0"/>
    <x v="23"/>
    <n v="84.232000000000014"/>
    <n v="0"/>
    <n v="0"/>
    <n v="2"/>
    <x v="4"/>
    <m/>
  </r>
  <r>
    <x v="299"/>
    <d v="2026-06-21T00:00:00"/>
    <d v="2026-06-21T00:00:00"/>
    <d v="2026-06-25T00:00:00"/>
    <d v="2026-06-25T00:00:00"/>
    <x v="3"/>
    <x v="3"/>
    <x v="3"/>
    <x v="0"/>
    <n v="1566.9"/>
    <n v="232.4"/>
    <n v="16605000"/>
    <b v="0"/>
    <b v="0"/>
    <n v="1500"/>
    <b v="0"/>
    <b v="0"/>
    <b v="0"/>
    <x v="0"/>
    <x v="43"/>
    <n v="15.493333333333331"/>
    <n v="0"/>
    <n v="0"/>
    <n v="4"/>
    <x v="1"/>
    <m/>
  </r>
  <r>
    <x v="300"/>
    <d v="2026-04-08T00:00:00"/>
    <d v="2026-04-10T00:00:00"/>
    <d v="2026-04-13T00:00:00"/>
    <d v="2026-04-14T00:00:00"/>
    <x v="2"/>
    <x v="11"/>
    <x v="1"/>
    <x v="1"/>
    <n v="573.4"/>
    <n v="4046.7"/>
    <n v="9693000"/>
    <b v="0"/>
    <b v="0"/>
    <n v="5000"/>
    <b v="0"/>
    <b v="0"/>
    <b v="0"/>
    <x v="1"/>
    <x v="41"/>
    <n v="80.933999999999997"/>
    <n v="0"/>
    <n v="0"/>
    <n v="4"/>
    <x v="4"/>
    <n v="1"/>
  </r>
  <r>
    <x v="301"/>
    <d v="2026-04-27T00:00:00"/>
    <d v="2026-04-28T00:00:00"/>
    <d v="2026-05-02T00:00:00"/>
    <d v="2026-05-03T00:00:00"/>
    <x v="1"/>
    <x v="3"/>
    <x v="3"/>
    <x v="2"/>
    <n v="873.1"/>
    <n v="7520.7"/>
    <n v="19802000"/>
    <b v="0"/>
    <b v="0"/>
    <n v="16000"/>
    <b v="0"/>
    <b v="0"/>
    <b v="0"/>
    <x v="1"/>
    <x v="35"/>
    <n v="47.004375000000003"/>
    <n v="0"/>
    <n v="0"/>
    <n v="5"/>
    <x v="4"/>
    <n v="1"/>
  </r>
  <r>
    <x v="302"/>
    <d v="2026-02-04T00:00:00"/>
    <d v="2026-02-06T00:00:00"/>
    <d v="2026-02-08T00:00:00"/>
    <d v="2026-02-08T00:00:00"/>
    <x v="3"/>
    <x v="4"/>
    <x v="2"/>
    <x v="1"/>
    <n v="155.4"/>
    <n v="2338.6"/>
    <n v="3923000"/>
    <b v="0"/>
    <b v="0"/>
    <n v="5000"/>
    <b v="0"/>
    <b v="0"/>
    <b v="0"/>
    <x v="0"/>
    <x v="46"/>
    <n v="46.771999999999998"/>
    <n v="0"/>
    <n v="0"/>
    <n v="2"/>
    <x v="5"/>
    <m/>
  </r>
  <r>
    <x v="303"/>
    <d v="2026-06-26T00:00:00"/>
    <d v="2026-06-26T00:00:00"/>
    <d v="2026-06-28T00:00:00"/>
    <d v="2026-06-29T00:00:00"/>
    <x v="3"/>
    <x v="4"/>
    <x v="0"/>
    <x v="2"/>
    <n v="148"/>
    <n v="2809.6"/>
    <n v="4952000"/>
    <b v="0"/>
    <b v="0"/>
    <n v="16000"/>
    <b v="0"/>
    <b v="0"/>
    <b v="0"/>
    <x v="1"/>
    <x v="46"/>
    <n v="17.559999999999999"/>
    <n v="0"/>
    <n v="0"/>
    <n v="3"/>
    <x v="1"/>
    <n v="1"/>
  </r>
  <r>
    <x v="304"/>
    <d v="2026-06-11T00:00:00"/>
    <d v="2026-06-11T00:00:00"/>
    <d v="2026-06-15T00:00:00"/>
    <m/>
    <x v="1"/>
    <x v="4"/>
    <x v="0"/>
    <x v="0"/>
    <n v="819"/>
    <n v="1081.4000000000001"/>
    <n v="8760000"/>
    <b v="0"/>
    <b v="0"/>
    <n v="1500"/>
    <b v="0"/>
    <b v="0"/>
    <b v="0"/>
    <x v="2"/>
    <x v="38"/>
    <n v="72.093333333333348"/>
    <n v="0"/>
    <n v="0"/>
    <m/>
    <x v="1"/>
    <m/>
  </r>
  <r>
    <x v="305"/>
    <d v="2026-02-22T00:00:00"/>
    <d v="2026-02-23T00:00:00"/>
    <d v="2026-02-27T00:00:00"/>
    <d v="2026-02-28T00:00:00"/>
    <x v="0"/>
    <x v="3"/>
    <x v="2"/>
    <x v="1"/>
    <n v="1161.4000000000001"/>
    <n v="1244.5999999999999"/>
    <n v="15952000"/>
    <b v="0"/>
    <b v="0"/>
    <n v="5000"/>
    <b v="0"/>
    <b v="0"/>
    <b v="0"/>
    <x v="1"/>
    <x v="47"/>
    <n v="24.891999999999999"/>
    <n v="0"/>
    <n v="0"/>
    <n v="5"/>
    <x v="5"/>
    <n v="1"/>
  </r>
  <r>
    <x v="306"/>
    <d v="2026-03-02T00:00:00"/>
    <d v="2026-03-03T00:00:00"/>
    <d v="2026-03-05T00:00:00"/>
    <d v="2026-03-06T00:00:00"/>
    <x v="1"/>
    <x v="7"/>
    <x v="5"/>
    <x v="3"/>
    <n v="137.19999999999999"/>
    <n v="786.8"/>
    <n v="1673000"/>
    <b v="0"/>
    <b v="0"/>
    <n v="1000"/>
    <b v="0"/>
    <b v="0"/>
    <b v="0"/>
    <x v="1"/>
    <x v="26"/>
    <n v="78.679999999999993"/>
    <n v="0"/>
    <n v="0"/>
    <n v="3"/>
    <x v="6"/>
    <n v="1"/>
  </r>
  <r>
    <x v="307"/>
    <d v="2026-04-14T00:00:00"/>
    <d v="2026-04-16T00:00:00"/>
    <d v="2026-04-19T00:00:00"/>
    <d v="2026-04-20T00:00:00"/>
    <x v="1"/>
    <x v="5"/>
    <x v="0"/>
    <x v="1"/>
    <n v="337.3"/>
    <n v="582.20000000000005"/>
    <n v="4374000"/>
    <b v="0"/>
    <b v="0"/>
    <n v="5000"/>
    <b v="0"/>
    <b v="0"/>
    <b v="0"/>
    <x v="1"/>
    <x v="5"/>
    <n v="11.644"/>
    <n v="0"/>
    <n v="0"/>
    <n v="4"/>
    <x v="4"/>
    <n v="1"/>
  </r>
  <r>
    <x v="308"/>
    <d v="2026-02-26T00:00:00"/>
    <d v="2026-02-27T00:00:00"/>
    <d v="2026-03-02T00:00:00"/>
    <d v="2026-03-02T00:00:00"/>
    <x v="3"/>
    <x v="5"/>
    <x v="3"/>
    <x v="1"/>
    <n v="495.6"/>
    <n v="2208.1"/>
    <n v="7039000"/>
    <b v="0"/>
    <b v="0"/>
    <n v="5000"/>
    <b v="0"/>
    <b v="0"/>
    <b v="0"/>
    <x v="0"/>
    <x v="37"/>
    <n v="44.161999999999999"/>
    <n v="0"/>
    <n v="0"/>
    <n v="3"/>
    <x v="5"/>
    <m/>
  </r>
  <r>
    <x v="309"/>
    <d v="2026-05-10T00:00:00"/>
    <d v="2026-05-11T00:00:00"/>
    <d v="2026-05-15T00:00:00"/>
    <d v="2026-05-15T00:00:00"/>
    <x v="1"/>
    <x v="3"/>
    <x v="2"/>
    <x v="3"/>
    <n v="833.3"/>
    <n v="118.1"/>
    <n v="9075000"/>
    <b v="0"/>
    <b v="0"/>
    <n v="1000"/>
    <b v="0"/>
    <b v="0"/>
    <b v="0"/>
    <x v="0"/>
    <x v="35"/>
    <n v="11.81"/>
    <n v="0"/>
    <n v="0"/>
    <n v="4"/>
    <x v="2"/>
    <m/>
  </r>
  <r>
    <x v="310"/>
    <d v="2026-06-24T00:00:00"/>
    <d v="2026-06-26T00:00:00"/>
    <d v="2026-06-28T00:00:00"/>
    <d v="2026-06-27T00:00:00"/>
    <x v="0"/>
    <x v="10"/>
    <x v="3"/>
    <x v="1"/>
    <n v="160.1"/>
    <n v="3168.5"/>
    <n v="4247000"/>
    <b v="0"/>
    <b v="0"/>
    <n v="5000"/>
    <b v="0"/>
    <b v="0"/>
    <b v="0"/>
    <x v="0"/>
    <x v="42"/>
    <n v="63.37"/>
    <n v="0"/>
    <n v="0"/>
    <n v="1"/>
    <x v="1"/>
    <m/>
  </r>
  <r>
    <x v="311"/>
    <d v="2026-02-06T00:00:00"/>
    <d v="2026-02-06T00:00:00"/>
    <d v="2026-02-08T00:00:00"/>
    <d v="2026-02-09T00:00:00"/>
    <x v="1"/>
    <x v="7"/>
    <x v="0"/>
    <x v="2"/>
    <n v="141.9"/>
    <n v="10266.9"/>
    <n v="5510000"/>
    <b v="0"/>
    <b v="0"/>
    <n v="16000"/>
    <b v="0"/>
    <b v="0"/>
    <b v="0"/>
    <x v="1"/>
    <x v="26"/>
    <n v="64.168125000000003"/>
    <n v="0"/>
    <n v="0"/>
    <n v="3"/>
    <x v="5"/>
    <n v="1"/>
  </r>
  <r>
    <x v="312"/>
    <d v="2026-04-02T00:00:00"/>
    <d v="2026-04-03T00:00:00"/>
    <d v="2026-04-08T00:00:00"/>
    <d v="2026-04-10T00:00:00"/>
    <x v="1"/>
    <x v="3"/>
    <x v="1"/>
    <x v="2"/>
    <n v="925.3"/>
    <n v="9340.6"/>
    <n v="19050000"/>
    <b v="0"/>
    <b v="0"/>
    <n v="16000"/>
    <b v="0"/>
    <b v="0"/>
    <b v="0"/>
    <x v="1"/>
    <x v="35"/>
    <n v="58.378749999999997"/>
    <n v="0"/>
    <n v="0"/>
    <n v="7"/>
    <x v="4"/>
    <n v="2"/>
  </r>
  <r>
    <x v="313"/>
    <d v="2026-02-12T00:00:00"/>
    <d v="2026-02-13T00:00:00"/>
    <d v="2026-02-16T00:00:00"/>
    <d v="2026-02-16T00:00:00"/>
    <x v="1"/>
    <x v="0"/>
    <x v="3"/>
    <x v="0"/>
    <n v="277.5"/>
    <n v="569.4"/>
    <n v="3383000"/>
    <b v="0"/>
    <b v="0"/>
    <n v="1500"/>
    <b v="0"/>
    <b v="0"/>
    <b v="0"/>
    <x v="0"/>
    <x v="12"/>
    <n v="37.96"/>
    <n v="0"/>
    <n v="0"/>
    <n v="3"/>
    <x v="5"/>
    <m/>
  </r>
  <r>
    <x v="314"/>
    <d v="2026-01-16T00:00:00"/>
    <d v="2026-01-16T00:00:00"/>
    <d v="2026-01-17T00:00:00"/>
    <d v="2026-01-18T00:00:00"/>
    <x v="0"/>
    <x v="6"/>
    <x v="5"/>
    <x v="1"/>
    <n v="23"/>
    <n v="2795"/>
    <n v="2039000"/>
    <b v="0"/>
    <b v="0"/>
    <n v="5000"/>
    <b v="0"/>
    <b v="0"/>
    <b v="0"/>
    <x v="1"/>
    <x v="19"/>
    <n v="55.900000000000013"/>
    <n v="0"/>
    <n v="0"/>
    <n v="2"/>
    <x v="3"/>
    <n v="1"/>
  </r>
  <r>
    <x v="315"/>
    <d v="2026-06-21T00:00:00"/>
    <d v="2026-06-22T00:00:00"/>
    <d v="2026-06-25T00:00:00"/>
    <d v="2026-06-25T00:00:00"/>
    <x v="3"/>
    <x v="5"/>
    <x v="0"/>
    <x v="1"/>
    <n v="488.8"/>
    <n v="4315.7"/>
    <n v="8161000"/>
    <b v="0"/>
    <b v="0"/>
    <n v="5000"/>
    <b v="0"/>
    <b v="0"/>
    <b v="0"/>
    <x v="0"/>
    <x v="37"/>
    <n v="86.314000000000007"/>
    <n v="0"/>
    <n v="0"/>
    <n v="3"/>
    <x v="1"/>
    <m/>
  </r>
  <r>
    <x v="316"/>
    <d v="2026-03-11T00:00:00"/>
    <d v="2026-03-12T00:00:00"/>
    <d v="2026-03-15T00:00:00"/>
    <d v="2026-03-15T00:00:00"/>
    <x v="3"/>
    <x v="6"/>
    <x v="5"/>
    <x v="1"/>
    <n v="510.8"/>
    <n v="4275.1000000000004"/>
    <n v="8992000"/>
    <b v="0"/>
    <b v="0"/>
    <n v="5000"/>
    <b v="0"/>
    <b v="0"/>
    <b v="0"/>
    <x v="0"/>
    <x v="13"/>
    <n v="85.50200000000001"/>
    <n v="0"/>
    <n v="0"/>
    <n v="3"/>
    <x v="6"/>
    <m/>
  </r>
  <r>
    <x v="317"/>
    <d v="2026-04-30T00:00:00"/>
    <d v="2026-05-01T00:00:00"/>
    <d v="2026-05-02T00:00:00"/>
    <d v="2026-05-03T00:00:00"/>
    <x v="3"/>
    <x v="11"/>
    <x v="3"/>
    <x v="1"/>
    <n v="27.5"/>
    <n v="2421.5"/>
    <n v="1968000"/>
    <b v="0"/>
    <b v="0"/>
    <n v="5000"/>
    <b v="0"/>
    <b v="0"/>
    <b v="0"/>
    <x v="1"/>
    <x v="39"/>
    <n v="48.43"/>
    <n v="0"/>
    <n v="0"/>
    <n v="2"/>
    <x v="2"/>
    <n v="1"/>
  </r>
  <r>
    <x v="318"/>
    <d v="2026-03-01T00:00:00"/>
    <d v="2026-03-02T00:00:00"/>
    <d v="2026-03-04T00:00:00"/>
    <d v="2026-03-04T00:00:00"/>
    <x v="2"/>
    <x v="7"/>
    <x v="5"/>
    <x v="2"/>
    <n v="202.7"/>
    <n v="12329.6"/>
    <n v="7800000"/>
    <b v="0"/>
    <b v="0"/>
    <n v="16000"/>
    <b v="0"/>
    <b v="0"/>
    <b v="0"/>
    <x v="0"/>
    <x v="10"/>
    <n v="77.06"/>
    <n v="0"/>
    <n v="0"/>
    <n v="2"/>
    <x v="6"/>
    <m/>
  </r>
  <r>
    <x v="319"/>
    <d v="2026-04-09T00:00:00"/>
    <d v="2026-04-10T00:00:00"/>
    <d v="2026-04-12T00:00:00"/>
    <d v="2026-04-12T00:00:00"/>
    <x v="1"/>
    <x v="7"/>
    <x v="3"/>
    <x v="1"/>
    <n v="153.4"/>
    <n v="2310.6"/>
    <n v="3750000"/>
    <b v="0"/>
    <b v="0"/>
    <n v="5000"/>
    <b v="0"/>
    <b v="0"/>
    <b v="0"/>
    <x v="0"/>
    <x v="26"/>
    <n v="46.212000000000003"/>
    <n v="0"/>
    <n v="0"/>
    <n v="2"/>
    <x v="4"/>
    <m/>
  </r>
  <r>
    <x v="320"/>
    <d v="2026-02-25T00:00:00"/>
    <d v="2026-02-26T00:00:00"/>
    <d v="2026-03-01T00:00:00"/>
    <m/>
    <x v="2"/>
    <x v="2"/>
    <x v="5"/>
    <x v="1"/>
    <n v="321.5"/>
    <n v="942.1"/>
    <n v="5092000"/>
    <b v="0"/>
    <b v="0"/>
    <n v="5000"/>
    <b v="0"/>
    <b v="0"/>
    <b v="0"/>
    <x v="2"/>
    <x v="29"/>
    <n v="18.841999999999999"/>
    <n v="0"/>
    <n v="0"/>
    <m/>
    <x v="5"/>
    <m/>
  </r>
  <r>
    <x v="321"/>
    <d v="2026-06-16T00:00:00"/>
    <d v="2026-06-17T00:00:00"/>
    <d v="2026-06-21T00:00:00"/>
    <d v="2026-06-21T00:00:00"/>
    <x v="1"/>
    <x v="4"/>
    <x v="5"/>
    <x v="0"/>
    <n v="760.4"/>
    <n v="1255.7"/>
    <n v="7995000"/>
    <b v="0"/>
    <b v="0"/>
    <n v="1500"/>
    <b v="0"/>
    <b v="0"/>
    <b v="0"/>
    <x v="0"/>
    <x v="38"/>
    <n v="83.713333333333338"/>
    <n v="0"/>
    <n v="0"/>
    <n v="4"/>
    <x v="1"/>
    <m/>
  </r>
  <r>
    <x v="322"/>
    <d v="2026-04-29T00:00:00"/>
    <d v="2026-04-30T00:00:00"/>
    <d v="2026-05-03T00:00:00"/>
    <d v="2026-05-04T00:00:00"/>
    <x v="3"/>
    <x v="5"/>
    <x v="4"/>
    <x v="3"/>
    <n v="460"/>
    <n v="204.8"/>
    <n v="4481000"/>
    <b v="0"/>
    <b v="0"/>
    <n v="1000"/>
    <b v="0"/>
    <b v="0"/>
    <b v="0"/>
    <x v="1"/>
    <x v="37"/>
    <n v="20.48"/>
    <n v="0"/>
    <n v="0"/>
    <n v="4"/>
    <x v="4"/>
    <n v="1"/>
  </r>
  <r>
    <x v="323"/>
    <d v="2026-04-09T00:00:00"/>
    <d v="2026-04-11T00:00:00"/>
    <d v="2026-04-16T00:00:00"/>
    <m/>
    <x v="1"/>
    <x v="4"/>
    <x v="0"/>
    <x v="0"/>
    <n v="789"/>
    <n v="1221"/>
    <n v="8857000"/>
    <b v="0"/>
    <b v="0"/>
    <n v="1500"/>
    <b v="0"/>
    <b v="0"/>
    <b v="0"/>
    <x v="2"/>
    <x v="38"/>
    <n v="81.399999999999991"/>
    <n v="0"/>
    <n v="0"/>
    <m/>
    <x v="4"/>
    <m/>
  </r>
  <r>
    <x v="324"/>
    <d v="2026-06-28T00:00:00"/>
    <d v="2026-06-29T00:00:00"/>
    <d v="2026-07-02T00:00:00"/>
    <d v="2026-07-02T00:00:00"/>
    <x v="2"/>
    <x v="1"/>
    <x v="5"/>
    <x v="2"/>
    <n v="312.10000000000002"/>
    <n v="13364.1"/>
    <n v="10747000"/>
    <b v="0"/>
    <b v="0"/>
    <n v="16000"/>
    <b v="0"/>
    <b v="0"/>
    <b v="0"/>
    <x v="0"/>
    <x v="16"/>
    <n v="83.525625000000005"/>
    <n v="0"/>
    <n v="0"/>
    <n v="3"/>
    <x v="1"/>
    <m/>
  </r>
  <r>
    <x v="325"/>
    <d v="2026-01-18T00:00:00"/>
    <d v="2026-01-19T00:00:00"/>
    <d v="2026-01-23T00:00:00"/>
    <d v="2026-01-23T00:00:00"/>
    <x v="2"/>
    <x v="11"/>
    <x v="0"/>
    <x v="1"/>
    <n v="631"/>
    <n v="3738.1"/>
    <n v="8659000"/>
    <b v="0"/>
    <b v="0"/>
    <n v="5000"/>
    <b v="0"/>
    <b v="0"/>
    <b v="0"/>
    <x v="0"/>
    <x v="41"/>
    <n v="74.762"/>
    <n v="0"/>
    <n v="0"/>
    <n v="4"/>
    <x v="3"/>
    <m/>
  </r>
  <r>
    <x v="326"/>
    <d v="2026-06-30T00:00:00"/>
    <d v="2026-07-01T00:00:00"/>
    <d v="2026-07-02T00:00:00"/>
    <d v="2026-07-04T00:00:00"/>
    <x v="1"/>
    <x v="8"/>
    <x v="2"/>
    <x v="0"/>
    <n v="54"/>
    <n v="429.1"/>
    <n v="1376000"/>
    <b v="0"/>
    <b v="0"/>
    <n v="1500"/>
    <b v="0"/>
    <b v="0"/>
    <b v="0"/>
    <x v="1"/>
    <x v="28"/>
    <n v="28.606666666666669"/>
    <n v="0"/>
    <n v="0"/>
    <n v="3"/>
    <x v="0"/>
    <n v="2"/>
  </r>
  <r>
    <x v="327"/>
    <d v="2026-04-16T00:00:00"/>
    <d v="2026-04-17T00:00:00"/>
    <d v="2026-04-20T00:00:00"/>
    <d v="2026-04-20T00:00:00"/>
    <x v="1"/>
    <x v="2"/>
    <x v="0"/>
    <x v="3"/>
    <n v="331.8"/>
    <n v="469.1"/>
    <n v="3714000"/>
    <b v="0"/>
    <b v="0"/>
    <n v="1000"/>
    <b v="0"/>
    <b v="0"/>
    <b v="0"/>
    <x v="0"/>
    <x v="2"/>
    <n v="46.91"/>
    <n v="0"/>
    <n v="0"/>
    <n v="3"/>
    <x v="4"/>
    <m/>
  </r>
  <r>
    <x v="328"/>
    <d v="2026-04-14T00:00:00"/>
    <d v="2026-04-15T00:00:00"/>
    <d v="2026-04-17T00:00:00"/>
    <d v="2026-04-19T00:00:00"/>
    <x v="0"/>
    <x v="8"/>
    <x v="4"/>
    <x v="1"/>
    <n v="129.69999999999999"/>
    <n v="3281.8"/>
    <n v="3167000"/>
    <b v="0"/>
    <b v="0"/>
    <n v="5000"/>
    <b v="0"/>
    <b v="0"/>
    <b v="0"/>
    <x v="1"/>
    <x v="22"/>
    <n v="65.63600000000001"/>
    <n v="0"/>
    <n v="0"/>
    <n v="4"/>
    <x v="4"/>
    <n v="2"/>
  </r>
  <r>
    <x v="329"/>
    <d v="2026-05-04T00:00:00"/>
    <d v="2026-05-06T00:00:00"/>
    <d v="2026-05-10T00:00:00"/>
    <d v="2026-05-11T00:00:00"/>
    <x v="3"/>
    <x v="3"/>
    <x v="2"/>
    <x v="3"/>
    <n v="1537"/>
    <n v="376"/>
    <n v="13329000"/>
    <b v="0"/>
    <b v="0"/>
    <n v="1000"/>
    <b v="0"/>
    <b v="0"/>
    <b v="0"/>
    <x v="1"/>
    <x v="43"/>
    <n v="37.6"/>
    <n v="0"/>
    <n v="0"/>
    <n v="5"/>
    <x v="2"/>
    <n v="1"/>
  </r>
  <r>
    <x v="330"/>
    <d v="2026-04-05T00:00:00"/>
    <d v="2026-04-06T00:00:00"/>
    <d v="2026-04-08T00:00:00"/>
    <d v="2026-04-10T00:00:00"/>
    <x v="1"/>
    <x v="6"/>
    <x v="0"/>
    <x v="1"/>
    <n v="157.5"/>
    <n v="2541.6999999999998"/>
    <n v="3049000"/>
    <b v="0"/>
    <b v="0"/>
    <n v="5000"/>
    <b v="0"/>
    <b v="0"/>
    <b v="0"/>
    <x v="1"/>
    <x v="9"/>
    <n v="50.834000000000003"/>
    <n v="0"/>
    <n v="0"/>
    <n v="4"/>
    <x v="4"/>
    <n v="2"/>
  </r>
  <r>
    <x v="331"/>
    <d v="2026-01-27T00:00:00"/>
    <d v="2026-01-28T00:00:00"/>
    <d v="2026-01-31T00:00:00"/>
    <d v="2026-01-31T00:00:00"/>
    <x v="3"/>
    <x v="5"/>
    <x v="1"/>
    <x v="1"/>
    <n v="469.8"/>
    <n v="3053.8"/>
    <n v="5624000"/>
    <b v="0"/>
    <b v="0"/>
    <n v="5000"/>
    <b v="0"/>
    <b v="0"/>
    <b v="0"/>
    <x v="0"/>
    <x v="37"/>
    <n v="61.076000000000008"/>
    <n v="0"/>
    <n v="0"/>
    <n v="3"/>
    <x v="3"/>
    <m/>
  </r>
  <r>
    <x v="332"/>
    <d v="2026-03-05T00:00:00"/>
    <d v="2026-03-06T00:00:00"/>
    <d v="2026-03-08T00:00:00"/>
    <d v="2026-03-08T00:00:00"/>
    <x v="0"/>
    <x v="5"/>
    <x v="3"/>
    <x v="1"/>
    <n v="178.4"/>
    <n v="4138.1000000000004"/>
    <n v="4491000"/>
    <b v="0"/>
    <b v="0"/>
    <n v="5000"/>
    <b v="0"/>
    <b v="0"/>
    <b v="0"/>
    <x v="0"/>
    <x v="8"/>
    <n v="82.762"/>
    <n v="0"/>
    <n v="0"/>
    <n v="2"/>
    <x v="6"/>
    <m/>
  </r>
  <r>
    <x v="333"/>
    <d v="2026-04-15T00:00:00"/>
    <d v="2026-04-16T00:00:00"/>
    <d v="2026-04-17T00:00:00"/>
    <d v="2026-04-17T00:00:00"/>
    <x v="2"/>
    <x v="10"/>
    <x v="2"/>
    <x v="1"/>
    <n v="63.8"/>
    <n v="2465"/>
    <n v="2713000"/>
    <b v="0"/>
    <b v="0"/>
    <n v="5000"/>
    <b v="0"/>
    <b v="0"/>
    <b v="0"/>
    <x v="0"/>
    <x v="34"/>
    <n v="49.3"/>
    <n v="0"/>
    <n v="0"/>
    <n v="1"/>
    <x v="4"/>
    <m/>
  </r>
  <r>
    <x v="334"/>
    <d v="2026-05-27T00:00:00"/>
    <d v="2026-05-27T00:00:00"/>
    <d v="2026-05-31T00:00:00"/>
    <d v="2026-06-01T00:00:00"/>
    <x v="3"/>
    <x v="10"/>
    <x v="5"/>
    <x v="0"/>
    <n v="619.70000000000005"/>
    <n v="623.1"/>
    <n v="7278000"/>
    <b v="0"/>
    <b v="0"/>
    <n v="1500"/>
    <b v="0"/>
    <b v="0"/>
    <b v="0"/>
    <x v="1"/>
    <x v="32"/>
    <n v="41.54"/>
    <n v="0"/>
    <n v="0"/>
    <n v="5"/>
    <x v="2"/>
    <n v="1"/>
  </r>
  <r>
    <x v="335"/>
    <d v="2026-03-24T00:00:00"/>
    <d v="2026-03-25T00:00:00"/>
    <d v="2026-03-27T00:00:00"/>
    <d v="2026-03-27T00:00:00"/>
    <x v="3"/>
    <x v="11"/>
    <x v="1"/>
    <x v="1"/>
    <n v="26.9"/>
    <n v="1888.3"/>
    <n v="1814000"/>
    <b v="0"/>
    <b v="0"/>
    <n v="5000"/>
    <b v="0"/>
    <b v="0"/>
    <b v="0"/>
    <x v="0"/>
    <x v="39"/>
    <n v="37.765999999999998"/>
    <n v="0"/>
    <n v="0"/>
    <n v="2"/>
    <x v="6"/>
    <m/>
  </r>
  <r>
    <x v="336"/>
    <d v="2026-03-25T00:00:00"/>
    <d v="2026-03-27T00:00:00"/>
    <d v="2026-03-31T00:00:00"/>
    <d v="2026-03-31T00:00:00"/>
    <x v="1"/>
    <x v="3"/>
    <x v="3"/>
    <x v="2"/>
    <n v="924.5"/>
    <n v="7190.4"/>
    <n v="18594000"/>
    <b v="0"/>
    <b v="0"/>
    <n v="16000"/>
    <b v="0"/>
    <b v="0"/>
    <b v="0"/>
    <x v="0"/>
    <x v="35"/>
    <n v="44.94"/>
    <n v="0"/>
    <n v="0"/>
    <n v="4"/>
    <x v="6"/>
    <m/>
  </r>
  <r>
    <x v="337"/>
    <d v="2026-04-26T00:00:00"/>
    <d v="2026-04-27T00:00:00"/>
    <d v="2026-04-28T00:00:00"/>
    <d v="2026-04-29T00:00:00"/>
    <x v="1"/>
    <x v="10"/>
    <x v="2"/>
    <x v="1"/>
    <n v="29.6"/>
    <n v="4165.3"/>
    <n v="2737000"/>
    <b v="0"/>
    <b v="0"/>
    <n v="5000"/>
    <b v="0"/>
    <b v="0"/>
    <b v="0"/>
    <x v="1"/>
    <x v="27"/>
    <n v="83.305999999999997"/>
    <n v="0"/>
    <n v="0"/>
    <n v="2"/>
    <x v="4"/>
    <n v="1"/>
  </r>
  <r>
    <x v="338"/>
    <d v="2026-01-10T00:00:00"/>
    <d v="2026-01-11T00:00:00"/>
    <d v="2026-01-15T00:00:00"/>
    <d v="2026-01-15T00:00:00"/>
    <x v="3"/>
    <x v="7"/>
    <x v="0"/>
    <x v="0"/>
    <n v="680.2"/>
    <n v="407.7"/>
    <n v="8611000"/>
    <b v="0"/>
    <b v="0"/>
    <n v="1500"/>
    <b v="0"/>
    <b v="0"/>
    <b v="0"/>
    <x v="0"/>
    <x v="40"/>
    <n v="27.18"/>
    <n v="0"/>
    <n v="0"/>
    <n v="4"/>
    <x v="3"/>
    <m/>
  </r>
  <r>
    <x v="339"/>
    <d v="2026-05-07T00:00:00"/>
    <d v="2026-05-07T00:00:00"/>
    <d v="2026-05-10T00:00:00"/>
    <d v="2026-05-11T00:00:00"/>
    <x v="1"/>
    <x v="0"/>
    <x v="2"/>
    <x v="1"/>
    <n v="298"/>
    <n v="4134.5"/>
    <n v="6424000"/>
    <b v="0"/>
    <b v="0"/>
    <n v="5000"/>
    <b v="0"/>
    <b v="0"/>
    <b v="0"/>
    <x v="1"/>
    <x v="12"/>
    <n v="82.69"/>
    <n v="0"/>
    <n v="0"/>
    <n v="4"/>
    <x v="2"/>
    <n v="1"/>
  </r>
  <r>
    <x v="340"/>
    <d v="2026-01-28T00:00:00"/>
    <d v="2026-01-28T00:00:00"/>
    <d v="2026-01-30T00:00:00"/>
    <d v="2026-01-30T00:00:00"/>
    <x v="0"/>
    <x v="1"/>
    <x v="2"/>
    <x v="2"/>
    <n v="254.3"/>
    <n v="14099.8"/>
    <n v="10270000"/>
    <b v="0"/>
    <b v="0"/>
    <n v="16000"/>
    <b v="0"/>
    <b v="0"/>
    <b v="0"/>
    <x v="0"/>
    <x v="1"/>
    <n v="88.123750000000001"/>
    <n v="0"/>
    <n v="0"/>
    <n v="2"/>
    <x v="3"/>
    <m/>
  </r>
  <r>
    <x v="341"/>
    <d v="2026-03-17T00:00:00"/>
    <d v="2026-03-18T00:00:00"/>
    <d v="2026-03-21T00:00:00"/>
    <d v="2026-03-21T00:00:00"/>
    <x v="1"/>
    <x v="9"/>
    <x v="5"/>
    <x v="1"/>
    <n v="434.9"/>
    <n v="3158"/>
    <n v="6703000"/>
    <b v="0"/>
    <b v="0"/>
    <n v="5000"/>
    <b v="0"/>
    <b v="0"/>
    <b v="0"/>
    <x v="0"/>
    <x v="24"/>
    <n v="63.16"/>
    <n v="0"/>
    <n v="0"/>
    <n v="3"/>
    <x v="6"/>
    <m/>
  </r>
  <r>
    <x v="342"/>
    <d v="2026-02-27T00:00:00"/>
    <d v="2026-03-01T00:00:00"/>
    <d v="2026-03-03T00:00:00"/>
    <d v="2026-03-03T00:00:00"/>
    <x v="1"/>
    <x v="6"/>
    <x v="2"/>
    <x v="1"/>
    <n v="148.5"/>
    <n v="1358.3"/>
    <n v="2921000"/>
    <b v="0"/>
    <b v="0"/>
    <n v="5000"/>
    <b v="0"/>
    <b v="0"/>
    <b v="0"/>
    <x v="0"/>
    <x v="9"/>
    <n v="27.166"/>
    <n v="0"/>
    <n v="0"/>
    <n v="2"/>
    <x v="6"/>
    <m/>
  </r>
  <r>
    <x v="343"/>
    <d v="2026-02-14T00:00:00"/>
    <d v="2026-02-15T00:00:00"/>
    <d v="2026-02-17T00:00:00"/>
    <d v="2026-02-17T00:00:00"/>
    <x v="2"/>
    <x v="7"/>
    <x v="0"/>
    <x v="3"/>
    <n v="196.8"/>
    <n v="637.9"/>
    <n v="2685000"/>
    <b v="0"/>
    <b v="0"/>
    <n v="1000"/>
    <b v="0"/>
    <b v="0"/>
    <b v="0"/>
    <x v="0"/>
    <x v="10"/>
    <n v="63.79"/>
    <n v="0"/>
    <n v="0"/>
    <n v="2"/>
    <x v="5"/>
    <m/>
  </r>
  <r>
    <x v="344"/>
    <d v="2026-04-10T00:00:00"/>
    <d v="2026-04-10T00:00:00"/>
    <d v="2026-04-14T00:00:00"/>
    <d v="2026-04-14T00:00:00"/>
    <x v="2"/>
    <x v="4"/>
    <x v="0"/>
    <x v="2"/>
    <n v="732.6"/>
    <n v="12426.9"/>
    <n v="18832000"/>
    <b v="0"/>
    <b v="0"/>
    <n v="16000"/>
    <b v="0"/>
    <b v="0"/>
    <b v="0"/>
    <x v="0"/>
    <x v="4"/>
    <n v="77.668125000000003"/>
    <n v="0"/>
    <n v="0"/>
    <n v="4"/>
    <x v="4"/>
    <m/>
  </r>
  <r>
    <x v="345"/>
    <d v="2026-06-19T00:00:00"/>
    <d v="2026-06-20T00:00:00"/>
    <d v="2026-06-23T00:00:00"/>
    <d v="2026-06-22T00:00:00"/>
    <x v="0"/>
    <x v="9"/>
    <x v="3"/>
    <x v="1"/>
    <n v="553.6"/>
    <n v="2849.2"/>
    <n v="8179000"/>
    <b v="0"/>
    <b v="0"/>
    <n v="5000"/>
    <b v="0"/>
    <b v="0"/>
    <b v="0"/>
    <x v="0"/>
    <x v="44"/>
    <n v="56.984000000000002"/>
    <n v="0"/>
    <n v="0"/>
    <n v="2"/>
    <x v="1"/>
    <m/>
  </r>
  <r>
    <x v="346"/>
    <d v="2026-06-01T00:00:00"/>
    <d v="2026-06-02T00:00:00"/>
    <d v="2026-06-04T00:00:00"/>
    <d v="2026-06-04T00:00:00"/>
    <x v="3"/>
    <x v="4"/>
    <x v="2"/>
    <x v="1"/>
    <n v="162.30000000000001"/>
    <n v="2451.1999999999998"/>
    <n v="3775000"/>
    <b v="0"/>
    <b v="0"/>
    <n v="5000"/>
    <b v="0"/>
    <b v="0"/>
    <b v="0"/>
    <x v="0"/>
    <x v="46"/>
    <n v="49.023999999999987"/>
    <n v="0"/>
    <n v="0"/>
    <n v="2"/>
    <x v="1"/>
    <m/>
  </r>
  <r>
    <x v="347"/>
    <d v="2026-06-10T00:00:00"/>
    <d v="2026-06-12T00:00:00"/>
    <d v="2026-06-15T00:00:00"/>
    <d v="2026-06-15T00:00:00"/>
    <x v="1"/>
    <x v="9"/>
    <x v="0"/>
    <x v="2"/>
    <n v="456.7"/>
    <n v="6670.2"/>
    <n v="10906000"/>
    <b v="0"/>
    <b v="0"/>
    <n v="16000"/>
    <b v="0"/>
    <b v="0"/>
    <b v="0"/>
    <x v="0"/>
    <x v="24"/>
    <n v="41.688749999999999"/>
    <n v="0"/>
    <n v="0"/>
    <n v="3"/>
    <x v="1"/>
    <m/>
  </r>
  <r>
    <x v="348"/>
    <d v="2026-05-10T00:00:00"/>
    <d v="2026-05-11T00:00:00"/>
    <d v="2026-05-14T00:00:00"/>
    <d v="2026-05-14T00:00:00"/>
    <x v="2"/>
    <x v="5"/>
    <x v="2"/>
    <x v="3"/>
    <n v="304.39999999999998"/>
    <n v="352.4"/>
    <n v="3171000"/>
    <b v="0"/>
    <b v="0"/>
    <n v="1000"/>
    <b v="0"/>
    <b v="0"/>
    <b v="0"/>
    <x v="0"/>
    <x v="17"/>
    <n v="35.24"/>
    <n v="0"/>
    <n v="0"/>
    <n v="3"/>
    <x v="2"/>
    <m/>
  </r>
  <r>
    <x v="349"/>
    <d v="2026-02-11T00:00:00"/>
    <d v="2026-02-11T00:00:00"/>
    <d v="2026-02-14T00:00:00"/>
    <d v="2026-02-14T00:00:00"/>
    <x v="1"/>
    <x v="2"/>
    <x v="3"/>
    <x v="0"/>
    <n v="331.2"/>
    <n v="763.5"/>
    <n v="3869000"/>
    <b v="0"/>
    <b v="0"/>
    <n v="1500"/>
    <b v="0"/>
    <b v="0"/>
    <b v="0"/>
    <x v="0"/>
    <x v="2"/>
    <n v="50.9"/>
    <n v="0"/>
    <n v="0"/>
    <n v="3"/>
    <x v="5"/>
    <m/>
  </r>
  <r>
    <x v="350"/>
    <d v="2026-03-13T00:00:00"/>
    <d v="2026-03-14T00:00:00"/>
    <d v="2026-03-17T00:00:00"/>
    <d v="2026-03-17T00:00:00"/>
    <x v="2"/>
    <x v="7"/>
    <x v="5"/>
    <x v="3"/>
    <n v="170.4"/>
    <n v="627.70000000000005"/>
    <n v="2319000"/>
    <b v="0"/>
    <b v="0"/>
    <n v="1000"/>
    <b v="0"/>
    <b v="0"/>
    <b v="0"/>
    <x v="0"/>
    <x v="10"/>
    <n v="62.77"/>
    <n v="0"/>
    <n v="0"/>
    <n v="3"/>
    <x v="6"/>
    <m/>
  </r>
  <r>
    <x v="351"/>
    <d v="2026-02-17T00:00:00"/>
    <d v="2026-02-17T00:00:00"/>
    <d v="2026-02-19T00:00:00"/>
    <d v="2026-02-20T00:00:00"/>
    <x v="1"/>
    <x v="0"/>
    <x v="5"/>
    <x v="0"/>
    <n v="281.10000000000002"/>
    <n v="191.6"/>
    <n v="3035000"/>
    <b v="0"/>
    <b v="0"/>
    <n v="1500"/>
    <b v="0"/>
    <b v="0"/>
    <b v="0"/>
    <x v="1"/>
    <x v="12"/>
    <n v="12.77333333333333"/>
    <n v="0"/>
    <n v="0"/>
    <n v="3"/>
    <x v="5"/>
    <n v="1"/>
  </r>
  <r>
    <x v="352"/>
    <d v="2026-02-13T00:00:00"/>
    <d v="2026-02-14T00:00:00"/>
    <d v="2026-02-18T00:00:00"/>
    <d v="2026-02-18T00:00:00"/>
    <x v="3"/>
    <x v="8"/>
    <x v="0"/>
    <x v="3"/>
    <n v="614.70000000000005"/>
    <n v="526"/>
    <n v="5977000"/>
    <b v="0"/>
    <b v="0"/>
    <n v="1000"/>
    <b v="0"/>
    <b v="0"/>
    <b v="0"/>
    <x v="0"/>
    <x v="15"/>
    <n v="52.6"/>
    <n v="0"/>
    <n v="0"/>
    <n v="4"/>
    <x v="5"/>
    <m/>
  </r>
  <r>
    <x v="353"/>
    <d v="2026-01-27T00:00:00"/>
    <d v="2026-01-28T00:00:00"/>
    <d v="2026-01-31T00:00:00"/>
    <d v="2026-01-31T00:00:00"/>
    <x v="2"/>
    <x v="9"/>
    <x v="0"/>
    <x v="3"/>
    <n v="464.7"/>
    <n v="690.4"/>
    <n v="4871000"/>
    <b v="0"/>
    <b v="0"/>
    <n v="1000"/>
    <b v="0"/>
    <b v="0"/>
    <b v="0"/>
    <x v="0"/>
    <x v="20"/>
    <n v="69.040000000000006"/>
    <n v="0"/>
    <n v="0"/>
    <n v="3"/>
    <x v="3"/>
    <m/>
  </r>
  <r>
    <x v="354"/>
    <d v="2026-06-30T00:00:00"/>
    <d v="2026-07-01T00:00:00"/>
    <d v="2026-07-03T00:00:00"/>
    <d v="2026-07-03T00:00:00"/>
    <x v="2"/>
    <x v="2"/>
    <x v="5"/>
    <x v="3"/>
    <n v="298.2"/>
    <n v="119.4"/>
    <n v="3094000"/>
    <b v="0"/>
    <b v="0"/>
    <n v="1000"/>
    <b v="0"/>
    <b v="0"/>
    <b v="0"/>
    <x v="0"/>
    <x v="29"/>
    <n v="11.94"/>
    <n v="0"/>
    <n v="0"/>
    <n v="2"/>
    <x v="0"/>
    <m/>
  </r>
  <r>
    <x v="355"/>
    <d v="2026-02-18T00:00:00"/>
    <d v="2026-02-19T00:00:00"/>
    <d v="2026-02-20T00:00:00"/>
    <d v="2026-02-21T00:00:00"/>
    <x v="1"/>
    <x v="8"/>
    <x v="1"/>
    <x v="0"/>
    <n v="53.2"/>
    <n v="444.5"/>
    <n v="1182000"/>
    <b v="0"/>
    <b v="0"/>
    <n v="1500"/>
    <b v="0"/>
    <b v="0"/>
    <b v="0"/>
    <x v="1"/>
    <x v="28"/>
    <n v="29.633333333333329"/>
    <n v="0"/>
    <n v="0"/>
    <n v="2"/>
    <x v="5"/>
    <n v="1"/>
  </r>
  <r>
    <x v="356"/>
    <d v="2026-02-16T00:00:00"/>
    <d v="2026-02-17T00:00:00"/>
    <d v="2026-02-19T00:00:00"/>
    <d v="2026-02-19T00:00:00"/>
    <x v="1"/>
    <x v="7"/>
    <x v="5"/>
    <x v="2"/>
    <n v="149.6"/>
    <n v="4763"/>
    <n v="4978000"/>
    <b v="0"/>
    <b v="0"/>
    <n v="16000"/>
    <b v="0"/>
    <b v="0"/>
    <b v="0"/>
    <x v="0"/>
    <x v="26"/>
    <n v="29.768750000000001"/>
    <n v="0"/>
    <n v="0"/>
    <n v="2"/>
    <x v="5"/>
    <m/>
  </r>
  <r>
    <x v="357"/>
    <d v="2026-01-26T00:00:00"/>
    <d v="2026-01-27T00:00:00"/>
    <d v="2026-01-28T00:00:00"/>
    <m/>
    <x v="0"/>
    <x v="6"/>
    <x v="2"/>
    <x v="3"/>
    <n v="12.3"/>
    <n v="589.1"/>
    <n v="893000"/>
    <b v="0"/>
    <b v="0"/>
    <n v="1000"/>
    <b v="0"/>
    <b v="0"/>
    <b v="0"/>
    <x v="2"/>
    <x v="19"/>
    <n v="58.91"/>
    <n v="0"/>
    <n v="0"/>
    <m/>
    <x v="3"/>
    <m/>
  </r>
  <r>
    <x v="358"/>
    <d v="2026-02-13T00:00:00"/>
    <d v="2026-02-14T00:00:00"/>
    <d v="2026-02-18T00:00:00"/>
    <d v="2026-02-17T00:00:00"/>
    <x v="2"/>
    <x v="3"/>
    <x v="3"/>
    <x v="0"/>
    <n v="913.5"/>
    <n v="1275.8"/>
    <n v="9865000"/>
    <b v="0"/>
    <b v="0"/>
    <n v="1500"/>
    <b v="0"/>
    <b v="0"/>
    <b v="0"/>
    <x v="0"/>
    <x v="3"/>
    <n v="85.053333333333327"/>
    <n v="0"/>
    <n v="0"/>
    <n v="3"/>
    <x v="5"/>
    <m/>
  </r>
  <r>
    <x v="359"/>
    <d v="2026-05-03T00:00:00"/>
    <d v="2026-05-04T00:00:00"/>
    <d v="2026-05-08T00:00:00"/>
    <d v="2026-05-08T00:00:00"/>
    <x v="2"/>
    <x v="4"/>
    <x v="0"/>
    <x v="1"/>
    <n v="722.2"/>
    <n v="2586.1999999999998"/>
    <n v="10726000"/>
    <b v="0"/>
    <b v="0"/>
    <n v="5000"/>
    <b v="0"/>
    <b v="0"/>
    <b v="0"/>
    <x v="0"/>
    <x v="4"/>
    <n v="51.72399999999999"/>
    <n v="0"/>
    <n v="0"/>
    <n v="4"/>
    <x v="2"/>
    <m/>
  </r>
  <r>
    <x v="360"/>
    <d v="2026-01-29T00:00:00"/>
    <d v="2026-01-30T00:00:00"/>
    <d v="2026-02-01T00:00:00"/>
    <d v="2026-02-01T00:00:00"/>
    <x v="2"/>
    <x v="5"/>
    <x v="5"/>
    <x v="1"/>
    <n v="263.60000000000002"/>
    <n v="2567.6999999999998"/>
    <n v="5138000"/>
    <b v="0"/>
    <b v="0"/>
    <n v="5000"/>
    <b v="0"/>
    <b v="0"/>
    <b v="0"/>
    <x v="0"/>
    <x v="17"/>
    <n v="51.353999999999999"/>
    <n v="0"/>
    <n v="0"/>
    <n v="2"/>
    <x v="3"/>
    <m/>
  </r>
  <r>
    <x v="361"/>
    <d v="2026-06-30T00:00:00"/>
    <d v="2026-07-01T00:00:00"/>
    <d v="2026-07-05T00:00:00"/>
    <d v="2026-07-05T00:00:00"/>
    <x v="1"/>
    <x v="5"/>
    <x v="1"/>
    <x v="2"/>
    <n v="343.3"/>
    <n v="10438.700000000001"/>
    <n v="9610000"/>
    <b v="0"/>
    <b v="0"/>
    <n v="16000"/>
    <b v="0"/>
    <b v="0"/>
    <b v="0"/>
    <x v="0"/>
    <x v="5"/>
    <n v="65.241875000000007"/>
    <n v="0"/>
    <n v="0"/>
    <n v="4"/>
    <x v="0"/>
    <m/>
  </r>
  <r>
    <x v="362"/>
    <d v="2026-03-21T00:00:00"/>
    <d v="2026-03-21T00:00:00"/>
    <d v="2026-03-23T00:00:00"/>
    <d v="2026-03-23T00:00:00"/>
    <x v="0"/>
    <x v="10"/>
    <x v="5"/>
    <x v="0"/>
    <n v="149.30000000000001"/>
    <n v="1350.1"/>
    <n v="2330000"/>
    <b v="0"/>
    <b v="0"/>
    <n v="1500"/>
    <b v="0"/>
    <b v="0"/>
    <b v="0"/>
    <x v="0"/>
    <x v="42"/>
    <n v="90.006666666666661"/>
    <n v="0"/>
    <n v="0"/>
    <n v="2"/>
    <x v="6"/>
    <m/>
  </r>
  <r>
    <x v="363"/>
    <d v="2026-05-17T00:00:00"/>
    <d v="2026-05-18T00:00:00"/>
    <d v="2026-05-19T00:00:00"/>
    <d v="2026-05-21T00:00:00"/>
    <x v="2"/>
    <x v="10"/>
    <x v="1"/>
    <x v="1"/>
    <n v="58.3"/>
    <n v="641.79999999999995"/>
    <n v="1584000"/>
    <b v="0"/>
    <b v="0"/>
    <n v="5000"/>
    <b v="0"/>
    <b v="0"/>
    <b v="0"/>
    <x v="1"/>
    <x v="34"/>
    <n v="12.836"/>
    <n v="0"/>
    <n v="0"/>
    <n v="3"/>
    <x v="2"/>
    <n v="2"/>
  </r>
  <r>
    <x v="364"/>
    <d v="2026-01-08T00:00:00"/>
    <d v="2026-01-09T00:00:00"/>
    <d v="2026-01-13T00:00:00"/>
    <d v="2026-01-13T00:00:00"/>
    <x v="2"/>
    <x v="3"/>
    <x v="3"/>
    <x v="0"/>
    <n v="949.3"/>
    <n v="316.60000000000002"/>
    <n v="9979000"/>
    <b v="0"/>
    <b v="0"/>
    <n v="1500"/>
    <b v="0"/>
    <b v="0"/>
    <b v="0"/>
    <x v="0"/>
    <x v="3"/>
    <n v="21.106666666666669"/>
    <n v="0"/>
    <n v="0"/>
    <n v="4"/>
    <x v="3"/>
    <m/>
  </r>
  <r>
    <x v="365"/>
    <d v="2026-05-31T00:00:00"/>
    <d v="2026-06-01T00:00:00"/>
    <d v="2026-06-02T00:00:00"/>
    <d v="2026-06-03T00:00:00"/>
    <x v="3"/>
    <x v="11"/>
    <x v="2"/>
    <x v="3"/>
    <n v="23.5"/>
    <n v="310.60000000000002"/>
    <n v="775000"/>
    <b v="0"/>
    <b v="0"/>
    <n v="1000"/>
    <b v="0"/>
    <b v="0"/>
    <b v="0"/>
    <x v="1"/>
    <x v="39"/>
    <n v="31.060000000000009"/>
    <n v="0"/>
    <n v="0"/>
    <n v="2"/>
    <x v="1"/>
    <n v="1"/>
  </r>
  <r>
    <x v="366"/>
    <d v="2026-04-22T00:00:00"/>
    <d v="2026-04-23T00:00:00"/>
    <d v="2026-04-26T00:00:00"/>
    <d v="2026-04-26T00:00:00"/>
    <x v="1"/>
    <x v="1"/>
    <x v="5"/>
    <x v="1"/>
    <n v="311"/>
    <n v="1091"/>
    <n v="4940000"/>
    <b v="0"/>
    <b v="0"/>
    <n v="5000"/>
    <b v="0"/>
    <b v="0"/>
    <b v="0"/>
    <x v="0"/>
    <x v="25"/>
    <n v="21.82"/>
    <n v="0"/>
    <n v="0"/>
    <n v="3"/>
    <x v="4"/>
    <m/>
  </r>
  <r>
    <x v="367"/>
    <d v="2026-05-03T00:00:00"/>
    <d v="2026-05-05T00:00:00"/>
    <d v="2026-05-06T00:00:00"/>
    <m/>
    <x v="2"/>
    <x v="8"/>
    <x v="5"/>
    <x v="3"/>
    <n v="23.3"/>
    <n v="275.89999999999998"/>
    <n v="688000"/>
    <b v="0"/>
    <b v="0"/>
    <n v="1000"/>
    <b v="0"/>
    <b v="0"/>
    <b v="0"/>
    <x v="2"/>
    <x v="18"/>
    <n v="27.59"/>
    <n v="0"/>
    <n v="0"/>
    <m/>
    <x v="2"/>
    <m/>
  </r>
  <r>
    <x v="368"/>
    <d v="2026-05-25T00:00:00"/>
    <d v="2026-05-26T00:00:00"/>
    <d v="2026-05-28T00:00:00"/>
    <d v="2026-05-28T00:00:00"/>
    <x v="2"/>
    <x v="6"/>
    <x v="5"/>
    <x v="2"/>
    <n v="132.1"/>
    <n v="3832.1"/>
    <n v="4381000"/>
    <b v="0"/>
    <b v="0"/>
    <n v="16000"/>
    <b v="0"/>
    <b v="0"/>
    <b v="0"/>
    <x v="0"/>
    <x v="6"/>
    <n v="23.950624999999999"/>
    <n v="0"/>
    <n v="0"/>
    <n v="2"/>
    <x v="2"/>
    <m/>
  </r>
  <r>
    <x v="369"/>
    <d v="2026-04-30T00:00:00"/>
    <d v="2026-05-02T00:00:00"/>
    <d v="2026-05-05T00:00:00"/>
    <d v="2026-05-05T00:00:00"/>
    <x v="1"/>
    <x v="2"/>
    <x v="5"/>
    <x v="1"/>
    <n v="322.5"/>
    <n v="618.9"/>
    <n v="5620000"/>
    <b v="0"/>
    <b v="0"/>
    <n v="5000"/>
    <b v="0"/>
    <b v="0"/>
    <b v="0"/>
    <x v="0"/>
    <x v="2"/>
    <n v="12.378"/>
    <n v="0"/>
    <n v="0"/>
    <n v="3"/>
    <x v="2"/>
    <m/>
  </r>
  <r>
    <x v="370"/>
    <d v="2026-04-02T00:00:00"/>
    <d v="2026-04-03T00:00:00"/>
    <d v="2026-04-04T00:00:00"/>
    <d v="2026-04-04T00:00:00"/>
    <x v="1"/>
    <x v="8"/>
    <x v="3"/>
    <x v="0"/>
    <n v="58.4"/>
    <n v="751.1"/>
    <n v="1423000"/>
    <b v="0"/>
    <b v="0"/>
    <n v="1500"/>
    <b v="0"/>
    <b v="0"/>
    <b v="0"/>
    <x v="0"/>
    <x v="28"/>
    <n v="50.073333333333338"/>
    <n v="0"/>
    <n v="0"/>
    <n v="1"/>
    <x v="4"/>
    <m/>
  </r>
  <r>
    <x v="371"/>
    <d v="2026-03-03T00:00:00"/>
    <d v="2026-03-05T00:00:00"/>
    <d v="2026-03-08T00:00:00"/>
    <d v="2026-03-08T00:00:00"/>
    <x v="1"/>
    <x v="2"/>
    <x v="0"/>
    <x v="3"/>
    <n v="316.7"/>
    <n v="354.6"/>
    <n v="2680000"/>
    <b v="0"/>
    <b v="0"/>
    <n v="1000"/>
    <b v="0"/>
    <b v="0"/>
    <b v="0"/>
    <x v="0"/>
    <x v="2"/>
    <n v="35.46"/>
    <n v="0"/>
    <n v="0"/>
    <n v="3"/>
    <x v="6"/>
    <m/>
  </r>
  <r>
    <x v="372"/>
    <d v="2026-01-27T00:00:00"/>
    <d v="2026-01-27T00:00:00"/>
    <d v="2026-01-28T00:00:00"/>
    <d v="2026-01-28T00:00:00"/>
    <x v="1"/>
    <x v="10"/>
    <x v="0"/>
    <x v="0"/>
    <n v="24.8"/>
    <n v="817.2"/>
    <n v="1089000"/>
    <b v="0"/>
    <b v="0"/>
    <n v="1500"/>
    <b v="0"/>
    <b v="0"/>
    <b v="0"/>
    <x v="0"/>
    <x v="27"/>
    <n v="54.48"/>
    <n v="0"/>
    <n v="0"/>
    <n v="1"/>
    <x v="3"/>
    <m/>
  </r>
  <r>
    <x v="373"/>
    <d v="2026-05-20T00:00:00"/>
    <d v="2026-05-21T00:00:00"/>
    <d v="2026-05-24T00:00:00"/>
    <d v="2026-05-24T00:00:00"/>
    <x v="1"/>
    <x v="2"/>
    <x v="2"/>
    <x v="3"/>
    <n v="331.7"/>
    <n v="661"/>
    <n v="3749000"/>
    <b v="0"/>
    <b v="0"/>
    <n v="1000"/>
    <b v="0"/>
    <b v="0"/>
    <b v="0"/>
    <x v="0"/>
    <x v="2"/>
    <n v="66.100000000000009"/>
    <n v="0"/>
    <n v="0"/>
    <n v="3"/>
    <x v="2"/>
    <m/>
  </r>
  <r>
    <x v="374"/>
    <d v="2026-01-21T00:00:00"/>
    <d v="2026-01-23T00:00:00"/>
    <d v="2026-01-25T00:00:00"/>
    <d v="2026-01-26T00:00:00"/>
    <x v="1"/>
    <x v="0"/>
    <x v="1"/>
    <x v="3"/>
    <n v="286.8"/>
    <n v="752.2"/>
    <n v="3256000"/>
    <b v="0"/>
    <b v="0"/>
    <n v="1000"/>
    <b v="0"/>
    <b v="0"/>
    <b v="0"/>
    <x v="1"/>
    <x v="12"/>
    <n v="75.220000000000013"/>
    <n v="0"/>
    <n v="0"/>
    <n v="3"/>
    <x v="3"/>
    <n v="1"/>
  </r>
  <r>
    <x v="375"/>
    <d v="2026-02-22T00:00:00"/>
    <d v="2026-02-22T00:00:00"/>
    <d v="2026-02-26T00:00:00"/>
    <d v="2026-02-26T00:00:00"/>
    <x v="3"/>
    <x v="3"/>
    <x v="2"/>
    <x v="1"/>
    <n v="1597.5"/>
    <n v="1200.0999999999999"/>
    <n v="22014000"/>
    <b v="0"/>
    <b v="0"/>
    <n v="5000"/>
    <b v="0"/>
    <b v="0"/>
    <b v="0"/>
    <x v="0"/>
    <x v="43"/>
    <n v="24.001999999999999"/>
    <n v="0"/>
    <n v="0"/>
    <n v="4"/>
    <x v="5"/>
    <m/>
  </r>
  <r>
    <x v="376"/>
    <d v="2026-03-19T00:00:00"/>
    <d v="2026-03-21T00:00:00"/>
    <d v="2026-03-22T00:00:00"/>
    <d v="2026-03-22T00:00:00"/>
    <x v="1"/>
    <x v="8"/>
    <x v="3"/>
    <x v="2"/>
    <n v="53.3"/>
    <n v="4994.1000000000004"/>
    <n v="3801000"/>
    <b v="0"/>
    <b v="0"/>
    <n v="16000"/>
    <b v="0"/>
    <b v="0"/>
    <b v="0"/>
    <x v="0"/>
    <x v="28"/>
    <n v="31.213125000000002"/>
    <n v="0"/>
    <n v="0"/>
    <n v="1"/>
    <x v="6"/>
    <m/>
  </r>
  <r>
    <x v="377"/>
    <d v="2026-04-01T00:00:00"/>
    <d v="2026-04-03T00:00:00"/>
    <d v="2026-04-06T00:00:00"/>
    <d v="2026-04-06T00:00:00"/>
    <x v="0"/>
    <x v="11"/>
    <x v="0"/>
    <x v="2"/>
    <n v="467.5"/>
    <n v="12837.3"/>
    <n v="12908000"/>
    <b v="0"/>
    <b v="0"/>
    <n v="16000"/>
    <b v="0"/>
    <b v="0"/>
    <b v="0"/>
    <x v="0"/>
    <x v="36"/>
    <n v="80.233125000000001"/>
    <n v="0"/>
    <n v="0"/>
    <n v="3"/>
    <x v="4"/>
    <m/>
  </r>
  <r>
    <x v="378"/>
    <d v="2026-03-31T00:00:00"/>
    <d v="2026-04-01T00:00:00"/>
    <d v="2026-04-03T00:00:00"/>
    <d v="2026-04-04T00:00:00"/>
    <x v="1"/>
    <x v="7"/>
    <x v="0"/>
    <x v="1"/>
    <n v="168.6"/>
    <n v="2454.8000000000002"/>
    <n v="3468000"/>
    <b v="0"/>
    <b v="0"/>
    <n v="5000"/>
    <b v="0"/>
    <b v="0"/>
    <b v="0"/>
    <x v="1"/>
    <x v="26"/>
    <n v="49.095999999999997"/>
    <n v="0"/>
    <n v="0"/>
    <n v="3"/>
    <x v="4"/>
    <n v="1"/>
  </r>
  <r>
    <x v="379"/>
    <d v="2026-06-05T00:00:00"/>
    <d v="2026-06-06T00:00:00"/>
    <d v="2026-06-10T00:00:00"/>
    <d v="2026-06-09T00:00:00"/>
    <x v="1"/>
    <x v="4"/>
    <x v="5"/>
    <x v="2"/>
    <n v="798.9"/>
    <n v="13358.8"/>
    <n v="18959000"/>
    <b v="0"/>
    <b v="0"/>
    <n v="16000"/>
    <b v="0"/>
    <b v="0"/>
    <b v="0"/>
    <x v="0"/>
    <x v="38"/>
    <n v="83.492499999999993"/>
    <n v="0"/>
    <n v="0"/>
    <n v="3"/>
    <x v="1"/>
    <m/>
  </r>
  <r>
    <x v="380"/>
    <d v="2026-05-08T00:00:00"/>
    <d v="2026-05-09T00:00:00"/>
    <d v="2026-05-13T00:00:00"/>
    <d v="2026-05-13T00:00:00"/>
    <x v="2"/>
    <x v="11"/>
    <x v="5"/>
    <x v="3"/>
    <n v="607.5"/>
    <n v="112.1"/>
    <n v="5859000"/>
    <b v="0"/>
    <b v="0"/>
    <n v="1000"/>
    <b v="0"/>
    <b v="0"/>
    <b v="0"/>
    <x v="0"/>
    <x v="41"/>
    <n v="11.21"/>
    <n v="0"/>
    <n v="0"/>
    <n v="4"/>
    <x v="2"/>
    <m/>
  </r>
  <r>
    <x v="381"/>
    <d v="2026-02-20T00:00:00"/>
    <d v="2026-02-21T00:00:00"/>
    <d v="2026-02-24T00:00:00"/>
    <d v="2026-02-26T00:00:00"/>
    <x v="1"/>
    <x v="2"/>
    <x v="0"/>
    <x v="2"/>
    <n v="345.2"/>
    <n v="6084.3"/>
    <n v="9111000"/>
    <b v="0"/>
    <b v="0"/>
    <n v="16000"/>
    <b v="0"/>
    <b v="0"/>
    <b v="0"/>
    <x v="1"/>
    <x v="2"/>
    <n v="38.026874999999997"/>
    <n v="0"/>
    <n v="0"/>
    <n v="5"/>
    <x v="5"/>
    <n v="2"/>
  </r>
  <r>
    <x v="382"/>
    <d v="2026-01-08T00:00:00"/>
    <d v="2026-01-09T00:00:00"/>
    <d v="2026-01-12T00:00:00"/>
    <d v="2026-01-12T00:00:00"/>
    <x v="2"/>
    <x v="11"/>
    <x v="0"/>
    <x v="3"/>
    <n v="587.29999999999995"/>
    <n v="142.4"/>
    <n v="5634000"/>
    <b v="0"/>
    <b v="0"/>
    <n v="1000"/>
    <b v="0"/>
    <b v="0"/>
    <b v="0"/>
    <x v="0"/>
    <x v="41"/>
    <n v="14.24"/>
    <n v="0"/>
    <n v="0"/>
    <n v="3"/>
    <x v="3"/>
    <m/>
  </r>
  <r>
    <x v="383"/>
    <d v="2026-06-11T00:00:00"/>
    <d v="2026-06-12T00:00:00"/>
    <d v="2026-06-16T00:00:00"/>
    <d v="2026-06-18T00:00:00"/>
    <x v="0"/>
    <x v="3"/>
    <x v="1"/>
    <x v="1"/>
    <n v="1073.8"/>
    <n v="2023.2"/>
    <n v="14820000"/>
    <b v="0"/>
    <b v="0"/>
    <n v="5000"/>
    <b v="0"/>
    <b v="0"/>
    <b v="0"/>
    <x v="1"/>
    <x v="47"/>
    <n v="40.463999999999999"/>
    <n v="0"/>
    <n v="0"/>
    <n v="6"/>
    <x v="1"/>
    <n v="2"/>
  </r>
  <r>
    <x v="384"/>
    <d v="2026-02-04T00:00:00"/>
    <d v="2026-02-04T00:00:00"/>
    <d v="2026-02-08T00:00:00"/>
    <d v="2026-02-09T00:00:00"/>
    <x v="0"/>
    <x v="3"/>
    <x v="1"/>
    <x v="0"/>
    <n v="975.1"/>
    <n v="311.5"/>
    <n v="10298000"/>
    <b v="0"/>
    <b v="0"/>
    <n v="1500"/>
    <b v="0"/>
    <b v="0"/>
    <b v="0"/>
    <x v="1"/>
    <x v="47"/>
    <n v="20.766666666666669"/>
    <n v="0"/>
    <n v="0"/>
    <n v="5"/>
    <x v="5"/>
    <n v="1"/>
  </r>
  <r>
    <x v="385"/>
    <d v="2026-05-26T00:00:00"/>
    <d v="2026-05-26T00:00:00"/>
    <d v="2026-05-31T00:00:00"/>
    <d v="2026-06-01T00:00:00"/>
    <x v="3"/>
    <x v="0"/>
    <x v="3"/>
    <x v="1"/>
    <n v="623.79999999999995"/>
    <n v="3045.2"/>
    <n v="7492000"/>
    <b v="0"/>
    <b v="0"/>
    <n v="5000"/>
    <b v="0"/>
    <b v="0"/>
    <b v="0"/>
    <x v="1"/>
    <x v="11"/>
    <n v="60.903999999999989"/>
    <n v="0"/>
    <n v="0"/>
    <n v="6"/>
    <x v="2"/>
    <n v="1"/>
  </r>
  <r>
    <x v="386"/>
    <d v="2026-06-29T00:00:00"/>
    <d v="2026-06-30T00:00:00"/>
    <d v="2026-07-03T00:00:00"/>
    <d v="2026-07-05T00:00:00"/>
    <x v="0"/>
    <x v="7"/>
    <x v="2"/>
    <x v="1"/>
    <n v="306.5"/>
    <n v="2446.6999999999998"/>
    <n v="5217000"/>
    <b v="0"/>
    <b v="0"/>
    <n v="5000"/>
    <b v="0"/>
    <b v="0"/>
    <b v="0"/>
    <x v="1"/>
    <x v="45"/>
    <n v="48.933999999999997"/>
    <n v="0"/>
    <n v="0"/>
    <n v="5"/>
    <x v="1"/>
    <n v="2"/>
  </r>
  <r>
    <x v="387"/>
    <d v="2026-02-18T00:00:00"/>
    <d v="2026-02-19T00:00:00"/>
    <d v="2026-02-21T00:00:00"/>
    <d v="2026-02-21T00:00:00"/>
    <x v="3"/>
    <x v="4"/>
    <x v="0"/>
    <x v="0"/>
    <n v="153.1"/>
    <n v="798.2"/>
    <n v="2452000"/>
    <b v="0"/>
    <b v="0"/>
    <n v="1500"/>
    <b v="0"/>
    <b v="0"/>
    <b v="0"/>
    <x v="0"/>
    <x v="46"/>
    <n v="53.213333333333338"/>
    <n v="0"/>
    <n v="0"/>
    <n v="2"/>
    <x v="5"/>
    <m/>
  </r>
  <r>
    <x v="388"/>
    <d v="2026-05-05T00:00:00"/>
    <d v="2026-05-06T00:00:00"/>
    <d v="2026-05-09T00:00:00"/>
    <d v="2026-05-09T00:00:00"/>
    <x v="1"/>
    <x v="9"/>
    <x v="0"/>
    <x v="1"/>
    <n v="445.1"/>
    <n v="1594.9"/>
    <n v="6818000"/>
    <b v="0"/>
    <b v="0"/>
    <n v="5000"/>
    <b v="0"/>
    <b v="0"/>
    <b v="0"/>
    <x v="0"/>
    <x v="24"/>
    <n v="31.898"/>
    <n v="0"/>
    <n v="0"/>
    <n v="3"/>
    <x v="2"/>
    <m/>
  </r>
  <r>
    <x v="389"/>
    <d v="2026-04-17T00:00:00"/>
    <d v="2026-04-17T00:00:00"/>
    <d v="2026-04-19T00:00:00"/>
    <d v="2026-04-19T00:00:00"/>
    <x v="1"/>
    <x v="1"/>
    <x v="3"/>
    <x v="1"/>
    <n v="279.10000000000002"/>
    <n v="721.9"/>
    <n v="4254000"/>
    <b v="0"/>
    <b v="0"/>
    <n v="5000"/>
    <b v="0"/>
    <b v="0"/>
    <b v="0"/>
    <x v="0"/>
    <x v="25"/>
    <n v="14.438000000000001"/>
    <n v="0"/>
    <n v="0"/>
    <n v="2"/>
    <x v="4"/>
    <m/>
  </r>
  <r>
    <x v="390"/>
    <d v="2026-05-03T00:00:00"/>
    <d v="2026-05-04T00:00:00"/>
    <d v="2026-05-07T00:00:00"/>
    <d v="2026-05-08T00:00:00"/>
    <x v="1"/>
    <x v="5"/>
    <x v="5"/>
    <x v="1"/>
    <n v="337.5"/>
    <n v="1397.9"/>
    <n v="6073000"/>
    <b v="0"/>
    <b v="0"/>
    <n v="5000"/>
    <b v="0"/>
    <b v="0"/>
    <b v="0"/>
    <x v="1"/>
    <x v="5"/>
    <n v="27.957999999999998"/>
    <n v="0"/>
    <n v="0"/>
    <n v="4"/>
    <x v="2"/>
    <n v="1"/>
  </r>
  <r>
    <x v="391"/>
    <d v="2026-06-02T00:00:00"/>
    <d v="2026-06-04T00:00:00"/>
    <d v="2026-06-07T00:00:00"/>
    <d v="2026-06-09T00:00:00"/>
    <x v="1"/>
    <x v="5"/>
    <x v="2"/>
    <x v="1"/>
    <n v="309.5"/>
    <n v="3517.6"/>
    <n v="6424000"/>
    <b v="0"/>
    <b v="0"/>
    <n v="5000"/>
    <b v="0"/>
    <b v="0"/>
    <b v="0"/>
    <x v="1"/>
    <x v="5"/>
    <n v="70.352000000000004"/>
    <n v="0"/>
    <n v="0"/>
    <n v="5"/>
    <x v="1"/>
    <n v="2"/>
  </r>
  <r>
    <x v="392"/>
    <d v="2026-01-19T00:00:00"/>
    <d v="2026-01-20T00:00:00"/>
    <d v="2026-01-23T00:00:00"/>
    <d v="2026-01-23T00:00:00"/>
    <x v="1"/>
    <x v="1"/>
    <x v="2"/>
    <x v="2"/>
    <n v="311.5"/>
    <n v="11693.9"/>
    <n v="9960000"/>
    <b v="0"/>
    <b v="0"/>
    <n v="16000"/>
    <b v="0"/>
    <b v="0"/>
    <b v="0"/>
    <x v="0"/>
    <x v="25"/>
    <n v="73.086874999999992"/>
    <n v="0"/>
    <n v="0"/>
    <n v="3"/>
    <x v="3"/>
    <m/>
  </r>
  <r>
    <x v="393"/>
    <d v="2026-03-01T00:00:00"/>
    <d v="2026-03-01T00:00:00"/>
    <d v="2026-03-02T00:00:00"/>
    <d v="2026-03-02T00:00:00"/>
    <x v="1"/>
    <x v="8"/>
    <x v="5"/>
    <x v="3"/>
    <n v="48.1"/>
    <n v="669.9"/>
    <n v="1251000"/>
    <b v="0"/>
    <b v="0"/>
    <n v="1000"/>
    <b v="0"/>
    <b v="0"/>
    <b v="0"/>
    <x v="0"/>
    <x v="28"/>
    <n v="66.989999999999995"/>
    <n v="0"/>
    <n v="0"/>
    <n v="1"/>
    <x v="6"/>
    <m/>
  </r>
  <r>
    <x v="394"/>
    <d v="2026-04-28T00:00:00"/>
    <d v="2026-04-29T00:00:00"/>
    <d v="2026-05-01T00:00:00"/>
    <d v="2026-05-01T00:00:00"/>
    <x v="2"/>
    <x v="6"/>
    <x v="5"/>
    <x v="3"/>
    <n v="121.4"/>
    <n v="524"/>
    <n v="1664000"/>
    <b v="0"/>
    <b v="0"/>
    <n v="1000"/>
    <b v="0"/>
    <b v="0"/>
    <b v="0"/>
    <x v="0"/>
    <x v="6"/>
    <n v="52.400000000000013"/>
    <n v="0"/>
    <n v="0"/>
    <n v="2"/>
    <x v="4"/>
    <m/>
  </r>
  <r>
    <x v="395"/>
    <d v="2026-06-10T00:00:00"/>
    <d v="2026-06-11T00:00:00"/>
    <d v="2026-06-13T00:00:00"/>
    <d v="2026-06-14T00:00:00"/>
    <x v="1"/>
    <x v="7"/>
    <x v="5"/>
    <x v="0"/>
    <n v="146.4"/>
    <n v="978.8"/>
    <n v="2483000"/>
    <b v="0"/>
    <b v="0"/>
    <n v="1500"/>
    <b v="0"/>
    <b v="0"/>
    <b v="0"/>
    <x v="1"/>
    <x v="26"/>
    <n v="65.25333333333333"/>
    <n v="0"/>
    <n v="0"/>
    <n v="3"/>
    <x v="1"/>
    <n v="1"/>
  </r>
  <r>
    <x v="396"/>
    <d v="2026-01-08T00:00:00"/>
    <d v="2026-01-10T00:00:00"/>
    <d v="2026-01-14T00:00:00"/>
    <d v="2026-01-14T00:00:00"/>
    <x v="3"/>
    <x v="0"/>
    <x v="3"/>
    <x v="3"/>
    <n v="634.9"/>
    <n v="889.6"/>
    <n v="6206000"/>
    <b v="0"/>
    <b v="0"/>
    <n v="1000"/>
    <b v="0"/>
    <b v="0"/>
    <b v="0"/>
    <x v="0"/>
    <x v="11"/>
    <n v="88.960000000000008"/>
    <n v="0"/>
    <n v="0"/>
    <n v="4"/>
    <x v="3"/>
    <m/>
  </r>
  <r>
    <x v="397"/>
    <d v="2026-03-07T00:00:00"/>
    <d v="2026-03-08T00:00:00"/>
    <d v="2026-03-11T00:00:00"/>
    <d v="2026-03-11T00:00:00"/>
    <x v="3"/>
    <x v="6"/>
    <x v="5"/>
    <x v="3"/>
    <n v="457.3"/>
    <n v="599.1"/>
    <n v="4288000"/>
    <b v="0"/>
    <b v="0"/>
    <n v="1000"/>
    <b v="0"/>
    <b v="0"/>
    <b v="0"/>
    <x v="0"/>
    <x v="13"/>
    <n v="59.910000000000011"/>
    <n v="0"/>
    <n v="0"/>
    <n v="3"/>
    <x v="6"/>
    <m/>
  </r>
  <r>
    <x v="398"/>
    <d v="2026-02-27T00:00:00"/>
    <d v="2026-02-27T00:00:00"/>
    <d v="2026-03-01T00:00:00"/>
    <d v="2026-03-01T00:00:00"/>
    <x v="3"/>
    <x v="2"/>
    <x v="1"/>
    <x v="0"/>
    <n v="297"/>
    <n v="160.9"/>
    <n v="3724000"/>
    <b v="0"/>
    <b v="0"/>
    <n v="1500"/>
    <b v="0"/>
    <b v="0"/>
    <b v="0"/>
    <x v="0"/>
    <x v="14"/>
    <n v="10.72666666666667"/>
    <n v="0"/>
    <n v="0"/>
    <n v="2"/>
    <x v="5"/>
    <m/>
  </r>
  <r>
    <x v="399"/>
    <d v="2026-02-11T00:00:00"/>
    <d v="2026-02-13T00:00:00"/>
    <d v="2026-02-17T00:00:00"/>
    <d v="2026-02-17T00:00:00"/>
    <x v="3"/>
    <x v="1"/>
    <x v="5"/>
    <x v="0"/>
    <n v="510"/>
    <n v="687.4"/>
    <n v="4870000"/>
    <b v="0"/>
    <b v="0"/>
    <n v="1500"/>
    <b v="0"/>
    <b v="0"/>
    <b v="0"/>
    <x v="0"/>
    <x v="21"/>
    <n v="45.826666666666668"/>
    <n v="0"/>
    <n v="0"/>
    <n v="4"/>
    <x v="5"/>
    <m/>
  </r>
  <r>
    <x v="400"/>
    <d v="2026-06-21T00:00:00"/>
    <d v="2026-06-22T00:00:00"/>
    <d v="2026-06-25T00:00:00"/>
    <d v="2026-06-25T00:00:00"/>
    <x v="0"/>
    <x v="11"/>
    <x v="0"/>
    <x v="1"/>
    <n v="471.8"/>
    <n v="3661.8"/>
    <n v="7048000"/>
    <b v="0"/>
    <b v="0"/>
    <n v="5000"/>
    <b v="0"/>
    <b v="0"/>
    <b v="0"/>
    <x v="0"/>
    <x v="36"/>
    <n v="73.236000000000004"/>
    <n v="0"/>
    <n v="0"/>
    <n v="3"/>
    <x v="1"/>
    <m/>
  </r>
  <r>
    <x v="401"/>
    <d v="2026-06-25T00:00:00"/>
    <d v="2026-06-25T00:00:00"/>
    <d v="2026-06-28T00:00:00"/>
    <d v="2026-06-28T00:00:00"/>
    <x v="2"/>
    <x v="0"/>
    <x v="0"/>
    <x v="1"/>
    <n v="307.5"/>
    <n v="3700.6"/>
    <n v="6003000"/>
    <b v="0"/>
    <b v="0"/>
    <n v="5000"/>
    <b v="0"/>
    <b v="0"/>
    <b v="0"/>
    <x v="0"/>
    <x v="7"/>
    <n v="74.012"/>
    <n v="0"/>
    <n v="0"/>
    <n v="3"/>
    <x v="1"/>
    <m/>
  </r>
  <r>
    <x v="402"/>
    <d v="2026-02-27T00:00:00"/>
    <d v="2026-02-26T00:00:00"/>
    <d v="2026-03-03T00:00:00"/>
    <d v="2026-03-03T00:00:00"/>
    <x v="3"/>
    <x v="2"/>
    <x v="1"/>
    <x v="1"/>
    <n v="314.39999999999998"/>
    <n v="2346.1999999999998"/>
    <n v="6123000"/>
    <b v="1"/>
    <b v="0"/>
    <n v="5000"/>
    <b v="0"/>
    <b v="0"/>
    <b v="1"/>
    <x v="3"/>
    <x v="14"/>
    <n v="46.923999999999999"/>
    <n v="0"/>
    <n v="1"/>
    <m/>
    <x v="5"/>
    <m/>
  </r>
  <r>
    <x v="403"/>
    <d v="2026-06-04T00:00:00"/>
    <d v="2026-06-05T00:00:00"/>
    <d v="2026-06-08T00:00:00"/>
    <d v="2026-06-10T00:00:00"/>
    <x v="1"/>
    <x v="9"/>
    <x v="2"/>
    <x v="1"/>
    <n v="462.5"/>
    <n v="4259.5"/>
    <n v="8003000"/>
    <b v="0"/>
    <b v="0"/>
    <n v="5000"/>
    <b v="0"/>
    <b v="0"/>
    <b v="0"/>
    <x v="1"/>
    <x v="24"/>
    <n v="85.19"/>
    <n v="0"/>
    <n v="0"/>
    <n v="5"/>
    <x v="1"/>
    <n v="2"/>
  </r>
  <r>
    <x v="404"/>
    <d v="2026-02-20T00:00:00"/>
    <d v="2026-02-21T00:00:00"/>
    <d v="2026-02-23T00:00:00"/>
    <d v="2026-02-22T00:00:00"/>
    <x v="3"/>
    <x v="2"/>
    <x v="0"/>
    <x v="1"/>
    <n v="261"/>
    <n v="2383.4"/>
    <n v="4582000"/>
    <b v="0"/>
    <b v="0"/>
    <n v="5000"/>
    <b v="0"/>
    <b v="0"/>
    <b v="0"/>
    <x v="0"/>
    <x v="14"/>
    <n v="47.667999999999999"/>
    <n v="0"/>
    <n v="0"/>
    <n v="1"/>
    <x v="5"/>
    <m/>
  </r>
  <r>
    <x v="405"/>
    <d v="2026-03-02T00:00:00"/>
    <d v="2026-03-03T00:00:00"/>
    <d v="2026-03-07T00:00:00"/>
    <d v="2026-03-07T00:00:00"/>
    <x v="3"/>
    <x v="9"/>
    <x v="1"/>
    <x v="0"/>
    <n v="881.9"/>
    <n v="1130.2"/>
    <n v="9159000"/>
    <b v="0"/>
    <b v="0"/>
    <n v="1500"/>
    <b v="0"/>
    <b v="0"/>
    <b v="0"/>
    <x v="0"/>
    <x v="31"/>
    <n v="75.346666666666678"/>
    <n v="0"/>
    <n v="0"/>
    <n v="4"/>
    <x v="6"/>
    <m/>
  </r>
  <r>
    <x v="406"/>
    <d v="2026-04-01T00:00:00"/>
    <d v="2026-04-02T00:00:00"/>
    <d v="2026-04-04T00:00:00"/>
    <d v="2026-04-05T00:00:00"/>
    <x v="2"/>
    <x v="5"/>
    <x v="2"/>
    <x v="3"/>
    <n v="281.10000000000002"/>
    <n v="722.8"/>
    <n v="3359000"/>
    <b v="0"/>
    <b v="0"/>
    <n v="1000"/>
    <b v="0"/>
    <b v="0"/>
    <b v="0"/>
    <x v="1"/>
    <x v="17"/>
    <n v="72.28"/>
    <n v="0"/>
    <n v="0"/>
    <n v="3"/>
    <x v="4"/>
    <n v="1"/>
  </r>
  <r>
    <x v="407"/>
    <d v="2026-05-21T00:00:00"/>
    <d v="2026-05-22T00:00:00"/>
    <d v="2026-05-26T00:00:00"/>
    <d v="2026-05-26T00:00:00"/>
    <x v="0"/>
    <x v="3"/>
    <x v="0"/>
    <x v="2"/>
    <n v="988.4"/>
    <n v="9747.7000000000007"/>
    <n v="19161000"/>
    <b v="0"/>
    <b v="0"/>
    <n v="16000"/>
    <b v="0"/>
    <b v="0"/>
    <b v="0"/>
    <x v="0"/>
    <x v="47"/>
    <n v="60.923124999999999"/>
    <n v="0"/>
    <n v="0"/>
    <n v="4"/>
    <x v="2"/>
    <m/>
  </r>
  <r>
    <x v="408"/>
    <d v="2026-05-06T00:00:00"/>
    <d v="2026-05-07T00:00:00"/>
    <d v="2026-05-11T00:00:00"/>
    <d v="2026-05-11T00:00:00"/>
    <x v="3"/>
    <x v="7"/>
    <x v="1"/>
    <x v="1"/>
    <n v="663.9"/>
    <n v="2807.4"/>
    <n v="9648000"/>
    <b v="0"/>
    <b v="0"/>
    <n v="5000"/>
    <b v="0"/>
    <b v="0"/>
    <b v="0"/>
    <x v="0"/>
    <x v="40"/>
    <n v="56.148000000000003"/>
    <n v="0"/>
    <n v="0"/>
    <n v="4"/>
    <x v="2"/>
    <m/>
  </r>
  <r>
    <x v="409"/>
    <d v="2026-01-22T00:00:00"/>
    <d v="2026-01-23T00:00:00"/>
    <d v="2026-01-27T00:00:00"/>
    <d v="2026-01-27T00:00:00"/>
    <x v="3"/>
    <x v="3"/>
    <x v="0"/>
    <x v="0"/>
    <n v="1480.4"/>
    <n v="556.70000000000005"/>
    <n v="14145000"/>
    <b v="0"/>
    <b v="0"/>
    <n v="1500"/>
    <b v="0"/>
    <b v="0"/>
    <b v="0"/>
    <x v="0"/>
    <x v="43"/>
    <n v="37.113333333333337"/>
    <n v="0"/>
    <n v="0"/>
    <n v="4"/>
    <x v="3"/>
    <m/>
  </r>
  <r>
    <x v="410"/>
    <d v="2026-04-14T00:00:00"/>
    <d v="2026-04-15T00:00:00"/>
    <d v="2026-04-19T00:00:00"/>
    <d v="2026-04-19T00:00:00"/>
    <x v="1"/>
    <x v="4"/>
    <x v="5"/>
    <x v="1"/>
    <n v="763.8"/>
    <n v="840.2"/>
    <n v="10721000"/>
    <b v="0"/>
    <b v="0"/>
    <n v="5000"/>
    <b v="0"/>
    <b v="0"/>
    <b v="0"/>
    <x v="0"/>
    <x v="38"/>
    <n v="16.803999999999998"/>
    <n v="0"/>
    <n v="0"/>
    <n v="4"/>
    <x v="4"/>
    <m/>
  </r>
  <r>
    <x v="411"/>
    <d v="2026-05-08T00:00:00"/>
    <d v="2026-05-09T00:00:00"/>
    <d v="2026-05-12T00:00:00"/>
    <d v="2026-05-12T00:00:00"/>
    <x v="1"/>
    <x v="5"/>
    <x v="0"/>
    <x v="0"/>
    <n v="317.7"/>
    <n v="963.2"/>
    <n v="4067000"/>
    <b v="0"/>
    <b v="0"/>
    <n v="1500"/>
    <b v="0"/>
    <b v="0"/>
    <b v="0"/>
    <x v="0"/>
    <x v="5"/>
    <n v="64.213333333333338"/>
    <n v="0"/>
    <n v="0"/>
    <n v="3"/>
    <x v="2"/>
    <m/>
  </r>
  <r>
    <x v="412"/>
    <d v="2026-02-12T00:00:00"/>
    <d v="2026-02-12T00:00:00"/>
    <d v="2026-02-14T00:00:00"/>
    <d v="2026-02-15T00:00:00"/>
    <x v="0"/>
    <x v="1"/>
    <x v="1"/>
    <x v="2"/>
    <n v="269.89999999999998"/>
    <n v="5572"/>
    <n v="8401000"/>
    <b v="0"/>
    <b v="0"/>
    <n v="16000"/>
    <b v="0"/>
    <b v="0"/>
    <b v="0"/>
    <x v="1"/>
    <x v="1"/>
    <n v="34.825000000000003"/>
    <n v="0"/>
    <n v="0"/>
    <n v="3"/>
    <x v="5"/>
    <n v="1"/>
  </r>
  <r>
    <x v="413"/>
    <d v="2026-05-24T00:00:00"/>
    <d v="2026-05-25T00:00:00"/>
    <d v="2026-05-28T00:00:00"/>
    <m/>
    <x v="1"/>
    <x v="7"/>
    <x v="1"/>
    <x v="0"/>
    <n v="147.30000000000001"/>
    <n v="260.8"/>
    <n v="2009000"/>
    <b v="0"/>
    <b v="0"/>
    <n v="1500"/>
    <b v="0"/>
    <b v="0"/>
    <b v="0"/>
    <x v="2"/>
    <x v="26"/>
    <n v="17.38666666666667"/>
    <n v="0"/>
    <n v="0"/>
    <m/>
    <x v="2"/>
    <m/>
  </r>
  <r>
    <x v="414"/>
    <d v="2026-05-31T00:00:00"/>
    <d v="2026-06-01T00:00:00"/>
    <d v="2026-06-04T00:00:00"/>
    <d v="2026-06-05T00:00:00"/>
    <x v="2"/>
    <x v="11"/>
    <x v="0"/>
    <x v="1"/>
    <n v="546.9"/>
    <n v="2294.5"/>
    <n v="7309000"/>
    <b v="0"/>
    <b v="0"/>
    <n v="5000"/>
    <b v="0"/>
    <b v="0"/>
    <b v="0"/>
    <x v="1"/>
    <x v="41"/>
    <n v="45.89"/>
    <n v="0"/>
    <n v="0"/>
    <n v="4"/>
    <x v="1"/>
    <n v="1"/>
  </r>
  <r>
    <x v="415"/>
    <d v="2026-06-02T00:00:00"/>
    <d v="2026-06-03T00:00:00"/>
    <d v="2026-06-06T00:00:00"/>
    <d v="2026-06-07T00:00:00"/>
    <x v="2"/>
    <x v="1"/>
    <x v="3"/>
    <x v="1"/>
    <n v="310.8"/>
    <n v="1846.8"/>
    <n v="5165000"/>
    <b v="0"/>
    <b v="0"/>
    <n v="5000"/>
    <b v="0"/>
    <b v="0"/>
    <b v="0"/>
    <x v="1"/>
    <x v="16"/>
    <n v="36.936"/>
    <n v="0"/>
    <n v="0"/>
    <n v="4"/>
    <x v="1"/>
    <n v="1"/>
  </r>
  <r>
    <x v="416"/>
    <d v="2026-01-24T00:00:00"/>
    <d v="2026-01-25T00:00:00"/>
    <d v="2026-01-28T00:00:00"/>
    <d v="2026-01-28T00:00:00"/>
    <x v="1"/>
    <x v="7"/>
    <x v="0"/>
    <x v="1"/>
    <n v="132.1"/>
    <n v="1942.4"/>
    <n v="3408000"/>
    <b v="0"/>
    <b v="0"/>
    <n v="5000"/>
    <b v="0"/>
    <b v="0"/>
    <b v="0"/>
    <x v="0"/>
    <x v="26"/>
    <n v="38.847999999999999"/>
    <n v="0"/>
    <n v="0"/>
    <n v="3"/>
    <x v="3"/>
    <m/>
  </r>
  <r>
    <x v="417"/>
    <d v="2026-06-23T00:00:00"/>
    <d v="2026-06-23T00:00:00"/>
    <d v="2026-06-26T00:00:00"/>
    <d v="2026-06-26T00:00:00"/>
    <x v="2"/>
    <x v="0"/>
    <x v="2"/>
    <x v="1"/>
    <n v="332.7"/>
    <n v="3329.5"/>
    <n v="6586000"/>
    <b v="0"/>
    <b v="0"/>
    <n v="5000"/>
    <b v="0"/>
    <b v="0"/>
    <b v="0"/>
    <x v="0"/>
    <x v="7"/>
    <n v="66.59"/>
    <n v="0"/>
    <n v="0"/>
    <n v="3"/>
    <x v="1"/>
    <m/>
  </r>
  <r>
    <x v="418"/>
    <d v="2026-03-22T00:00:00"/>
    <d v="2026-03-23T00:00:00"/>
    <d v="2026-03-25T00:00:00"/>
    <d v="2026-03-26T00:00:00"/>
    <x v="2"/>
    <x v="7"/>
    <x v="5"/>
    <x v="3"/>
    <n v="182.9"/>
    <n v="435.6"/>
    <n v="2326000"/>
    <b v="0"/>
    <b v="0"/>
    <n v="1000"/>
    <b v="0"/>
    <b v="0"/>
    <b v="0"/>
    <x v="1"/>
    <x v="10"/>
    <n v="43.56"/>
    <n v="0"/>
    <n v="0"/>
    <n v="3"/>
    <x v="6"/>
    <n v="1"/>
  </r>
  <r>
    <x v="419"/>
    <d v="2026-04-05T00:00:00"/>
    <d v="2026-04-07T00:00:00"/>
    <d v="2026-04-09T00:00:00"/>
    <d v="2026-04-09T00:00:00"/>
    <x v="0"/>
    <x v="8"/>
    <x v="0"/>
    <x v="2"/>
    <n v="134.1"/>
    <n v="8862"/>
    <n v="5969000"/>
    <b v="0"/>
    <b v="0"/>
    <n v="16000"/>
    <b v="0"/>
    <b v="0"/>
    <b v="0"/>
    <x v="0"/>
    <x v="22"/>
    <n v="55.387500000000003"/>
    <n v="0"/>
    <n v="0"/>
    <n v="2"/>
    <x v="4"/>
    <m/>
  </r>
  <r>
    <x v="420"/>
    <d v="2026-06-03T00:00:00"/>
    <d v="2026-06-04T00:00:00"/>
    <d v="2026-06-07T00:00:00"/>
    <d v="2026-06-09T00:00:00"/>
    <x v="3"/>
    <x v="5"/>
    <x v="1"/>
    <x v="3"/>
    <n v="493.6"/>
    <n v="120.9"/>
    <n v="4696000"/>
    <b v="0"/>
    <b v="0"/>
    <n v="1000"/>
    <b v="0"/>
    <b v="0"/>
    <b v="0"/>
    <x v="1"/>
    <x v="37"/>
    <n v="12.09"/>
    <n v="0"/>
    <n v="0"/>
    <n v="5"/>
    <x v="1"/>
    <n v="2"/>
  </r>
  <r>
    <x v="421"/>
    <d v="2026-06-16T00:00:00"/>
    <d v="2026-06-17T00:00:00"/>
    <d v="2026-06-19T00:00:00"/>
    <d v="2026-06-20T00:00:00"/>
    <x v="2"/>
    <x v="2"/>
    <x v="1"/>
    <x v="0"/>
    <n v="291.7"/>
    <n v="368.3"/>
    <n v="3243000"/>
    <b v="0"/>
    <b v="0"/>
    <n v="1500"/>
    <b v="0"/>
    <b v="0"/>
    <b v="0"/>
    <x v="1"/>
    <x v="29"/>
    <n v="24.553333333333331"/>
    <n v="0"/>
    <n v="0"/>
    <n v="3"/>
    <x v="1"/>
    <n v="1"/>
  </r>
  <r>
    <x v="422"/>
    <d v="2026-01-24T00:00:00"/>
    <d v="2026-01-25T00:00:00"/>
    <d v="2026-01-29T00:00:00"/>
    <d v="2026-01-29T00:00:00"/>
    <x v="2"/>
    <x v="4"/>
    <x v="1"/>
    <x v="2"/>
    <n v="739.5"/>
    <n v="2939.4"/>
    <n v="16431000"/>
    <b v="0"/>
    <b v="0"/>
    <n v="16000"/>
    <b v="0"/>
    <b v="0"/>
    <b v="0"/>
    <x v="0"/>
    <x v="4"/>
    <n v="18.37125"/>
    <n v="0"/>
    <n v="0"/>
    <n v="4"/>
    <x v="3"/>
    <m/>
  </r>
  <r>
    <x v="423"/>
    <d v="2026-02-26T00:00:00"/>
    <d v="2026-02-27T00:00:00"/>
    <d v="2026-03-02T00:00:00"/>
    <d v="2026-02-26T00:00:00"/>
    <x v="2"/>
    <x v="6"/>
    <x v="3"/>
    <x v="3"/>
    <n v="122.1"/>
    <n v="490.5"/>
    <n v="1747000"/>
    <b v="1"/>
    <b v="0"/>
    <n v="1000"/>
    <b v="0"/>
    <b v="0"/>
    <b v="1"/>
    <x v="3"/>
    <x v="6"/>
    <n v="49.05"/>
    <n v="0"/>
    <n v="1"/>
    <m/>
    <x v="5"/>
    <m/>
  </r>
  <r>
    <x v="424"/>
    <d v="2026-01-17T00:00:00"/>
    <d v="2026-01-18T00:00:00"/>
    <d v="2026-01-20T00:00:00"/>
    <d v="2026-01-20T00:00:00"/>
    <x v="1"/>
    <x v="0"/>
    <x v="5"/>
    <x v="1"/>
    <n v="272.5"/>
    <n v="732.7"/>
    <n v="4852000"/>
    <b v="0"/>
    <b v="0"/>
    <n v="5000"/>
    <b v="0"/>
    <b v="0"/>
    <b v="0"/>
    <x v="0"/>
    <x v="12"/>
    <n v="14.654"/>
    <n v="0"/>
    <n v="0"/>
    <n v="2"/>
    <x v="3"/>
    <m/>
  </r>
  <r>
    <x v="425"/>
    <d v="2026-05-16T00:00:00"/>
    <d v="2026-05-16T00:00:00"/>
    <d v="2026-05-17T00:00:00"/>
    <d v="2026-05-17T00:00:00"/>
    <x v="2"/>
    <x v="10"/>
    <x v="5"/>
    <x v="1"/>
    <n v="57.4"/>
    <n v="3803.1"/>
    <n v="2748000"/>
    <b v="0"/>
    <b v="0"/>
    <n v="5000"/>
    <b v="0"/>
    <b v="0"/>
    <b v="0"/>
    <x v="0"/>
    <x v="34"/>
    <n v="76.061999999999998"/>
    <n v="0"/>
    <n v="0"/>
    <n v="1"/>
    <x v="2"/>
    <m/>
  </r>
  <r>
    <x v="426"/>
    <d v="2026-01-30T00:00:00"/>
    <d v="2026-01-31T00:00:00"/>
    <d v="2026-02-04T00:00:00"/>
    <d v="2026-02-04T00:00:00"/>
    <x v="3"/>
    <x v="10"/>
    <x v="3"/>
    <x v="1"/>
    <n v="609.70000000000005"/>
    <n v="603.4"/>
    <n v="8758000"/>
    <b v="0"/>
    <b v="0"/>
    <n v="5000"/>
    <b v="0"/>
    <b v="0"/>
    <b v="0"/>
    <x v="0"/>
    <x v="32"/>
    <n v="12.068"/>
    <n v="0"/>
    <n v="0"/>
    <n v="4"/>
    <x v="3"/>
    <m/>
  </r>
  <r>
    <x v="427"/>
    <d v="2026-02-27T00:00:00"/>
    <d v="2026-02-28T00:00:00"/>
    <d v="2026-03-04T00:00:00"/>
    <d v="2026-03-05T00:00:00"/>
    <x v="1"/>
    <x v="0"/>
    <x v="1"/>
    <x v="3"/>
    <n v="310.60000000000002"/>
    <n v="810.1"/>
    <n v="3054000"/>
    <b v="0"/>
    <b v="0"/>
    <n v="1000"/>
    <b v="0"/>
    <b v="0"/>
    <b v="0"/>
    <x v="1"/>
    <x v="12"/>
    <n v="81.010000000000005"/>
    <n v="0"/>
    <n v="0"/>
    <n v="5"/>
    <x v="5"/>
    <n v="1"/>
  </r>
  <r>
    <x v="428"/>
    <d v="2026-05-12T00:00:00"/>
    <d v="2026-05-13T00:00:00"/>
    <d v="2026-05-16T00:00:00"/>
    <m/>
    <x v="3"/>
    <x v="2"/>
    <x v="0"/>
    <x v="1"/>
    <n v="316.2"/>
    <n v="979.8"/>
    <n v="5518000"/>
    <b v="0"/>
    <b v="0"/>
    <n v="5000"/>
    <b v="0"/>
    <b v="0"/>
    <b v="0"/>
    <x v="2"/>
    <x v="14"/>
    <n v="19.596"/>
    <n v="0"/>
    <n v="0"/>
    <m/>
    <x v="2"/>
    <m/>
  </r>
  <r>
    <x v="429"/>
    <d v="2026-01-15T00:00:00"/>
    <d v="2026-01-16T00:00:00"/>
    <d v="2026-01-20T00:00:00"/>
    <d v="2026-01-22T00:00:00"/>
    <x v="3"/>
    <x v="10"/>
    <x v="0"/>
    <x v="1"/>
    <n v="631.5"/>
    <n v="1692.5"/>
    <n v="8477000"/>
    <b v="0"/>
    <b v="0"/>
    <n v="5000"/>
    <b v="0"/>
    <b v="0"/>
    <b v="0"/>
    <x v="1"/>
    <x v="32"/>
    <n v="33.85"/>
    <n v="0"/>
    <n v="0"/>
    <n v="6"/>
    <x v="3"/>
    <n v="2"/>
  </r>
  <r>
    <x v="430"/>
    <d v="2026-01-07T00:00:00"/>
    <d v="2026-01-08T00:00:00"/>
    <d v="2026-01-11T00:00:00"/>
    <d v="2026-01-11T00:00:00"/>
    <x v="1"/>
    <x v="2"/>
    <x v="3"/>
    <x v="3"/>
    <n v="300.5"/>
    <n v="898"/>
    <n v="2621000"/>
    <b v="0"/>
    <b v="0"/>
    <n v="1000"/>
    <b v="0"/>
    <b v="0"/>
    <b v="0"/>
    <x v="0"/>
    <x v="2"/>
    <n v="89.8"/>
    <n v="0"/>
    <n v="0"/>
    <n v="3"/>
    <x v="3"/>
    <m/>
  </r>
  <r>
    <x v="431"/>
    <d v="2026-06-22T00:00:00"/>
    <d v="2026-06-23T00:00:00"/>
    <d v="2026-06-25T00:00:00"/>
    <d v="2026-06-27T00:00:00"/>
    <x v="1"/>
    <x v="7"/>
    <x v="2"/>
    <x v="0"/>
    <n v="150.9"/>
    <n v="694.3"/>
    <n v="2100000"/>
    <b v="0"/>
    <b v="0"/>
    <n v="1500"/>
    <b v="0"/>
    <b v="0"/>
    <b v="0"/>
    <x v="1"/>
    <x v="26"/>
    <n v="46.286666666666662"/>
    <n v="0"/>
    <n v="0"/>
    <n v="4"/>
    <x v="1"/>
    <n v="2"/>
  </r>
  <r>
    <x v="432"/>
    <d v="2026-04-04T00:00:00"/>
    <d v="2026-04-05T00:00:00"/>
    <d v="2026-04-09T00:00:00"/>
    <d v="2026-04-09T00:00:00"/>
    <x v="3"/>
    <x v="3"/>
    <x v="5"/>
    <x v="0"/>
    <n v="1411.3"/>
    <n v="856.3"/>
    <n v="15175000"/>
    <b v="0"/>
    <b v="0"/>
    <n v="1500"/>
    <b v="0"/>
    <b v="0"/>
    <b v="0"/>
    <x v="0"/>
    <x v="43"/>
    <n v="57.086666666666673"/>
    <n v="0"/>
    <n v="0"/>
    <n v="4"/>
    <x v="4"/>
    <m/>
  </r>
  <r>
    <x v="433"/>
    <d v="2026-01-16T00:00:00"/>
    <d v="2026-01-17T00:00:00"/>
    <d v="2026-01-20T00:00:00"/>
    <d v="2026-01-20T00:00:00"/>
    <x v="1"/>
    <x v="0"/>
    <x v="5"/>
    <x v="3"/>
    <n v="308.5"/>
    <n v="535.20000000000005"/>
    <n v="3081000"/>
    <b v="0"/>
    <b v="0"/>
    <n v="1000"/>
    <b v="0"/>
    <b v="0"/>
    <b v="0"/>
    <x v="0"/>
    <x v="12"/>
    <n v="53.52"/>
    <n v="0"/>
    <n v="0"/>
    <n v="3"/>
    <x v="3"/>
    <m/>
  </r>
  <r>
    <x v="434"/>
    <d v="2026-03-09T00:00:00"/>
    <d v="2026-03-10T00:00:00"/>
    <d v="2026-03-14T00:00:00"/>
    <d v="2026-03-15T00:00:00"/>
    <x v="1"/>
    <x v="4"/>
    <x v="0"/>
    <x v="1"/>
    <n v="732.2"/>
    <n v="3498.3"/>
    <n v="11768000"/>
    <b v="0"/>
    <b v="0"/>
    <n v="5000"/>
    <b v="0"/>
    <b v="0"/>
    <b v="0"/>
    <x v="1"/>
    <x v="38"/>
    <n v="69.966000000000008"/>
    <n v="0"/>
    <n v="0"/>
    <n v="5"/>
    <x v="6"/>
    <n v="1"/>
  </r>
  <r>
    <x v="435"/>
    <d v="2026-06-29T00:00:00"/>
    <d v="2026-06-29T00:00:00"/>
    <d v="2026-06-30T00:00:00"/>
    <d v="2026-06-30T00:00:00"/>
    <x v="1"/>
    <x v="8"/>
    <x v="1"/>
    <x v="0"/>
    <n v="57.1"/>
    <n v="590.29999999999995"/>
    <n v="1312000"/>
    <b v="0"/>
    <b v="0"/>
    <n v="1500"/>
    <b v="0"/>
    <b v="0"/>
    <b v="0"/>
    <x v="0"/>
    <x v="28"/>
    <n v="39.353333333333332"/>
    <n v="0"/>
    <n v="0"/>
    <n v="1"/>
    <x v="1"/>
    <m/>
  </r>
  <r>
    <x v="436"/>
    <d v="2026-01-20T00:00:00"/>
    <d v="2026-01-21T00:00:00"/>
    <d v="2026-01-25T00:00:00"/>
    <d v="2026-01-26T00:00:00"/>
    <x v="3"/>
    <x v="6"/>
    <x v="0"/>
    <x v="1"/>
    <n v="465.4"/>
    <n v="3344.4"/>
    <n v="8149000"/>
    <b v="0"/>
    <b v="0"/>
    <n v="5000"/>
    <b v="0"/>
    <b v="0"/>
    <b v="0"/>
    <x v="1"/>
    <x v="13"/>
    <n v="66.888000000000005"/>
    <n v="0"/>
    <n v="0"/>
    <n v="5"/>
    <x v="3"/>
    <n v="1"/>
  </r>
  <r>
    <x v="437"/>
    <d v="2026-04-19T00:00:00"/>
    <d v="2026-04-20T00:00:00"/>
    <d v="2026-04-21T00:00:00"/>
    <d v="2026-04-22T00:00:00"/>
    <x v="0"/>
    <x v="6"/>
    <x v="3"/>
    <x v="0"/>
    <n v="22.3"/>
    <n v="1358.7"/>
    <n v="1240000"/>
    <b v="0"/>
    <b v="0"/>
    <n v="1500"/>
    <b v="0"/>
    <b v="0"/>
    <b v="0"/>
    <x v="1"/>
    <x v="19"/>
    <n v="90.58"/>
    <n v="0"/>
    <n v="0"/>
    <n v="2"/>
    <x v="4"/>
    <n v="1"/>
  </r>
  <r>
    <x v="438"/>
    <d v="2026-05-19T00:00:00"/>
    <d v="2026-05-20T00:00:00"/>
    <d v="2026-05-25T00:00:00"/>
    <m/>
    <x v="2"/>
    <x v="4"/>
    <x v="5"/>
    <x v="1"/>
    <n v="738.7"/>
    <n v="547.70000000000005"/>
    <n v="10924000"/>
    <b v="0"/>
    <b v="0"/>
    <n v="5000"/>
    <b v="0"/>
    <b v="0"/>
    <b v="0"/>
    <x v="2"/>
    <x v="4"/>
    <n v="10.954000000000001"/>
    <n v="0"/>
    <n v="0"/>
    <m/>
    <x v="2"/>
    <m/>
  </r>
  <r>
    <x v="439"/>
    <d v="2026-04-29T00:00:00"/>
    <d v="2026-05-01T00:00:00"/>
    <d v="2026-05-05T00:00:00"/>
    <d v="2026-05-05T00:00:00"/>
    <x v="3"/>
    <x v="0"/>
    <x v="0"/>
    <x v="3"/>
    <n v="658.4"/>
    <n v="254"/>
    <n v="6622000"/>
    <b v="0"/>
    <b v="0"/>
    <n v="1000"/>
    <b v="0"/>
    <b v="0"/>
    <b v="0"/>
    <x v="0"/>
    <x v="11"/>
    <n v="25.4"/>
    <n v="0"/>
    <n v="0"/>
    <n v="4"/>
    <x v="2"/>
    <m/>
  </r>
  <r>
    <x v="440"/>
    <d v="2026-05-21T00:00:00"/>
    <d v="2026-05-22T00:00:00"/>
    <d v="2026-05-25T00:00:00"/>
    <d v="2026-05-25T00:00:00"/>
    <x v="2"/>
    <x v="9"/>
    <x v="5"/>
    <x v="1"/>
    <n v="461"/>
    <n v="4479.7"/>
    <n v="9029000"/>
    <b v="0"/>
    <b v="0"/>
    <n v="5000"/>
    <b v="0"/>
    <b v="0"/>
    <b v="0"/>
    <x v="0"/>
    <x v="20"/>
    <n v="89.593999999999994"/>
    <n v="0"/>
    <n v="0"/>
    <n v="3"/>
    <x v="2"/>
    <m/>
  </r>
  <r>
    <x v="441"/>
    <d v="2026-04-29T00:00:00"/>
    <d v="2026-04-30T00:00:00"/>
    <d v="2026-05-04T00:00:00"/>
    <d v="2026-05-04T00:00:00"/>
    <x v="0"/>
    <x v="3"/>
    <x v="5"/>
    <x v="2"/>
    <n v="1012.4"/>
    <n v="12319.4"/>
    <n v="22881000"/>
    <b v="0"/>
    <b v="0"/>
    <n v="16000"/>
    <b v="0"/>
    <b v="0"/>
    <b v="0"/>
    <x v="0"/>
    <x v="47"/>
    <n v="76.996250000000003"/>
    <n v="0"/>
    <n v="0"/>
    <n v="4"/>
    <x v="4"/>
    <m/>
  </r>
  <r>
    <x v="442"/>
    <d v="2026-06-27T00:00:00"/>
    <d v="2026-06-29T00:00:00"/>
    <d v="2026-07-01T00:00:00"/>
    <d v="2026-07-02T00:00:00"/>
    <x v="0"/>
    <x v="10"/>
    <x v="0"/>
    <x v="3"/>
    <n v="155.1"/>
    <n v="106.2"/>
    <n v="1800000"/>
    <b v="0"/>
    <b v="0"/>
    <n v="1000"/>
    <b v="0"/>
    <b v="0"/>
    <b v="0"/>
    <x v="1"/>
    <x v="42"/>
    <n v="10.62"/>
    <n v="0"/>
    <n v="0"/>
    <n v="3"/>
    <x v="1"/>
    <n v="1"/>
  </r>
  <r>
    <x v="443"/>
    <d v="2026-04-11T00:00:00"/>
    <d v="2026-04-12T00:00:00"/>
    <d v="2026-04-14T00:00:00"/>
    <d v="2026-04-14T00:00:00"/>
    <x v="2"/>
    <x v="6"/>
    <x v="1"/>
    <x v="0"/>
    <n v="131"/>
    <n v="1000.9"/>
    <n v="2012000"/>
    <b v="0"/>
    <b v="0"/>
    <n v="1500"/>
    <b v="0"/>
    <b v="0"/>
    <b v="0"/>
    <x v="0"/>
    <x v="6"/>
    <n v="66.726666666666674"/>
    <n v="0"/>
    <n v="0"/>
    <n v="2"/>
    <x v="4"/>
    <m/>
  </r>
  <r>
    <x v="444"/>
    <d v="2026-03-04T00:00:00"/>
    <d v="2026-03-05T00:00:00"/>
    <d v="2026-03-08T00:00:00"/>
    <d v="2026-03-08T00:00:00"/>
    <x v="1"/>
    <x v="9"/>
    <x v="2"/>
    <x v="1"/>
    <n v="424"/>
    <n v="3902.2"/>
    <n v="7755000"/>
    <b v="0"/>
    <b v="0"/>
    <n v="5000"/>
    <b v="0"/>
    <b v="0"/>
    <b v="0"/>
    <x v="0"/>
    <x v="24"/>
    <n v="78.043999999999997"/>
    <n v="0"/>
    <n v="0"/>
    <n v="3"/>
    <x v="6"/>
    <m/>
  </r>
  <r>
    <x v="445"/>
    <d v="2026-03-30T00:00:00"/>
    <d v="2026-03-31T00:00:00"/>
    <d v="2026-04-02T00:00:00"/>
    <d v="2026-04-02T00:00:00"/>
    <x v="1"/>
    <x v="7"/>
    <x v="3"/>
    <x v="3"/>
    <n v="151.19999999999999"/>
    <n v="881.1"/>
    <n v="1991000"/>
    <b v="0"/>
    <b v="0"/>
    <n v="1000"/>
    <b v="0"/>
    <b v="0"/>
    <b v="0"/>
    <x v="0"/>
    <x v="26"/>
    <n v="88.11"/>
    <n v="0"/>
    <n v="0"/>
    <n v="2"/>
    <x v="6"/>
    <m/>
  </r>
  <r>
    <x v="446"/>
    <d v="2026-04-13T00:00:00"/>
    <d v="2026-04-14T00:00:00"/>
    <d v="2026-04-18T00:00:00"/>
    <d v="2026-04-18T00:00:00"/>
    <x v="1"/>
    <x v="4"/>
    <x v="4"/>
    <x v="1"/>
    <n v="728.7"/>
    <n v="4086.4"/>
    <n v="10845000"/>
    <b v="0"/>
    <b v="0"/>
    <n v="5000"/>
    <b v="0"/>
    <b v="0"/>
    <b v="0"/>
    <x v="0"/>
    <x v="38"/>
    <n v="81.727999999999994"/>
    <n v="0"/>
    <n v="0"/>
    <n v="4"/>
    <x v="4"/>
    <m/>
  </r>
  <r>
    <x v="447"/>
    <d v="2026-06-27T00:00:00"/>
    <d v="2026-06-29T00:00:00"/>
    <d v="2026-07-02T00:00:00"/>
    <d v="2026-07-02T00:00:00"/>
    <x v="1"/>
    <x v="5"/>
    <x v="2"/>
    <x v="0"/>
    <n v="314.7"/>
    <n v="629.70000000000005"/>
    <n v="3361000"/>
    <b v="0"/>
    <b v="0"/>
    <n v="1500"/>
    <b v="0"/>
    <b v="0"/>
    <b v="0"/>
    <x v="0"/>
    <x v="5"/>
    <n v="41.98"/>
    <n v="0"/>
    <n v="0"/>
    <n v="3"/>
    <x v="1"/>
    <m/>
  </r>
  <r>
    <x v="448"/>
    <d v="2026-02-12T00:00:00"/>
    <d v="2026-02-13T00:00:00"/>
    <d v="2026-02-16T00:00:00"/>
    <d v="2026-02-16T00:00:00"/>
    <x v="1"/>
    <x v="2"/>
    <x v="2"/>
    <x v="1"/>
    <n v="323.2"/>
    <n v="2951.4"/>
    <n v="5071000"/>
    <b v="0"/>
    <b v="0"/>
    <n v="5000"/>
    <b v="0"/>
    <b v="0"/>
    <b v="0"/>
    <x v="0"/>
    <x v="2"/>
    <n v="59.028000000000013"/>
    <n v="0"/>
    <n v="0"/>
    <n v="3"/>
    <x v="5"/>
    <m/>
  </r>
  <r>
    <x v="449"/>
    <d v="2026-01-27T00:00:00"/>
    <d v="2026-01-28T00:00:00"/>
    <d v="2026-01-31T00:00:00"/>
    <d v="2026-01-31T00:00:00"/>
    <x v="1"/>
    <x v="0"/>
    <x v="0"/>
    <x v="1"/>
    <n v="289.10000000000002"/>
    <n v="1369.3"/>
    <n v="4551000"/>
    <b v="0"/>
    <b v="0"/>
    <n v="5000"/>
    <b v="0"/>
    <b v="0"/>
    <b v="0"/>
    <x v="0"/>
    <x v="12"/>
    <n v="27.385999999999999"/>
    <n v="0"/>
    <n v="0"/>
    <n v="3"/>
    <x v="3"/>
    <m/>
  </r>
  <r>
    <x v="450"/>
    <d v="2026-06-24T00:00:00"/>
    <d v="2026-06-26T00:00:00"/>
    <d v="2026-06-29T00:00:00"/>
    <d v="2026-06-29T00:00:00"/>
    <x v="3"/>
    <x v="5"/>
    <x v="0"/>
    <x v="2"/>
    <n v="504.9"/>
    <n v="7608.5"/>
    <n v="13784000"/>
    <b v="0"/>
    <b v="0"/>
    <n v="16000"/>
    <b v="0"/>
    <b v="0"/>
    <b v="0"/>
    <x v="0"/>
    <x v="37"/>
    <n v="47.553125000000001"/>
    <n v="0"/>
    <n v="0"/>
    <n v="3"/>
    <x v="1"/>
    <m/>
  </r>
  <r>
    <x v="451"/>
    <d v="2026-02-19T00:00:00"/>
    <d v="2026-02-20T00:00:00"/>
    <d v="2026-02-23T00:00:00"/>
    <d v="2026-02-24T00:00:00"/>
    <x v="2"/>
    <x v="9"/>
    <x v="2"/>
    <x v="3"/>
    <n v="457.1"/>
    <n v="228"/>
    <n v="4174000"/>
    <b v="0"/>
    <b v="0"/>
    <n v="1000"/>
    <b v="0"/>
    <b v="0"/>
    <b v="0"/>
    <x v="1"/>
    <x v="20"/>
    <n v="22.8"/>
    <n v="0"/>
    <n v="0"/>
    <n v="4"/>
    <x v="5"/>
    <n v="1"/>
  </r>
  <r>
    <x v="452"/>
    <d v="2026-01-01T00:00:00"/>
    <d v="2026-01-02T00:00:00"/>
    <d v="2026-01-04T00:00:00"/>
    <d v="2026-01-06T00:00:00"/>
    <x v="0"/>
    <x v="2"/>
    <x v="2"/>
    <x v="1"/>
    <n v="185.3"/>
    <n v="3443.3"/>
    <n v="4551000"/>
    <b v="0"/>
    <b v="0"/>
    <n v="5000"/>
    <b v="0"/>
    <b v="0"/>
    <b v="0"/>
    <x v="1"/>
    <x v="23"/>
    <n v="68.866"/>
    <n v="0"/>
    <n v="0"/>
    <n v="4"/>
    <x v="3"/>
    <n v="2"/>
  </r>
  <r>
    <x v="453"/>
    <d v="2026-03-02T00:00:00"/>
    <d v="2026-03-03T00:00:00"/>
    <d v="2026-03-06T00:00:00"/>
    <m/>
    <x v="3"/>
    <x v="8"/>
    <x v="5"/>
    <x v="1"/>
    <n v="555.20000000000005"/>
    <n v="2757.1"/>
    <n v="8386000"/>
    <b v="0"/>
    <b v="0"/>
    <n v="5000"/>
    <b v="0"/>
    <b v="0"/>
    <b v="0"/>
    <x v="2"/>
    <x v="15"/>
    <n v="55.142000000000003"/>
    <n v="0"/>
    <n v="0"/>
    <m/>
    <x v="6"/>
    <m/>
  </r>
  <r>
    <x v="454"/>
    <d v="2026-06-13T00:00:00"/>
    <d v="2026-06-14T00:00:00"/>
    <d v="2026-06-17T00:00:00"/>
    <d v="2026-06-17T00:00:00"/>
    <x v="1"/>
    <x v="1"/>
    <x v="0"/>
    <x v="0"/>
    <n v="312.5"/>
    <n v="665.8"/>
    <n v="4339000"/>
    <b v="0"/>
    <b v="0"/>
    <n v="1500"/>
    <b v="0"/>
    <b v="0"/>
    <b v="0"/>
    <x v="0"/>
    <x v="25"/>
    <n v="44.386666666666663"/>
    <n v="0"/>
    <n v="0"/>
    <n v="3"/>
    <x v="1"/>
    <m/>
  </r>
  <r>
    <x v="455"/>
    <d v="2026-01-14T00:00:00"/>
    <d v="2026-01-15T00:00:00"/>
    <d v="2026-01-17T00:00:00"/>
    <d v="2026-01-19T00:00:00"/>
    <x v="1"/>
    <x v="6"/>
    <x v="0"/>
    <x v="3"/>
    <n v="159.5"/>
    <n v="664.3"/>
    <n v="2070000"/>
    <b v="0"/>
    <b v="0"/>
    <n v="1000"/>
    <b v="0"/>
    <b v="0"/>
    <b v="0"/>
    <x v="1"/>
    <x v="9"/>
    <n v="66.430000000000007"/>
    <n v="0"/>
    <n v="0"/>
    <n v="4"/>
    <x v="3"/>
    <n v="2"/>
  </r>
  <r>
    <x v="456"/>
    <d v="2026-04-06T00:00:00"/>
    <d v="2026-04-08T00:00:00"/>
    <d v="2026-04-11T00:00:00"/>
    <d v="2026-04-11T00:00:00"/>
    <x v="2"/>
    <x v="1"/>
    <x v="4"/>
    <x v="0"/>
    <n v="308.10000000000002"/>
    <n v="466.5"/>
    <n v="3417000"/>
    <b v="0"/>
    <b v="0"/>
    <n v="1500"/>
    <b v="0"/>
    <b v="0"/>
    <b v="0"/>
    <x v="0"/>
    <x v="16"/>
    <n v="31.1"/>
    <n v="0"/>
    <n v="0"/>
    <n v="3"/>
    <x v="4"/>
    <m/>
  </r>
  <r>
    <x v="457"/>
    <d v="2026-02-12T00:00:00"/>
    <d v="2026-02-12T00:00:00"/>
    <d v="2026-02-15T00:00:00"/>
    <d v="2026-02-16T00:00:00"/>
    <x v="0"/>
    <x v="9"/>
    <x v="2"/>
    <x v="1"/>
    <n v="562.1"/>
    <n v="4233.6000000000004"/>
    <n v="8519000"/>
    <b v="0"/>
    <b v="0"/>
    <n v="5000"/>
    <b v="0"/>
    <b v="0"/>
    <b v="0"/>
    <x v="1"/>
    <x v="44"/>
    <n v="84.671999999999997"/>
    <n v="0"/>
    <n v="0"/>
    <n v="4"/>
    <x v="5"/>
    <n v="1"/>
  </r>
  <r>
    <x v="458"/>
    <d v="2026-06-18T00:00:00"/>
    <d v="2026-06-18T00:00:00"/>
    <d v="2026-06-21T00:00:00"/>
    <d v="2026-06-22T00:00:00"/>
    <x v="1"/>
    <x v="2"/>
    <x v="1"/>
    <x v="3"/>
    <n v="320.10000000000002"/>
    <n v="598.5"/>
    <n v="3546000"/>
    <b v="0"/>
    <b v="0"/>
    <n v="1000"/>
    <b v="0"/>
    <b v="0"/>
    <b v="0"/>
    <x v="1"/>
    <x v="2"/>
    <n v="59.85"/>
    <n v="0"/>
    <n v="0"/>
    <n v="4"/>
    <x v="1"/>
    <n v="1"/>
  </r>
  <r>
    <x v="459"/>
    <d v="2026-05-02T00:00:00"/>
    <d v="2026-05-03T00:00:00"/>
    <d v="2026-05-07T00:00:00"/>
    <d v="2026-05-07T00:00:00"/>
    <x v="0"/>
    <x v="3"/>
    <x v="3"/>
    <x v="1"/>
    <n v="1032.8"/>
    <n v="874.6"/>
    <n v="14898000"/>
    <b v="0"/>
    <b v="0"/>
    <n v="5000"/>
    <b v="0"/>
    <b v="0"/>
    <b v="0"/>
    <x v="0"/>
    <x v="47"/>
    <n v="17.492000000000001"/>
    <n v="0"/>
    <n v="0"/>
    <n v="4"/>
    <x v="2"/>
    <m/>
  </r>
  <r>
    <x v="460"/>
    <d v="2026-02-21T00:00:00"/>
    <d v="2026-02-22T00:00:00"/>
    <d v="2026-02-26T00:00:00"/>
    <d v="2026-02-26T00:00:00"/>
    <x v="0"/>
    <x v="4"/>
    <x v="0"/>
    <x v="3"/>
    <n v="605.79999999999995"/>
    <n v="275.5"/>
    <n v="5590000"/>
    <b v="0"/>
    <b v="0"/>
    <n v="1000"/>
    <b v="0"/>
    <b v="0"/>
    <b v="0"/>
    <x v="0"/>
    <x v="30"/>
    <n v="27.55"/>
    <n v="0"/>
    <n v="0"/>
    <n v="4"/>
    <x v="5"/>
    <m/>
  </r>
  <r>
    <x v="461"/>
    <d v="2026-03-11T00:00:00"/>
    <d v="2026-03-11T00:00:00"/>
    <d v="2026-03-14T00:00:00"/>
    <d v="2026-03-15T00:00:00"/>
    <x v="2"/>
    <x v="5"/>
    <x v="2"/>
    <x v="1"/>
    <n v="332.3"/>
    <n v="601"/>
    <n v="5057000"/>
    <b v="0"/>
    <b v="0"/>
    <n v="5000"/>
    <b v="0"/>
    <b v="0"/>
    <b v="0"/>
    <x v="1"/>
    <x v="17"/>
    <n v="12.02"/>
    <n v="0"/>
    <n v="0"/>
    <n v="4"/>
    <x v="6"/>
    <n v="1"/>
  </r>
  <r>
    <x v="462"/>
    <d v="2026-02-18T00:00:00"/>
    <d v="2026-02-19T00:00:00"/>
    <d v="2026-02-21T00:00:00"/>
    <d v="2026-02-21T00:00:00"/>
    <x v="0"/>
    <x v="10"/>
    <x v="5"/>
    <x v="1"/>
    <n v="148.80000000000001"/>
    <n v="1083.3"/>
    <n v="2668000"/>
    <b v="0"/>
    <b v="0"/>
    <n v="5000"/>
    <b v="0"/>
    <b v="0"/>
    <b v="0"/>
    <x v="0"/>
    <x v="42"/>
    <n v="21.666"/>
    <n v="0"/>
    <n v="0"/>
    <n v="2"/>
    <x v="5"/>
    <m/>
  </r>
  <r>
    <x v="463"/>
    <d v="2026-06-03T00:00:00"/>
    <d v="2026-06-03T00:00:00"/>
    <d v="2026-06-07T00:00:00"/>
    <d v="2026-06-06T00:00:00"/>
    <x v="0"/>
    <x v="0"/>
    <x v="0"/>
    <x v="3"/>
    <n v="346.4"/>
    <n v="168.6"/>
    <n v="3838000"/>
    <b v="0"/>
    <b v="0"/>
    <n v="1000"/>
    <b v="0"/>
    <b v="0"/>
    <b v="0"/>
    <x v="0"/>
    <x v="0"/>
    <n v="16.86"/>
    <n v="0"/>
    <n v="0"/>
    <n v="3"/>
    <x v="1"/>
    <m/>
  </r>
  <r>
    <x v="464"/>
    <d v="2026-04-24T00:00:00"/>
    <d v="2026-04-25T00:00:00"/>
    <d v="2026-04-27T00:00:00"/>
    <d v="2026-04-27T00:00:00"/>
    <x v="0"/>
    <x v="1"/>
    <x v="5"/>
    <x v="1"/>
    <n v="286.60000000000002"/>
    <n v="2670.8"/>
    <n v="5072000"/>
    <b v="0"/>
    <b v="0"/>
    <n v="5000"/>
    <b v="0"/>
    <b v="0"/>
    <b v="0"/>
    <x v="0"/>
    <x v="1"/>
    <n v="53.416000000000011"/>
    <n v="0"/>
    <n v="0"/>
    <n v="2"/>
    <x v="4"/>
    <m/>
  </r>
  <r>
    <x v="465"/>
    <d v="2026-03-09T00:00:00"/>
    <d v="2026-03-10T00:00:00"/>
    <d v="2026-03-14T00:00:00"/>
    <d v="2026-03-14T00:00:00"/>
    <x v="1"/>
    <x v="4"/>
    <x v="0"/>
    <x v="3"/>
    <n v="775.5"/>
    <n v="493.1"/>
    <n v="6630000"/>
    <b v="0"/>
    <b v="0"/>
    <n v="1000"/>
    <b v="0"/>
    <b v="0"/>
    <b v="0"/>
    <x v="0"/>
    <x v="38"/>
    <n v="49.31"/>
    <n v="0"/>
    <n v="0"/>
    <n v="4"/>
    <x v="6"/>
    <m/>
  </r>
  <r>
    <x v="466"/>
    <d v="2026-05-30T00:00:00"/>
    <d v="2026-05-30T00:00:00"/>
    <d v="2026-06-03T00:00:00"/>
    <d v="2026-06-03T00:00:00"/>
    <x v="1"/>
    <x v="3"/>
    <x v="1"/>
    <x v="1"/>
    <n v="885.5"/>
    <n v="3159"/>
    <n v="13214000"/>
    <b v="0"/>
    <b v="0"/>
    <n v="5000"/>
    <b v="0"/>
    <b v="0"/>
    <b v="0"/>
    <x v="0"/>
    <x v="35"/>
    <n v="63.18"/>
    <n v="0"/>
    <n v="0"/>
    <n v="4"/>
    <x v="2"/>
    <m/>
  </r>
  <r>
    <x v="467"/>
    <d v="2026-04-07T00:00:00"/>
    <d v="2026-04-09T00:00:00"/>
    <d v="2026-04-11T00:00:00"/>
    <d v="2026-04-11T00:00:00"/>
    <x v="2"/>
    <x v="7"/>
    <x v="2"/>
    <x v="3"/>
    <n v="193.8"/>
    <n v="87"/>
    <n v="2087000"/>
    <b v="0"/>
    <b v="0"/>
    <n v="1000"/>
    <b v="0"/>
    <b v="0"/>
    <b v="0"/>
    <x v="0"/>
    <x v="10"/>
    <n v="8.6999999999999993"/>
    <n v="0"/>
    <n v="0"/>
    <n v="2"/>
    <x v="4"/>
    <m/>
  </r>
  <r>
    <x v="468"/>
    <d v="2026-04-25T00:00:00"/>
    <d v="2026-04-27T00:00:00"/>
    <d v="2026-04-30T00:00:00"/>
    <d v="2026-05-01T00:00:00"/>
    <x v="1"/>
    <x v="9"/>
    <x v="2"/>
    <x v="0"/>
    <n v="436.5"/>
    <n v="1298.5999999999999"/>
    <n v="5317000"/>
    <b v="0"/>
    <b v="0"/>
    <n v="1500"/>
    <b v="0"/>
    <b v="0"/>
    <b v="0"/>
    <x v="1"/>
    <x v="24"/>
    <n v="86.573333333333323"/>
    <n v="0"/>
    <n v="0"/>
    <n v="4"/>
    <x v="4"/>
    <n v="1"/>
  </r>
  <r>
    <x v="469"/>
    <d v="2026-05-05T00:00:00"/>
    <d v="2026-05-06T00:00:00"/>
    <d v="2026-05-09T00:00:00"/>
    <d v="2026-05-09T00:00:00"/>
    <x v="2"/>
    <x v="5"/>
    <x v="0"/>
    <x v="3"/>
    <n v="301.2"/>
    <n v="784.4"/>
    <n v="3347000"/>
    <b v="0"/>
    <b v="0"/>
    <n v="1000"/>
    <b v="0"/>
    <b v="0"/>
    <b v="0"/>
    <x v="0"/>
    <x v="17"/>
    <n v="78.44"/>
    <n v="0"/>
    <n v="0"/>
    <n v="3"/>
    <x v="2"/>
    <m/>
  </r>
  <r>
    <x v="470"/>
    <d v="2026-03-09T00:00:00"/>
    <d v="2026-03-10T00:00:00"/>
    <d v="2026-03-12T00:00:00"/>
    <d v="2026-03-12T00:00:00"/>
    <x v="2"/>
    <x v="5"/>
    <x v="2"/>
    <x v="0"/>
    <n v="299.2"/>
    <n v="195.2"/>
    <n v="3002000"/>
    <b v="0"/>
    <b v="0"/>
    <n v="1500"/>
    <b v="0"/>
    <b v="0"/>
    <b v="0"/>
    <x v="0"/>
    <x v="17"/>
    <n v="13.01333333333333"/>
    <n v="0"/>
    <n v="0"/>
    <n v="2"/>
    <x v="6"/>
    <m/>
  </r>
  <r>
    <x v="471"/>
    <d v="2026-06-15T00:00:00"/>
    <d v="2026-06-16T00:00:00"/>
    <d v="2026-06-20T00:00:00"/>
    <d v="2026-06-20T00:00:00"/>
    <x v="2"/>
    <x v="11"/>
    <x v="2"/>
    <x v="0"/>
    <n v="634.5"/>
    <n v="996.4"/>
    <n v="8393000"/>
    <b v="0"/>
    <b v="0"/>
    <n v="1500"/>
    <b v="0"/>
    <b v="0"/>
    <b v="0"/>
    <x v="0"/>
    <x v="41"/>
    <n v="66.426666666666662"/>
    <n v="0"/>
    <n v="0"/>
    <n v="4"/>
    <x v="1"/>
    <m/>
  </r>
  <r>
    <x v="472"/>
    <d v="2026-05-11T00:00:00"/>
    <d v="2026-05-12T00:00:00"/>
    <d v="2026-05-16T00:00:00"/>
    <d v="2026-05-16T00:00:00"/>
    <x v="3"/>
    <x v="9"/>
    <x v="2"/>
    <x v="1"/>
    <n v="995.3"/>
    <n v="3763.4"/>
    <n v="13747000"/>
    <b v="0"/>
    <b v="0"/>
    <n v="5000"/>
    <b v="0"/>
    <b v="0"/>
    <b v="0"/>
    <x v="0"/>
    <x v="31"/>
    <n v="75.268000000000001"/>
    <n v="0"/>
    <n v="0"/>
    <n v="4"/>
    <x v="2"/>
    <m/>
  </r>
  <r>
    <x v="473"/>
    <d v="2026-05-01T00:00:00"/>
    <d v="2026-05-02T00:00:00"/>
    <d v="2026-05-04T00:00:00"/>
    <d v="2026-05-04T00:00:00"/>
    <x v="2"/>
    <x v="2"/>
    <x v="5"/>
    <x v="0"/>
    <n v="250.7"/>
    <n v="800.7"/>
    <n v="3674000"/>
    <b v="0"/>
    <b v="0"/>
    <n v="1500"/>
    <b v="0"/>
    <b v="0"/>
    <b v="0"/>
    <x v="0"/>
    <x v="29"/>
    <n v="53.38"/>
    <n v="0"/>
    <n v="0"/>
    <n v="2"/>
    <x v="2"/>
    <m/>
  </r>
  <r>
    <x v="474"/>
    <d v="2026-01-08T00:00:00"/>
    <d v="2026-01-10T00:00:00"/>
    <d v="2026-01-13T00:00:00"/>
    <d v="2026-01-13T00:00:00"/>
    <x v="1"/>
    <x v="2"/>
    <x v="2"/>
    <x v="3"/>
    <n v="314"/>
    <n v="609.70000000000005"/>
    <n v="3228000"/>
    <b v="0"/>
    <b v="0"/>
    <n v="1000"/>
    <b v="0"/>
    <b v="0"/>
    <b v="0"/>
    <x v="0"/>
    <x v="2"/>
    <n v="60.97"/>
    <n v="0"/>
    <n v="0"/>
    <n v="3"/>
    <x v="3"/>
    <m/>
  </r>
  <r>
    <x v="475"/>
    <d v="2026-02-25T00:00:00"/>
    <d v="2026-02-25T00:00:00"/>
    <d v="2026-02-27T00:00:00"/>
    <m/>
    <x v="3"/>
    <x v="4"/>
    <x v="1"/>
    <x v="0"/>
    <n v="136.4"/>
    <n v="1183.2"/>
    <n v="2031000"/>
    <b v="0"/>
    <b v="0"/>
    <n v="1500"/>
    <b v="0"/>
    <b v="0"/>
    <b v="0"/>
    <x v="2"/>
    <x v="46"/>
    <n v="78.88000000000001"/>
    <n v="0"/>
    <n v="0"/>
    <m/>
    <x v="5"/>
    <m/>
  </r>
  <r>
    <x v="476"/>
    <d v="2026-04-07T00:00:00"/>
    <d v="2026-04-08T00:00:00"/>
    <d v="2026-04-09T00:00:00"/>
    <d v="2026-04-09T00:00:00"/>
    <x v="1"/>
    <x v="8"/>
    <x v="4"/>
    <x v="1"/>
    <n v="53"/>
    <n v="3244.3"/>
    <n v="2513000"/>
    <b v="0"/>
    <b v="0"/>
    <n v="5000"/>
    <b v="0"/>
    <b v="0"/>
    <b v="0"/>
    <x v="0"/>
    <x v="28"/>
    <n v="64.885999999999996"/>
    <n v="0"/>
    <n v="0"/>
    <n v="1"/>
    <x v="4"/>
    <m/>
  </r>
  <r>
    <x v="477"/>
    <d v="2026-05-28T00:00:00"/>
    <d v="2026-05-28T00:00:00"/>
    <d v="2026-05-30T00:00:00"/>
    <d v="2026-05-30T00:00:00"/>
    <x v="0"/>
    <x v="1"/>
    <x v="5"/>
    <x v="2"/>
    <n v="249.5"/>
    <n v="8087.2"/>
    <n v="7928000"/>
    <b v="0"/>
    <b v="0"/>
    <n v="16000"/>
    <b v="0"/>
    <b v="0"/>
    <b v="0"/>
    <x v="0"/>
    <x v="1"/>
    <n v="50.544999999999987"/>
    <n v="0"/>
    <n v="0"/>
    <n v="2"/>
    <x v="2"/>
    <m/>
  </r>
  <r>
    <x v="478"/>
    <d v="2026-03-04T00:00:00"/>
    <d v="2026-03-05T00:00:00"/>
    <d v="2026-03-09T00:00:00"/>
    <d v="2026-03-08T00:00:00"/>
    <x v="3"/>
    <x v="8"/>
    <x v="3"/>
    <x v="2"/>
    <n v="618"/>
    <n v="11230.8"/>
    <n v="15964000"/>
    <b v="0"/>
    <b v="0"/>
    <n v="16000"/>
    <b v="0"/>
    <b v="0"/>
    <b v="0"/>
    <x v="0"/>
    <x v="15"/>
    <n v="70.192499999999995"/>
    <n v="0"/>
    <n v="0"/>
    <n v="3"/>
    <x v="6"/>
    <m/>
  </r>
  <r>
    <x v="479"/>
    <d v="2026-01-23T00:00:00"/>
    <d v="2026-01-24T00:00:00"/>
    <d v="2026-01-28T00:00:00"/>
    <d v="2026-01-29T00:00:00"/>
    <x v="2"/>
    <x v="4"/>
    <x v="0"/>
    <x v="0"/>
    <n v="678"/>
    <n v="371.8"/>
    <n v="7387000"/>
    <b v="0"/>
    <b v="0"/>
    <n v="1500"/>
    <b v="0"/>
    <b v="0"/>
    <b v="0"/>
    <x v="1"/>
    <x v="4"/>
    <n v="24.786666666666669"/>
    <n v="0"/>
    <n v="0"/>
    <n v="5"/>
    <x v="3"/>
    <n v="1"/>
  </r>
  <r>
    <x v="480"/>
    <d v="2026-01-23T00:00:00"/>
    <d v="2026-01-25T00:00:00"/>
    <d v="2026-01-29T00:00:00"/>
    <d v="2026-01-29T00:00:00"/>
    <x v="2"/>
    <x v="4"/>
    <x v="5"/>
    <x v="0"/>
    <n v="733.1"/>
    <n v="1385.2"/>
    <n v="9072000"/>
    <b v="0"/>
    <b v="0"/>
    <n v="1500"/>
    <b v="0"/>
    <b v="0"/>
    <b v="0"/>
    <x v="0"/>
    <x v="4"/>
    <n v="92.346666666666664"/>
    <n v="0"/>
    <n v="0"/>
    <n v="4"/>
    <x v="3"/>
    <m/>
  </r>
  <r>
    <x v="481"/>
    <d v="2026-01-09T00:00:00"/>
    <d v="2026-01-11T00:00:00"/>
    <d v="2026-01-14T00:00:00"/>
    <d v="2026-01-15T00:00:00"/>
    <x v="2"/>
    <x v="1"/>
    <x v="5"/>
    <x v="3"/>
    <n v="304.7"/>
    <n v="101.8"/>
    <n v="3196000"/>
    <b v="0"/>
    <b v="0"/>
    <n v="1000"/>
    <b v="0"/>
    <b v="0"/>
    <b v="0"/>
    <x v="1"/>
    <x v="16"/>
    <n v="10.18"/>
    <n v="0"/>
    <n v="0"/>
    <n v="4"/>
    <x v="3"/>
    <n v="1"/>
  </r>
  <r>
    <x v="482"/>
    <d v="2026-01-16T00:00:00"/>
    <d v="2026-01-18T00:00:00"/>
    <d v="2026-01-22T00:00:00"/>
    <d v="2026-01-22T00:00:00"/>
    <x v="2"/>
    <x v="11"/>
    <x v="5"/>
    <x v="3"/>
    <n v="579.6"/>
    <n v="514"/>
    <n v="6151000"/>
    <b v="0"/>
    <b v="0"/>
    <n v="1000"/>
    <b v="0"/>
    <b v="0"/>
    <b v="0"/>
    <x v="0"/>
    <x v="41"/>
    <n v="51.4"/>
    <n v="0"/>
    <n v="0"/>
    <n v="4"/>
    <x v="3"/>
    <m/>
  </r>
  <r>
    <x v="483"/>
    <d v="2026-05-06T00:00:00"/>
    <d v="2026-05-07T00:00:00"/>
    <d v="2026-05-10T00:00:00"/>
    <d v="2026-05-10T00:00:00"/>
    <x v="2"/>
    <x v="2"/>
    <x v="5"/>
    <x v="0"/>
    <n v="313.5"/>
    <n v="1159.2"/>
    <n v="4269000"/>
    <b v="0"/>
    <b v="0"/>
    <n v="1500"/>
    <b v="0"/>
    <b v="0"/>
    <b v="0"/>
    <x v="0"/>
    <x v="29"/>
    <n v="77.28"/>
    <n v="0"/>
    <n v="0"/>
    <n v="3"/>
    <x v="2"/>
    <m/>
  </r>
  <r>
    <x v="484"/>
    <d v="2026-04-02T00:00:00"/>
    <d v="2026-04-03T00:00:00"/>
    <d v="2026-04-07T00:00:00"/>
    <d v="2026-04-07T00:00:00"/>
    <x v="1"/>
    <x v="11"/>
    <x v="0"/>
    <x v="1"/>
    <n v="632"/>
    <n v="973.2"/>
    <n v="7674000"/>
    <b v="0"/>
    <b v="0"/>
    <n v="5000"/>
    <b v="0"/>
    <b v="0"/>
    <b v="0"/>
    <x v="0"/>
    <x v="33"/>
    <n v="19.463999999999999"/>
    <n v="0"/>
    <n v="0"/>
    <n v="4"/>
    <x v="4"/>
    <m/>
  </r>
  <r>
    <x v="485"/>
    <d v="2026-05-24T00:00:00"/>
    <d v="2026-05-25T00:00:00"/>
    <d v="2026-05-28T00:00:00"/>
    <d v="2026-05-28T00:00:00"/>
    <x v="0"/>
    <x v="5"/>
    <x v="1"/>
    <x v="3"/>
    <n v="179.6"/>
    <n v="712.2"/>
    <n v="2140000"/>
    <b v="0"/>
    <b v="0"/>
    <n v="1000"/>
    <b v="0"/>
    <b v="0"/>
    <b v="0"/>
    <x v="0"/>
    <x v="8"/>
    <n v="71.22"/>
    <n v="0"/>
    <n v="0"/>
    <n v="3"/>
    <x v="2"/>
    <m/>
  </r>
  <r>
    <x v="486"/>
    <d v="2026-03-22T00:00:00"/>
    <d v="2026-03-23T00:00:00"/>
    <d v="2026-03-27T00:00:00"/>
    <d v="2026-03-27T00:00:00"/>
    <x v="1"/>
    <x v="11"/>
    <x v="3"/>
    <x v="3"/>
    <n v="652.5"/>
    <n v="86.4"/>
    <n v="5847000"/>
    <b v="0"/>
    <b v="0"/>
    <n v="1000"/>
    <b v="0"/>
    <b v="0"/>
    <b v="0"/>
    <x v="0"/>
    <x v="33"/>
    <n v="8.64"/>
    <n v="0"/>
    <n v="0"/>
    <n v="4"/>
    <x v="6"/>
    <m/>
  </r>
  <r>
    <x v="487"/>
    <d v="2026-03-09T00:00:00"/>
    <d v="2026-03-10T00:00:00"/>
    <d v="2026-03-11T00:00:00"/>
    <d v="2026-03-11T00:00:00"/>
    <x v="2"/>
    <x v="10"/>
    <x v="3"/>
    <x v="0"/>
    <n v="58.1"/>
    <n v="404.1"/>
    <n v="976000"/>
    <b v="0"/>
    <b v="0"/>
    <n v="1500"/>
    <b v="0"/>
    <b v="0"/>
    <b v="0"/>
    <x v="0"/>
    <x v="34"/>
    <n v="26.94"/>
    <n v="0"/>
    <n v="0"/>
    <n v="1"/>
    <x v="6"/>
    <m/>
  </r>
  <r>
    <x v="488"/>
    <d v="2026-02-24T00:00:00"/>
    <d v="2026-02-25T00:00:00"/>
    <d v="2026-02-28T00:00:00"/>
    <d v="2026-02-28T00:00:00"/>
    <x v="3"/>
    <x v="8"/>
    <x v="2"/>
    <x v="2"/>
    <n v="574.5"/>
    <n v="4531.6000000000004"/>
    <n v="14573000"/>
    <b v="0"/>
    <b v="0"/>
    <n v="16000"/>
    <b v="0"/>
    <b v="0"/>
    <b v="0"/>
    <x v="0"/>
    <x v="15"/>
    <n v="28.322500000000002"/>
    <n v="0"/>
    <n v="0"/>
    <n v="3"/>
    <x v="5"/>
    <m/>
  </r>
  <r>
    <x v="489"/>
    <d v="2026-04-04T00:00:00"/>
    <d v="2026-04-04T00:00:00"/>
    <d v="2026-04-08T00:00:00"/>
    <d v="2026-04-08T00:00:00"/>
    <x v="1"/>
    <x v="4"/>
    <x v="5"/>
    <x v="1"/>
    <n v="715.6"/>
    <n v="1051.0999999999999"/>
    <n v="10420000"/>
    <b v="0"/>
    <b v="0"/>
    <n v="5000"/>
    <b v="0"/>
    <b v="0"/>
    <b v="0"/>
    <x v="0"/>
    <x v="38"/>
    <n v="21.021999999999998"/>
    <n v="0"/>
    <n v="0"/>
    <n v="4"/>
    <x v="4"/>
    <m/>
  </r>
  <r>
    <x v="490"/>
    <d v="2026-06-28T00:00:00"/>
    <d v="2026-06-28T00:00:00"/>
    <d v="2026-07-01T00:00:00"/>
    <d v="2026-07-01T00:00:00"/>
    <x v="1"/>
    <x v="5"/>
    <x v="5"/>
    <x v="1"/>
    <n v="305.39999999999998"/>
    <n v="1698"/>
    <n v="5122000"/>
    <b v="0"/>
    <b v="0"/>
    <n v="5000"/>
    <b v="0"/>
    <b v="0"/>
    <b v="0"/>
    <x v="0"/>
    <x v="5"/>
    <n v="33.96"/>
    <n v="0"/>
    <n v="0"/>
    <n v="3"/>
    <x v="1"/>
    <m/>
  </r>
  <r>
    <x v="491"/>
    <d v="2026-05-18T00:00:00"/>
    <d v="2026-05-19T00:00:00"/>
    <d v="2026-05-20T00:00:00"/>
    <m/>
    <x v="3"/>
    <x v="11"/>
    <x v="3"/>
    <x v="1"/>
    <n v="26.5"/>
    <n v="2168.1999999999998"/>
    <n v="2146000"/>
    <b v="0"/>
    <b v="0"/>
    <n v="5000"/>
    <b v="0"/>
    <b v="0"/>
    <b v="0"/>
    <x v="2"/>
    <x v="39"/>
    <n v="43.363999999999997"/>
    <n v="0"/>
    <n v="0"/>
    <m/>
    <x v="2"/>
    <m/>
  </r>
  <r>
    <x v="492"/>
    <d v="2026-06-13T00:00:00"/>
    <d v="2026-06-14T00:00:00"/>
    <d v="2026-06-16T00:00:00"/>
    <d v="2026-06-16T00:00:00"/>
    <x v="1"/>
    <x v="10"/>
    <x v="5"/>
    <x v="1"/>
    <n v="27.4"/>
    <n v="1210.2"/>
    <n v="1555000"/>
    <b v="0"/>
    <b v="0"/>
    <n v="5000"/>
    <b v="0"/>
    <b v="0"/>
    <b v="0"/>
    <x v="0"/>
    <x v="27"/>
    <n v="24.204000000000001"/>
    <n v="0"/>
    <n v="0"/>
    <n v="2"/>
    <x v="1"/>
    <m/>
  </r>
  <r>
    <x v="493"/>
    <d v="2026-04-19T00:00:00"/>
    <d v="2026-04-20T00:00:00"/>
    <d v="2026-04-21T00:00:00"/>
    <d v="2026-04-22T00:00:00"/>
    <x v="2"/>
    <x v="8"/>
    <x v="1"/>
    <x v="2"/>
    <n v="13.4"/>
    <n v="5628.6"/>
    <n v="2700000"/>
    <b v="0"/>
    <b v="0"/>
    <n v="16000"/>
    <b v="0"/>
    <b v="0"/>
    <b v="0"/>
    <x v="1"/>
    <x v="18"/>
    <n v="35.178750000000001"/>
    <n v="0"/>
    <n v="0"/>
    <n v="2"/>
    <x v="4"/>
    <n v="1"/>
  </r>
  <r>
    <x v="494"/>
    <d v="2026-01-16T00:00:00"/>
    <d v="2026-01-17T00:00:00"/>
    <d v="2026-01-20T00:00:00"/>
    <d v="2026-01-20T00:00:00"/>
    <x v="1"/>
    <x v="5"/>
    <x v="3"/>
    <x v="0"/>
    <n v="332.5"/>
    <n v="909.2"/>
    <n v="4413000"/>
    <b v="0"/>
    <b v="0"/>
    <n v="1500"/>
    <b v="0"/>
    <b v="0"/>
    <b v="0"/>
    <x v="0"/>
    <x v="5"/>
    <n v="60.613333333333337"/>
    <n v="0"/>
    <n v="0"/>
    <n v="3"/>
    <x v="3"/>
    <m/>
  </r>
  <r>
    <x v="495"/>
    <d v="2026-04-02T00:00:00"/>
    <d v="2026-04-03T00:00:00"/>
    <d v="2026-04-07T00:00:00"/>
    <m/>
    <x v="1"/>
    <x v="3"/>
    <x v="3"/>
    <x v="2"/>
    <n v="865.2"/>
    <n v="4531.1000000000004"/>
    <n v="17094000"/>
    <b v="0"/>
    <b v="0"/>
    <n v="16000"/>
    <b v="0"/>
    <b v="0"/>
    <b v="0"/>
    <x v="2"/>
    <x v="35"/>
    <n v="28.319375000000001"/>
    <n v="0"/>
    <n v="0"/>
    <m/>
    <x v="4"/>
    <m/>
  </r>
  <r>
    <x v="496"/>
    <d v="2026-05-01T00:00:00"/>
    <d v="2026-05-02T00:00:00"/>
    <d v="2026-05-04T00:00:00"/>
    <d v="2026-05-06T00:00:00"/>
    <x v="1"/>
    <x v="7"/>
    <x v="1"/>
    <x v="0"/>
    <n v="140.6"/>
    <n v="969.4"/>
    <n v="2250000"/>
    <b v="0"/>
    <b v="0"/>
    <n v="1500"/>
    <b v="0"/>
    <b v="0"/>
    <b v="0"/>
    <x v="1"/>
    <x v="26"/>
    <n v="64.626666666666665"/>
    <n v="0"/>
    <n v="0"/>
    <n v="4"/>
    <x v="2"/>
    <n v="2"/>
  </r>
  <r>
    <x v="497"/>
    <d v="2026-01-15T00:00:00"/>
    <d v="2026-01-16T00:00:00"/>
    <d v="2026-01-19T00:00:00"/>
    <d v="2026-01-18T00:00:00"/>
    <x v="3"/>
    <x v="8"/>
    <x v="2"/>
    <x v="3"/>
    <n v="587.6"/>
    <n v="795.5"/>
    <n v="6217000"/>
    <b v="0"/>
    <b v="0"/>
    <n v="1000"/>
    <b v="0"/>
    <b v="0"/>
    <b v="0"/>
    <x v="0"/>
    <x v="15"/>
    <n v="79.55"/>
    <n v="0"/>
    <n v="0"/>
    <n v="2"/>
    <x v="3"/>
    <m/>
  </r>
  <r>
    <x v="498"/>
    <d v="2026-01-19T00:00:00"/>
    <d v="2026-01-19T00:00:00"/>
    <d v="2026-01-20T00:00:00"/>
    <d v="2026-01-20T00:00:00"/>
    <x v="2"/>
    <x v="8"/>
    <x v="5"/>
    <x v="2"/>
    <n v="13.3"/>
    <n v="14443"/>
    <n v="5388000"/>
    <b v="0"/>
    <b v="0"/>
    <n v="16000"/>
    <b v="0"/>
    <b v="0"/>
    <b v="0"/>
    <x v="0"/>
    <x v="18"/>
    <n v="90.268749999999997"/>
    <n v="0"/>
    <n v="0"/>
    <n v="1"/>
    <x v="3"/>
    <m/>
  </r>
  <r>
    <x v="499"/>
    <d v="2026-03-29T00:00:00"/>
    <d v="2026-03-30T00:00:00"/>
    <d v="2026-04-03T00:00:00"/>
    <d v="2026-04-04T00:00:00"/>
    <x v="3"/>
    <x v="9"/>
    <x v="3"/>
    <x v="3"/>
    <n v="776.2"/>
    <n v="856.4"/>
    <n v="8598000"/>
    <b v="0"/>
    <b v="0"/>
    <n v="1000"/>
    <b v="0"/>
    <b v="0"/>
    <b v="0"/>
    <x v="1"/>
    <x v="31"/>
    <n v="85.64"/>
    <n v="0"/>
    <n v="0"/>
    <n v="5"/>
    <x v="6"/>
    <n v="1"/>
  </r>
  <r>
    <x v="500"/>
    <d v="2026-02-13T00:00:00"/>
    <d v="2026-02-14T00:00:00"/>
    <d v="2026-02-18T00:00:00"/>
    <d v="2026-02-18T00:00:00"/>
    <x v="2"/>
    <x v="11"/>
    <x v="2"/>
    <x v="1"/>
    <n v="644.9"/>
    <n v="3643.7"/>
    <n v="11398000"/>
    <b v="0"/>
    <b v="0"/>
    <n v="5000"/>
    <b v="0"/>
    <b v="0"/>
    <b v="0"/>
    <x v="0"/>
    <x v="41"/>
    <n v="72.873999999999995"/>
    <n v="0"/>
    <n v="0"/>
    <n v="4"/>
    <x v="5"/>
    <m/>
  </r>
  <r>
    <x v="501"/>
    <d v="2026-03-15T00:00:00"/>
    <d v="2026-03-16T00:00:00"/>
    <d v="2026-03-19T00:00:00"/>
    <d v="2026-03-19T00:00:00"/>
    <x v="0"/>
    <x v="0"/>
    <x v="2"/>
    <x v="1"/>
    <n v="338.7"/>
    <n v="2843.2"/>
    <n v="5792000"/>
    <b v="0"/>
    <b v="0"/>
    <n v="5000"/>
    <b v="0"/>
    <b v="0"/>
    <b v="0"/>
    <x v="0"/>
    <x v="0"/>
    <n v="56.86399999999999"/>
    <n v="0"/>
    <n v="0"/>
    <n v="3"/>
    <x v="6"/>
    <m/>
  </r>
  <r>
    <x v="502"/>
    <d v="2026-01-14T00:00:00"/>
    <d v="2026-01-15T00:00:00"/>
    <d v="2026-01-16T00:00:00"/>
    <d v="2026-01-17T00:00:00"/>
    <x v="0"/>
    <x v="6"/>
    <x v="2"/>
    <x v="3"/>
    <n v="20.9"/>
    <n v="746.5"/>
    <n v="928000"/>
    <b v="0"/>
    <b v="0"/>
    <n v="1000"/>
    <b v="0"/>
    <b v="0"/>
    <b v="0"/>
    <x v="1"/>
    <x v="19"/>
    <n v="74.650000000000006"/>
    <n v="0"/>
    <n v="0"/>
    <n v="2"/>
    <x v="3"/>
    <n v="1"/>
  </r>
  <r>
    <x v="503"/>
    <d v="2026-01-23T00:00:00"/>
    <d v="2026-01-25T00:00:00"/>
    <d v="2026-01-27T00:00:00"/>
    <d v="2026-01-27T00:00:00"/>
    <x v="0"/>
    <x v="1"/>
    <x v="5"/>
    <x v="1"/>
    <n v="256"/>
    <n v="535.5"/>
    <n v="4170000"/>
    <b v="0"/>
    <b v="0"/>
    <n v="5000"/>
    <b v="0"/>
    <b v="0"/>
    <b v="0"/>
    <x v="0"/>
    <x v="1"/>
    <n v="10.71"/>
    <n v="0"/>
    <n v="0"/>
    <n v="2"/>
    <x v="3"/>
    <m/>
  </r>
  <r>
    <x v="504"/>
    <d v="2026-04-02T00:00:00"/>
    <d v="2026-04-04T00:00:00"/>
    <d v="2026-04-07T00:00:00"/>
    <d v="2026-04-07T00:00:00"/>
    <x v="2"/>
    <x v="5"/>
    <x v="3"/>
    <x v="2"/>
    <n v="317.2"/>
    <n v="13161.1"/>
    <n v="8577000"/>
    <b v="0"/>
    <b v="0"/>
    <n v="16000"/>
    <b v="0"/>
    <b v="0"/>
    <b v="0"/>
    <x v="0"/>
    <x v="17"/>
    <n v="82.256875000000008"/>
    <n v="0"/>
    <n v="0"/>
    <n v="3"/>
    <x v="4"/>
    <m/>
  </r>
  <r>
    <x v="505"/>
    <d v="2026-02-01T00:00:00"/>
    <d v="2026-02-02T00:00:00"/>
    <d v="2026-02-04T00:00:00"/>
    <d v="2026-02-04T00:00:00"/>
    <x v="1"/>
    <x v="7"/>
    <x v="5"/>
    <x v="1"/>
    <n v="155"/>
    <n v="2067.8000000000002"/>
    <n v="4056000"/>
    <b v="0"/>
    <b v="0"/>
    <n v="5000"/>
    <b v="0"/>
    <b v="0"/>
    <b v="0"/>
    <x v="0"/>
    <x v="26"/>
    <n v="41.356000000000002"/>
    <n v="0"/>
    <n v="0"/>
    <n v="2"/>
    <x v="5"/>
    <m/>
  </r>
  <r>
    <x v="506"/>
    <d v="2026-06-24T00:00:00"/>
    <d v="2026-06-25T00:00:00"/>
    <d v="2026-06-27T00:00:00"/>
    <d v="2026-06-27T00:00:00"/>
    <x v="1"/>
    <x v="7"/>
    <x v="1"/>
    <x v="1"/>
    <n v="153.6"/>
    <n v="2599"/>
    <n v="3352000"/>
    <b v="0"/>
    <b v="0"/>
    <n v="5000"/>
    <b v="0"/>
    <b v="0"/>
    <b v="0"/>
    <x v="0"/>
    <x v="26"/>
    <n v="51.98"/>
    <n v="0"/>
    <n v="0"/>
    <n v="2"/>
    <x v="1"/>
    <m/>
  </r>
  <r>
    <x v="507"/>
    <d v="2026-01-04T00:00:00"/>
    <d v="2026-01-06T00:00:00"/>
    <d v="2026-01-08T00:00:00"/>
    <d v="2026-01-08T00:00:00"/>
    <x v="2"/>
    <x v="7"/>
    <x v="3"/>
    <x v="1"/>
    <n v="172.1"/>
    <n v="2620.6"/>
    <n v="3780000"/>
    <b v="0"/>
    <b v="0"/>
    <n v="5000"/>
    <b v="0"/>
    <b v="0"/>
    <b v="0"/>
    <x v="0"/>
    <x v="10"/>
    <n v="52.412000000000013"/>
    <n v="0"/>
    <n v="0"/>
    <n v="2"/>
    <x v="3"/>
    <m/>
  </r>
  <r>
    <x v="508"/>
    <d v="2026-06-23T00:00:00"/>
    <d v="2026-06-24T00:00:00"/>
    <d v="2026-06-27T00:00:00"/>
    <d v="2026-06-29T00:00:00"/>
    <x v="0"/>
    <x v="11"/>
    <x v="1"/>
    <x v="1"/>
    <n v="475.7"/>
    <n v="3022.5"/>
    <n v="7803000"/>
    <b v="0"/>
    <b v="0"/>
    <n v="5000"/>
    <b v="0"/>
    <b v="0"/>
    <b v="0"/>
    <x v="1"/>
    <x v="36"/>
    <n v="60.45"/>
    <n v="0"/>
    <n v="0"/>
    <n v="5"/>
    <x v="1"/>
    <n v="2"/>
  </r>
  <r>
    <x v="509"/>
    <d v="2026-01-09T00:00:00"/>
    <d v="2026-01-10T00:00:00"/>
    <d v="2026-01-15T00:00:00"/>
    <d v="2026-01-15T00:00:00"/>
    <x v="3"/>
    <x v="10"/>
    <x v="1"/>
    <x v="0"/>
    <n v="612.20000000000005"/>
    <n v="1206"/>
    <n v="7164000"/>
    <b v="0"/>
    <b v="0"/>
    <n v="1500"/>
    <b v="0"/>
    <b v="0"/>
    <b v="0"/>
    <x v="0"/>
    <x v="32"/>
    <n v="80.400000000000006"/>
    <n v="0"/>
    <n v="0"/>
    <n v="5"/>
    <x v="3"/>
    <m/>
  </r>
  <r>
    <x v="510"/>
    <d v="2026-02-14T00:00:00"/>
    <d v="2026-02-15T00:00:00"/>
    <d v="2026-02-17T00:00:00"/>
    <d v="2026-02-17T00:00:00"/>
    <x v="1"/>
    <x v="6"/>
    <x v="3"/>
    <x v="1"/>
    <n v="160.9"/>
    <n v="2791.9"/>
    <n v="3919000"/>
    <b v="0"/>
    <b v="0"/>
    <n v="5000"/>
    <b v="0"/>
    <b v="0"/>
    <b v="0"/>
    <x v="0"/>
    <x v="9"/>
    <n v="55.838000000000001"/>
    <n v="0"/>
    <n v="0"/>
    <n v="2"/>
    <x v="5"/>
    <m/>
  </r>
  <r>
    <x v="511"/>
    <d v="2026-05-11T00:00:00"/>
    <d v="2026-05-13T00:00:00"/>
    <d v="2026-05-17T00:00:00"/>
    <d v="2026-05-18T00:00:00"/>
    <x v="3"/>
    <x v="10"/>
    <x v="0"/>
    <x v="2"/>
    <n v="624"/>
    <n v="7168"/>
    <n v="12156000"/>
    <b v="0"/>
    <b v="0"/>
    <n v="16000"/>
    <b v="0"/>
    <b v="0"/>
    <b v="0"/>
    <x v="1"/>
    <x v="32"/>
    <n v="44.8"/>
    <n v="0"/>
    <n v="0"/>
    <n v="5"/>
    <x v="2"/>
    <n v="1"/>
  </r>
  <r>
    <x v="512"/>
    <d v="2026-06-22T00:00:00"/>
    <d v="2026-06-23T00:00:00"/>
    <d v="2026-06-25T00:00:00"/>
    <d v="2026-06-27T00:00:00"/>
    <x v="1"/>
    <x v="0"/>
    <x v="1"/>
    <x v="1"/>
    <n v="299.2"/>
    <n v="2069.1999999999998"/>
    <n v="5347000"/>
    <b v="0"/>
    <b v="0"/>
    <n v="5000"/>
    <b v="0"/>
    <b v="0"/>
    <b v="0"/>
    <x v="1"/>
    <x v="12"/>
    <n v="41.384"/>
    <n v="0"/>
    <n v="0"/>
    <n v="4"/>
    <x v="1"/>
    <n v="2"/>
  </r>
  <r>
    <x v="513"/>
    <d v="2026-06-13T00:00:00"/>
    <d v="2026-06-14T00:00:00"/>
    <d v="2026-06-17T00:00:00"/>
    <d v="2026-06-18T00:00:00"/>
    <x v="0"/>
    <x v="0"/>
    <x v="0"/>
    <x v="1"/>
    <n v="352.6"/>
    <n v="3543.7"/>
    <n v="5940000"/>
    <b v="0"/>
    <b v="0"/>
    <n v="5000"/>
    <b v="0"/>
    <b v="0"/>
    <b v="0"/>
    <x v="1"/>
    <x v="0"/>
    <n v="70.873999999999995"/>
    <n v="0"/>
    <n v="0"/>
    <n v="4"/>
    <x v="1"/>
    <n v="1"/>
  </r>
  <r>
    <x v="514"/>
    <d v="2026-05-16T00:00:00"/>
    <d v="2026-05-17T00:00:00"/>
    <d v="2026-05-19T00:00:00"/>
    <d v="2026-05-19T00:00:00"/>
    <x v="2"/>
    <x v="0"/>
    <x v="1"/>
    <x v="1"/>
    <n v="287.89999999999998"/>
    <n v="3651"/>
    <n v="5499000"/>
    <b v="0"/>
    <b v="0"/>
    <n v="5000"/>
    <b v="0"/>
    <b v="0"/>
    <b v="0"/>
    <x v="0"/>
    <x v="7"/>
    <n v="73.02"/>
    <n v="0"/>
    <n v="0"/>
    <n v="2"/>
    <x v="2"/>
    <m/>
  </r>
  <r>
    <x v="515"/>
    <d v="2026-04-23T00:00:00"/>
    <d v="2026-04-23T00:00:00"/>
    <d v="2026-04-25T00:00:00"/>
    <d v="2026-04-26T00:00:00"/>
    <x v="2"/>
    <x v="2"/>
    <x v="2"/>
    <x v="3"/>
    <n v="297.2"/>
    <n v="638.70000000000005"/>
    <n v="3062000"/>
    <b v="0"/>
    <b v="0"/>
    <n v="1000"/>
    <b v="0"/>
    <b v="0"/>
    <b v="0"/>
    <x v="1"/>
    <x v="29"/>
    <n v="63.87"/>
    <n v="0"/>
    <n v="0"/>
    <n v="3"/>
    <x v="4"/>
    <n v="1"/>
  </r>
  <r>
    <x v="516"/>
    <d v="2026-02-13T00:00:00"/>
    <d v="2026-02-14T00:00:00"/>
    <d v="2026-02-17T00:00:00"/>
    <d v="2026-02-17T00:00:00"/>
    <x v="3"/>
    <x v="1"/>
    <x v="5"/>
    <x v="2"/>
    <n v="560.79999999999995"/>
    <n v="6751.6"/>
    <n v="12373000"/>
    <b v="0"/>
    <b v="0"/>
    <n v="16000"/>
    <b v="0"/>
    <b v="0"/>
    <b v="0"/>
    <x v="0"/>
    <x v="21"/>
    <n v="42.197500000000012"/>
    <n v="0"/>
    <n v="0"/>
    <n v="3"/>
    <x v="5"/>
    <m/>
  </r>
  <r>
    <x v="517"/>
    <d v="2026-02-24T00:00:00"/>
    <d v="2026-02-26T00:00:00"/>
    <d v="2026-03-01T00:00:00"/>
    <d v="2026-03-03T00:00:00"/>
    <x v="1"/>
    <x v="2"/>
    <x v="2"/>
    <x v="1"/>
    <n v="350"/>
    <n v="3316.1"/>
    <n v="6304000"/>
    <b v="0"/>
    <b v="0"/>
    <n v="5000"/>
    <b v="0"/>
    <b v="0"/>
    <b v="0"/>
    <x v="1"/>
    <x v="2"/>
    <n v="66.322000000000003"/>
    <n v="0"/>
    <n v="0"/>
    <n v="5"/>
    <x v="5"/>
    <n v="2"/>
  </r>
  <r>
    <x v="518"/>
    <d v="2026-04-19T00:00:00"/>
    <d v="2026-04-21T00:00:00"/>
    <d v="2026-04-25T00:00:00"/>
    <d v="2026-04-25T00:00:00"/>
    <x v="1"/>
    <x v="2"/>
    <x v="2"/>
    <x v="1"/>
    <n v="338.7"/>
    <n v="3800.6"/>
    <n v="6558000"/>
    <b v="0"/>
    <b v="0"/>
    <n v="5000"/>
    <b v="0"/>
    <b v="0"/>
    <b v="0"/>
    <x v="0"/>
    <x v="2"/>
    <n v="76.012"/>
    <n v="0"/>
    <n v="0"/>
    <n v="4"/>
    <x v="4"/>
    <m/>
  </r>
  <r>
    <x v="519"/>
    <d v="2026-06-18T00:00:00"/>
    <d v="2026-06-19T00:00:00"/>
    <d v="2026-06-21T00:00:00"/>
    <d v="2026-06-21T00:00:00"/>
    <x v="1"/>
    <x v="0"/>
    <x v="3"/>
    <x v="0"/>
    <n v="271.5"/>
    <n v="514.70000000000005"/>
    <n v="3172000"/>
    <b v="0"/>
    <b v="0"/>
    <n v="1500"/>
    <b v="0"/>
    <b v="0"/>
    <b v="0"/>
    <x v="0"/>
    <x v="12"/>
    <n v="34.313333333333333"/>
    <n v="0"/>
    <n v="0"/>
    <n v="2"/>
    <x v="1"/>
    <m/>
  </r>
  <r>
    <x v="520"/>
    <d v="2026-02-03T00:00:00"/>
    <d v="2026-02-03T00:00:00"/>
    <d v="2026-02-07T00:00:00"/>
    <d v="2026-02-07T00:00:00"/>
    <x v="1"/>
    <x v="4"/>
    <x v="0"/>
    <x v="0"/>
    <n v="712.1"/>
    <n v="1398.8"/>
    <n v="6708000"/>
    <b v="0"/>
    <b v="0"/>
    <n v="1500"/>
    <b v="0"/>
    <b v="0"/>
    <b v="0"/>
    <x v="0"/>
    <x v="38"/>
    <n v="93.253333333333316"/>
    <n v="0"/>
    <n v="0"/>
    <n v="4"/>
    <x v="5"/>
    <m/>
  </r>
  <r>
    <x v="521"/>
    <d v="2026-05-07T00:00:00"/>
    <d v="2026-05-07T00:00:00"/>
    <d v="2026-05-08T00:00:00"/>
    <d v="2026-05-08T00:00:00"/>
    <x v="0"/>
    <x v="6"/>
    <x v="5"/>
    <x v="1"/>
    <n v="13.1"/>
    <n v="3694.1"/>
    <n v="2135000"/>
    <b v="0"/>
    <b v="0"/>
    <n v="5000"/>
    <b v="0"/>
    <b v="0"/>
    <b v="0"/>
    <x v="0"/>
    <x v="19"/>
    <n v="73.882000000000005"/>
    <n v="0"/>
    <n v="0"/>
    <n v="1"/>
    <x v="2"/>
    <m/>
  </r>
  <r>
    <x v="522"/>
    <d v="2026-05-05T00:00:00"/>
    <d v="2026-05-06T00:00:00"/>
    <d v="2026-05-10T00:00:00"/>
    <d v="2026-05-10T00:00:00"/>
    <x v="0"/>
    <x v="3"/>
    <x v="0"/>
    <x v="0"/>
    <n v="1039.5999999999999"/>
    <n v="180.4"/>
    <n v="9664000"/>
    <b v="0"/>
    <b v="0"/>
    <n v="1500"/>
    <b v="0"/>
    <b v="0"/>
    <b v="0"/>
    <x v="0"/>
    <x v="47"/>
    <n v="12.026666666666671"/>
    <n v="0"/>
    <n v="0"/>
    <n v="4"/>
    <x v="2"/>
    <m/>
  </r>
  <r>
    <x v="523"/>
    <d v="2026-05-24T00:00:00"/>
    <d v="2026-05-24T00:00:00"/>
    <d v="2026-05-28T00:00:00"/>
    <d v="2026-05-28T00:00:00"/>
    <x v="2"/>
    <x v="4"/>
    <x v="5"/>
    <x v="3"/>
    <n v="695.8"/>
    <n v="828.9"/>
    <n v="7712000"/>
    <b v="0"/>
    <b v="0"/>
    <n v="1000"/>
    <b v="0"/>
    <b v="0"/>
    <b v="0"/>
    <x v="0"/>
    <x v="4"/>
    <n v="82.89"/>
    <n v="0"/>
    <n v="0"/>
    <n v="4"/>
    <x v="2"/>
    <m/>
  </r>
  <r>
    <x v="524"/>
    <d v="2026-05-25T00:00:00"/>
    <d v="2026-05-26T00:00:00"/>
    <d v="2026-05-29T00:00:00"/>
    <d v="2026-05-29T00:00:00"/>
    <x v="0"/>
    <x v="7"/>
    <x v="0"/>
    <x v="1"/>
    <n v="304.60000000000002"/>
    <n v="4196.6000000000004"/>
    <n v="6559000"/>
    <b v="0"/>
    <b v="0"/>
    <n v="5000"/>
    <b v="0"/>
    <b v="0"/>
    <b v="0"/>
    <x v="0"/>
    <x v="45"/>
    <n v="83.932000000000002"/>
    <n v="0"/>
    <n v="0"/>
    <n v="3"/>
    <x v="2"/>
    <m/>
  </r>
  <r>
    <x v="525"/>
    <d v="2026-05-31T00:00:00"/>
    <d v="2026-05-31T00:00:00"/>
    <d v="2026-06-03T00:00:00"/>
    <d v="2026-06-03T00:00:00"/>
    <x v="2"/>
    <x v="2"/>
    <x v="3"/>
    <x v="0"/>
    <n v="314.3"/>
    <n v="841.1"/>
    <n v="3752000"/>
    <b v="0"/>
    <b v="0"/>
    <n v="1500"/>
    <b v="0"/>
    <b v="0"/>
    <b v="0"/>
    <x v="0"/>
    <x v="29"/>
    <n v="56.073333333333331"/>
    <n v="0"/>
    <n v="0"/>
    <n v="3"/>
    <x v="2"/>
    <m/>
  </r>
  <r>
    <x v="526"/>
    <d v="2026-03-05T00:00:00"/>
    <d v="2026-03-06T00:00:00"/>
    <d v="2026-03-08T00:00:00"/>
    <d v="2026-03-09T00:00:00"/>
    <x v="2"/>
    <x v="2"/>
    <x v="1"/>
    <x v="0"/>
    <n v="296.5"/>
    <n v="161.6"/>
    <n v="3441000"/>
    <b v="0"/>
    <b v="0"/>
    <n v="1500"/>
    <b v="0"/>
    <b v="0"/>
    <b v="0"/>
    <x v="1"/>
    <x v="29"/>
    <n v="10.77333333333333"/>
    <n v="0"/>
    <n v="0"/>
    <n v="3"/>
    <x v="6"/>
    <n v="1"/>
  </r>
  <r>
    <x v="527"/>
    <d v="2026-05-19T00:00:00"/>
    <d v="2026-05-20T00:00:00"/>
    <d v="2026-05-23T00:00:00"/>
    <d v="2026-05-24T00:00:00"/>
    <x v="3"/>
    <x v="6"/>
    <x v="2"/>
    <x v="2"/>
    <n v="471.7"/>
    <n v="5222.8999999999996"/>
    <n v="10645000"/>
    <b v="0"/>
    <b v="0"/>
    <n v="16000"/>
    <b v="0"/>
    <b v="0"/>
    <b v="0"/>
    <x v="1"/>
    <x v="13"/>
    <n v="32.643124999999998"/>
    <n v="0"/>
    <n v="0"/>
    <n v="4"/>
    <x v="2"/>
    <n v="1"/>
  </r>
  <r>
    <x v="528"/>
    <d v="2026-02-01T00:00:00"/>
    <d v="2026-02-02T00:00:00"/>
    <d v="2026-02-05T00:00:00"/>
    <d v="2026-02-05T00:00:00"/>
    <x v="0"/>
    <x v="7"/>
    <x v="5"/>
    <x v="2"/>
    <n v="287.7"/>
    <n v="6918.1"/>
    <n v="8953000"/>
    <b v="0"/>
    <b v="0"/>
    <n v="16000"/>
    <b v="0"/>
    <b v="0"/>
    <b v="0"/>
    <x v="0"/>
    <x v="45"/>
    <n v="43.238124999999997"/>
    <n v="0"/>
    <n v="0"/>
    <n v="3"/>
    <x v="5"/>
    <m/>
  </r>
  <r>
    <x v="529"/>
    <d v="2026-04-08T00:00:00"/>
    <d v="2026-04-08T00:00:00"/>
    <d v="2026-04-12T00:00:00"/>
    <d v="2026-04-12T00:00:00"/>
    <x v="1"/>
    <x v="3"/>
    <x v="0"/>
    <x v="1"/>
    <n v="911.1"/>
    <n v="796.1"/>
    <n v="12285000"/>
    <b v="0"/>
    <b v="0"/>
    <n v="5000"/>
    <b v="0"/>
    <b v="0"/>
    <b v="0"/>
    <x v="0"/>
    <x v="35"/>
    <n v="15.922000000000001"/>
    <n v="0"/>
    <n v="0"/>
    <n v="4"/>
    <x v="4"/>
    <m/>
  </r>
  <r>
    <x v="530"/>
    <d v="2026-06-17T00:00:00"/>
    <d v="2026-06-18T00:00:00"/>
    <d v="2026-06-22T00:00:00"/>
    <d v="2026-06-25T00:00:00"/>
    <x v="0"/>
    <x v="3"/>
    <x v="2"/>
    <x v="1"/>
    <n v="981.8"/>
    <n v="2917.2"/>
    <n v="14020000"/>
    <b v="0"/>
    <b v="0"/>
    <n v="5000"/>
    <b v="0"/>
    <b v="0"/>
    <b v="0"/>
    <x v="1"/>
    <x v="47"/>
    <n v="58.343999999999987"/>
    <n v="0"/>
    <n v="0"/>
    <n v="7"/>
    <x v="1"/>
    <n v="3"/>
  </r>
  <r>
    <x v="531"/>
    <d v="2026-03-16T00:00:00"/>
    <d v="2026-03-17T00:00:00"/>
    <d v="2026-03-19T00:00:00"/>
    <d v="2026-03-19T00:00:00"/>
    <x v="1"/>
    <x v="7"/>
    <x v="3"/>
    <x v="3"/>
    <n v="154.6"/>
    <n v="575.29999999999995"/>
    <n v="2059000"/>
    <b v="0"/>
    <b v="0"/>
    <n v="1000"/>
    <b v="0"/>
    <b v="0"/>
    <b v="0"/>
    <x v="0"/>
    <x v="26"/>
    <n v="57.529999999999987"/>
    <n v="0"/>
    <n v="0"/>
    <n v="2"/>
    <x v="6"/>
    <m/>
  </r>
  <r>
    <x v="532"/>
    <d v="2026-02-28T00:00:00"/>
    <d v="2026-03-01T00:00:00"/>
    <d v="2026-03-03T00:00:00"/>
    <d v="2026-03-03T00:00:00"/>
    <x v="1"/>
    <x v="0"/>
    <x v="3"/>
    <x v="2"/>
    <n v="273.10000000000002"/>
    <n v="5616.7"/>
    <n v="8171000"/>
    <b v="0"/>
    <b v="0"/>
    <n v="16000"/>
    <b v="0"/>
    <b v="0"/>
    <b v="0"/>
    <x v="0"/>
    <x v="12"/>
    <n v="35.104374999999997"/>
    <n v="0"/>
    <n v="0"/>
    <n v="2"/>
    <x v="6"/>
    <m/>
  </r>
  <r>
    <x v="533"/>
    <d v="2026-03-23T00:00:00"/>
    <d v="2026-03-24T00:00:00"/>
    <d v="2026-03-26T00:00:00"/>
    <d v="2026-03-26T00:00:00"/>
    <x v="2"/>
    <x v="6"/>
    <x v="0"/>
    <x v="1"/>
    <n v="130.80000000000001"/>
    <n v="3324.5"/>
    <n v="3204000"/>
    <b v="0"/>
    <b v="0"/>
    <n v="5000"/>
    <b v="0"/>
    <b v="0"/>
    <b v="0"/>
    <x v="0"/>
    <x v="6"/>
    <n v="66.490000000000009"/>
    <n v="0"/>
    <n v="0"/>
    <n v="2"/>
    <x v="6"/>
    <m/>
  </r>
  <r>
    <x v="534"/>
    <d v="2026-03-27T00:00:00"/>
    <d v="2026-03-27T00:00:00"/>
    <d v="2026-03-29T00:00:00"/>
    <d v="2026-03-29T00:00:00"/>
    <x v="0"/>
    <x v="5"/>
    <x v="2"/>
    <x v="1"/>
    <n v="170.9"/>
    <n v="983.3"/>
    <n v="3043000"/>
    <b v="0"/>
    <b v="0"/>
    <n v="5000"/>
    <b v="0"/>
    <b v="0"/>
    <b v="0"/>
    <x v="0"/>
    <x v="8"/>
    <n v="19.666"/>
    <n v="0"/>
    <n v="0"/>
    <n v="2"/>
    <x v="6"/>
    <m/>
  </r>
  <r>
    <x v="535"/>
    <d v="2026-05-27T00:00:00"/>
    <d v="2026-05-29T00:00:00"/>
    <d v="2026-06-02T00:00:00"/>
    <d v="2026-06-02T00:00:00"/>
    <x v="1"/>
    <x v="9"/>
    <x v="2"/>
    <x v="2"/>
    <n v="473.6"/>
    <n v="6445.8"/>
    <n v="10931000"/>
    <b v="0"/>
    <b v="0"/>
    <n v="16000"/>
    <b v="0"/>
    <b v="0"/>
    <b v="0"/>
    <x v="0"/>
    <x v="24"/>
    <n v="40.286250000000003"/>
    <n v="0"/>
    <n v="0"/>
    <n v="4"/>
    <x v="2"/>
    <m/>
  </r>
  <r>
    <x v="536"/>
    <d v="2026-06-05T00:00:00"/>
    <d v="2026-06-07T00:00:00"/>
    <d v="2026-06-10T00:00:00"/>
    <d v="2026-06-10T00:00:00"/>
    <x v="3"/>
    <x v="8"/>
    <x v="2"/>
    <x v="1"/>
    <n v="567.79999999999995"/>
    <n v="2392.5"/>
    <n v="8684000"/>
    <b v="0"/>
    <b v="0"/>
    <n v="5000"/>
    <b v="0"/>
    <b v="0"/>
    <b v="0"/>
    <x v="0"/>
    <x v="15"/>
    <n v="47.85"/>
    <n v="0"/>
    <n v="0"/>
    <n v="3"/>
    <x v="1"/>
    <m/>
  </r>
  <r>
    <x v="537"/>
    <d v="2026-01-08T00:00:00"/>
    <d v="2026-01-09T00:00:00"/>
    <d v="2026-01-13T00:00:00"/>
    <d v="2026-01-14T00:00:00"/>
    <x v="3"/>
    <x v="10"/>
    <x v="5"/>
    <x v="2"/>
    <n v="648.9"/>
    <n v="2507.1"/>
    <n v="12468000"/>
    <b v="0"/>
    <b v="0"/>
    <n v="16000"/>
    <b v="0"/>
    <b v="0"/>
    <b v="0"/>
    <x v="1"/>
    <x v="32"/>
    <n v="15.669375"/>
    <n v="0"/>
    <n v="0"/>
    <n v="5"/>
    <x v="3"/>
    <n v="1"/>
  </r>
  <r>
    <x v="538"/>
    <d v="2026-02-02T00:00:00"/>
    <d v="2026-02-03T00:00:00"/>
    <d v="2026-02-05T00:00:00"/>
    <d v="2026-02-05T00:00:00"/>
    <x v="0"/>
    <x v="5"/>
    <x v="5"/>
    <x v="3"/>
    <n v="151.9"/>
    <n v="543.6"/>
    <n v="2074000"/>
    <b v="0"/>
    <b v="0"/>
    <n v="1000"/>
    <b v="0"/>
    <b v="0"/>
    <b v="0"/>
    <x v="0"/>
    <x v="8"/>
    <n v="54.36"/>
    <n v="0"/>
    <n v="0"/>
    <n v="2"/>
    <x v="5"/>
    <m/>
  </r>
  <r>
    <x v="539"/>
    <d v="2026-02-15T00:00:00"/>
    <d v="2026-02-16T00:00:00"/>
    <d v="2026-02-20T00:00:00"/>
    <d v="2026-02-20T00:00:00"/>
    <x v="3"/>
    <x v="8"/>
    <x v="3"/>
    <x v="0"/>
    <n v="606.6"/>
    <n v="851.3"/>
    <n v="5516000"/>
    <b v="0"/>
    <b v="0"/>
    <n v="1500"/>
    <b v="0"/>
    <b v="0"/>
    <b v="0"/>
    <x v="0"/>
    <x v="15"/>
    <n v="56.75333333333333"/>
    <n v="0"/>
    <n v="0"/>
    <n v="4"/>
    <x v="5"/>
    <m/>
  </r>
  <r>
    <x v="540"/>
    <d v="2026-02-15T00:00:00"/>
    <d v="2026-02-16T00:00:00"/>
    <d v="2026-02-19T00:00:00"/>
    <d v="2026-02-19T00:00:00"/>
    <x v="0"/>
    <x v="9"/>
    <x v="3"/>
    <x v="1"/>
    <n v="566.79999999999995"/>
    <n v="3847"/>
    <n v="9635000"/>
    <b v="0"/>
    <b v="0"/>
    <n v="5000"/>
    <b v="0"/>
    <b v="0"/>
    <b v="0"/>
    <x v="0"/>
    <x v="44"/>
    <n v="76.94"/>
    <n v="0"/>
    <n v="0"/>
    <n v="3"/>
    <x v="5"/>
    <m/>
  </r>
  <r>
    <x v="541"/>
    <d v="2026-03-18T00:00:00"/>
    <d v="2026-03-18T00:00:00"/>
    <d v="2026-03-23T00:00:00"/>
    <d v="2026-03-23T00:00:00"/>
    <x v="3"/>
    <x v="7"/>
    <x v="0"/>
    <x v="1"/>
    <n v="705.6"/>
    <n v="2689.7"/>
    <n v="10942000"/>
    <b v="0"/>
    <b v="0"/>
    <n v="5000"/>
    <b v="0"/>
    <b v="0"/>
    <b v="0"/>
    <x v="0"/>
    <x v="40"/>
    <n v="53.793999999999997"/>
    <n v="0"/>
    <n v="0"/>
    <n v="5"/>
    <x v="6"/>
    <m/>
  </r>
  <r>
    <x v="542"/>
    <d v="2026-04-27T00:00:00"/>
    <d v="2026-04-28T00:00:00"/>
    <d v="2026-05-01T00:00:00"/>
    <d v="2026-05-01T00:00:00"/>
    <x v="0"/>
    <x v="11"/>
    <x v="0"/>
    <x v="1"/>
    <n v="457.3"/>
    <n v="2606.4"/>
    <n v="7289000"/>
    <b v="0"/>
    <b v="0"/>
    <n v="5000"/>
    <b v="0"/>
    <b v="0"/>
    <b v="0"/>
    <x v="0"/>
    <x v="36"/>
    <n v="52.128"/>
    <n v="0"/>
    <n v="0"/>
    <n v="3"/>
    <x v="4"/>
    <m/>
  </r>
  <r>
    <x v="543"/>
    <d v="2026-06-02T00:00:00"/>
    <d v="2026-06-02T00:00:00"/>
    <d v="2026-06-07T00:00:00"/>
    <d v="2026-06-07T00:00:00"/>
    <x v="0"/>
    <x v="3"/>
    <x v="3"/>
    <x v="1"/>
    <n v="1104"/>
    <n v="3875.2"/>
    <n v="15945000"/>
    <b v="0"/>
    <b v="0"/>
    <n v="5000"/>
    <b v="0"/>
    <b v="0"/>
    <b v="0"/>
    <x v="0"/>
    <x v="47"/>
    <n v="77.503999999999991"/>
    <n v="0"/>
    <n v="0"/>
    <n v="5"/>
    <x v="1"/>
    <m/>
  </r>
  <r>
    <x v="544"/>
    <d v="2026-01-18T00:00:00"/>
    <d v="2026-01-20T00:00:00"/>
    <d v="2026-01-23T00:00:00"/>
    <d v="2026-01-23T00:00:00"/>
    <x v="1"/>
    <x v="2"/>
    <x v="5"/>
    <x v="2"/>
    <n v="326.3"/>
    <n v="11091.7"/>
    <n v="8472000"/>
    <b v="0"/>
    <b v="0"/>
    <n v="16000"/>
    <b v="0"/>
    <b v="0"/>
    <b v="0"/>
    <x v="0"/>
    <x v="2"/>
    <n v="69.323125000000005"/>
    <n v="0"/>
    <n v="0"/>
    <n v="3"/>
    <x v="3"/>
    <m/>
  </r>
  <r>
    <x v="545"/>
    <d v="2026-05-31T00:00:00"/>
    <d v="2026-06-01T00:00:00"/>
    <d v="2026-06-05T00:00:00"/>
    <d v="2026-06-05T00:00:00"/>
    <x v="1"/>
    <x v="11"/>
    <x v="3"/>
    <x v="0"/>
    <n v="607.1"/>
    <n v="274.8"/>
    <n v="6581000"/>
    <b v="0"/>
    <b v="0"/>
    <n v="1500"/>
    <b v="0"/>
    <b v="0"/>
    <b v="0"/>
    <x v="0"/>
    <x v="33"/>
    <n v="18.32"/>
    <n v="0"/>
    <n v="0"/>
    <n v="4"/>
    <x v="1"/>
    <m/>
  </r>
  <r>
    <x v="546"/>
    <d v="2026-05-14T00:00:00"/>
    <d v="2026-05-14T00:00:00"/>
    <d v="2026-05-17T00:00:00"/>
    <d v="2026-05-17T00:00:00"/>
    <x v="0"/>
    <x v="1"/>
    <x v="0"/>
    <x v="0"/>
    <n v="243.6"/>
    <n v="378.4"/>
    <n v="2780000"/>
    <b v="0"/>
    <b v="0"/>
    <n v="1500"/>
    <b v="0"/>
    <b v="0"/>
    <b v="0"/>
    <x v="0"/>
    <x v="1"/>
    <n v="25.226666666666659"/>
    <n v="0"/>
    <n v="0"/>
    <n v="3"/>
    <x v="2"/>
    <m/>
  </r>
  <r>
    <x v="547"/>
    <d v="2026-06-10T00:00:00"/>
    <d v="2026-06-12T00:00:00"/>
    <d v="2026-06-15T00:00:00"/>
    <d v="2026-06-14T00:00:00"/>
    <x v="1"/>
    <x v="2"/>
    <x v="3"/>
    <x v="2"/>
    <n v="326"/>
    <n v="6473.9"/>
    <n v="7036000"/>
    <b v="0"/>
    <b v="0"/>
    <n v="16000"/>
    <b v="0"/>
    <b v="0"/>
    <b v="0"/>
    <x v="0"/>
    <x v="2"/>
    <n v="40.461874999999999"/>
    <n v="0"/>
    <n v="0"/>
    <n v="2"/>
    <x v="1"/>
    <m/>
  </r>
  <r>
    <x v="548"/>
    <d v="2026-04-05T00:00:00"/>
    <d v="2026-04-06T00:00:00"/>
    <d v="2026-04-10T00:00:00"/>
    <d v="2026-04-10T00:00:00"/>
    <x v="0"/>
    <x v="0"/>
    <x v="5"/>
    <x v="0"/>
    <n v="355.1"/>
    <n v="993.2"/>
    <n v="4705000"/>
    <b v="0"/>
    <b v="0"/>
    <n v="1500"/>
    <b v="0"/>
    <b v="0"/>
    <b v="0"/>
    <x v="0"/>
    <x v="0"/>
    <n v="66.213333333333338"/>
    <n v="0"/>
    <n v="0"/>
    <n v="4"/>
    <x v="4"/>
    <m/>
  </r>
  <r>
    <x v="549"/>
    <d v="2026-06-14T00:00:00"/>
    <d v="2026-06-15T00:00:00"/>
    <d v="2026-06-18T00:00:00"/>
    <d v="2026-06-18T00:00:00"/>
    <x v="1"/>
    <x v="5"/>
    <x v="1"/>
    <x v="0"/>
    <n v="342.9"/>
    <n v="371.4"/>
    <n v="4347000"/>
    <b v="0"/>
    <b v="0"/>
    <n v="1500"/>
    <b v="0"/>
    <b v="0"/>
    <b v="0"/>
    <x v="0"/>
    <x v="5"/>
    <n v="24.76"/>
    <n v="0"/>
    <n v="0"/>
    <n v="3"/>
    <x v="1"/>
    <m/>
  </r>
  <r>
    <x v="550"/>
    <d v="2026-02-11T00:00:00"/>
    <d v="2026-02-12T00:00:00"/>
    <d v="2026-02-15T00:00:00"/>
    <d v="2026-02-15T00:00:00"/>
    <x v="2"/>
    <x v="7"/>
    <x v="2"/>
    <x v="1"/>
    <n v="189.8"/>
    <n v="3940.8"/>
    <n v="4778000"/>
    <b v="0"/>
    <b v="0"/>
    <n v="5000"/>
    <b v="0"/>
    <b v="0"/>
    <b v="0"/>
    <x v="0"/>
    <x v="10"/>
    <n v="78.816000000000003"/>
    <n v="0"/>
    <n v="0"/>
    <n v="3"/>
    <x v="5"/>
    <m/>
  </r>
  <r>
    <x v="551"/>
    <d v="2026-01-26T00:00:00"/>
    <d v="2026-01-26T00:00:00"/>
    <d v="2026-01-29T00:00:00"/>
    <d v="2026-01-29T00:00:00"/>
    <x v="3"/>
    <x v="2"/>
    <x v="1"/>
    <x v="3"/>
    <n v="314"/>
    <n v="479.8"/>
    <n v="3564000"/>
    <b v="0"/>
    <b v="0"/>
    <n v="1000"/>
    <b v="0"/>
    <b v="0"/>
    <b v="0"/>
    <x v="0"/>
    <x v="14"/>
    <n v="47.98"/>
    <n v="0"/>
    <n v="0"/>
    <n v="3"/>
    <x v="3"/>
    <m/>
  </r>
  <r>
    <x v="552"/>
    <d v="2026-06-19T00:00:00"/>
    <d v="2026-06-20T00:00:00"/>
    <d v="2026-06-22T00:00:00"/>
    <d v="2026-06-23T00:00:00"/>
    <x v="1"/>
    <x v="8"/>
    <x v="2"/>
    <x v="1"/>
    <n v="48.3"/>
    <n v="2948.8"/>
    <n v="2510000"/>
    <b v="0"/>
    <b v="0"/>
    <n v="5000"/>
    <b v="0"/>
    <b v="0"/>
    <b v="0"/>
    <x v="1"/>
    <x v="28"/>
    <n v="58.976000000000013"/>
    <n v="0"/>
    <n v="0"/>
    <n v="3"/>
    <x v="1"/>
    <n v="1"/>
  </r>
  <r>
    <x v="553"/>
    <d v="2026-05-07T00:00:00"/>
    <d v="2026-05-08T00:00:00"/>
    <d v="2026-05-11T00:00:00"/>
    <d v="2026-05-11T00:00:00"/>
    <x v="1"/>
    <x v="5"/>
    <x v="2"/>
    <x v="2"/>
    <n v="328.3"/>
    <n v="8451.2999999999993"/>
    <n v="8668000"/>
    <b v="0"/>
    <b v="0"/>
    <n v="16000"/>
    <b v="0"/>
    <b v="0"/>
    <b v="0"/>
    <x v="0"/>
    <x v="5"/>
    <n v="52.820625"/>
    <n v="0"/>
    <n v="0"/>
    <n v="3"/>
    <x v="2"/>
    <m/>
  </r>
  <r>
    <x v="554"/>
    <d v="2026-04-22T00:00:00"/>
    <d v="2026-04-23T00:00:00"/>
    <d v="2026-04-25T00:00:00"/>
    <d v="2026-04-27T00:00:00"/>
    <x v="2"/>
    <x v="7"/>
    <x v="2"/>
    <x v="3"/>
    <n v="202.9"/>
    <n v="119.8"/>
    <n v="2264000"/>
    <b v="0"/>
    <b v="0"/>
    <n v="1000"/>
    <b v="0"/>
    <b v="0"/>
    <b v="0"/>
    <x v="1"/>
    <x v="10"/>
    <n v="11.98"/>
    <n v="0"/>
    <n v="0"/>
    <n v="4"/>
    <x v="4"/>
    <n v="2"/>
  </r>
  <r>
    <x v="555"/>
    <d v="2026-05-14T00:00:00"/>
    <d v="2026-05-15T00:00:00"/>
    <d v="2026-05-19T00:00:00"/>
    <d v="2026-05-20T00:00:00"/>
    <x v="2"/>
    <x v="4"/>
    <x v="5"/>
    <x v="1"/>
    <n v="727.4"/>
    <n v="1355.7"/>
    <n v="10574000"/>
    <b v="0"/>
    <b v="0"/>
    <n v="5000"/>
    <b v="0"/>
    <b v="0"/>
    <b v="0"/>
    <x v="1"/>
    <x v="4"/>
    <n v="27.114000000000001"/>
    <n v="0"/>
    <n v="0"/>
    <n v="5"/>
    <x v="2"/>
    <n v="1"/>
  </r>
  <r>
    <x v="556"/>
    <d v="2026-01-17T00:00:00"/>
    <d v="2026-01-18T00:00:00"/>
    <d v="2026-01-22T00:00:00"/>
    <d v="2026-01-22T00:00:00"/>
    <x v="2"/>
    <x v="3"/>
    <x v="0"/>
    <x v="2"/>
    <n v="942.5"/>
    <n v="12702.4"/>
    <n v="21901000"/>
    <b v="0"/>
    <b v="0"/>
    <n v="16000"/>
    <b v="0"/>
    <b v="0"/>
    <b v="0"/>
    <x v="0"/>
    <x v="3"/>
    <n v="79.39"/>
    <n v="0"/>
    <n v="0"/>
    <n v="4"/>
    <x v="3"/>
    <m/>
  </r>
  <r>
    <x v="557"/>
    <d v="2026-05-24T00:00:00"/>
    <d v="2026-05-25T00:00:00"/>
    <d v="2026-05-26T00:00:00"/>
    <d v="2026-05-26T00:00:00"/>
    <x v="2"/>
    <x v="8"/>
    <x v="3"/>
    <x v="3"/>
    <n v="27.2"/>
    <n v="745.2"/>
    <n v="1046000"/>
    <b v="0"/>
    <b v="0"/>
    <n v="1000"/>
    <b v="0"/>
    <b v="0"/>
    <b v="0"/>
    <x v="0"/>
    <x v="18"/>
    <n v="74.52000000000001"/>
    <n v="0"/>
    <n v="0"/>
    <n v="1"/>
    <x v="2"/>
    <m/>
  </r>
  <r>
    <x v="558"/>
    <d v="2026-06-30T00:00:00"/>
    <d v="2026-07-01T00:00:00"/>
    <d v="2026-07-06T00:00:00"/>
    <d v="2026-07-07T00:00:00"/>
    <x v="1"/>
    <x v="11"/>
    <x v="5"/>
    <x v="0"/>
    <n v="609.70000000000005"/>
    <n v="1394.7"/>
    <n v="6877000"/>
    <b v="0"/>
    <b v="0"/>
    <n v="1500"/>
    <b v="0"/>
    <b v="0"/>
    <b v="0"/>
    <x v="1"/>
    <x v="33"/>
    <n v="92.98"/>
    <n v="0"/>
    <n v="0"/>
    <n v="6"/>
    <x v="0"/>
    <n v="1"/>
  </r>
  <r>
    <x v="559"/>
    <d v="2026-05-31T00:00:00"/>
    <d v="2026-06-01T00:00:00"/>
    <d v="2026-06-03T00:00:00"/>
    <d v="2026-06-02T00:00:00"/>
    <x v="0"/>
    <x v="2"/>
    <x v="0"/>
    <x v="1"/>
    <n v="190.6"/>
    <n v="571.20000000000005"/>
    <n v="3903000"/>
    <b v="0"/>
    <b v="0"/>
    <n v="5000"/>
    <b v="0"/>
    <b v="0"/>
    <b v="0"/>
    <x v="0"/>
    <x v="23"/>
    <n v="11.423999999999999"/>
    <n v="0"/>
    <n v="0"/>
    <n v="1"/>
    <x v="1"/>
    <m/>
  </r>
  <r>
    <x v="560"/>
    <d v="2026-06-25T00:00:00"/>
    <d v="2026-06-26T00:00:00"/>
    <d v="2026-06-29T00:00:00"/>
    <d v="2026-06-29T00:00:00"/>
    <x v="1"/>
    <x v="1"/>
    <x v="0"/>
    <x v="3"/>
    <n v="306.89999999999998"/>
    <n v="788.1"/>
    <n v="3729000"/>
    <b v="0"/>
    <b v="0"/>
    <n v="1000"/>
    <b v="0"/>
    <b v="0"/>
    <b v="0"/>
    <x v="0"/>
    <x v="25"/>
    <n v="78.81"/>
    <n v="0"/>
    <n v="0"/>
    <n v="3"/>
    <x v="1"/>
    <m/>
  </r>
  <r>
    <x v="561"/>
    <d v="2026-03-04T00:00:00"/>
    <d v="2026-03-05T00:00:00"/>
    <d v="2026-03-07T00:00:00"/>
    <d v="2026-03-07T00:00:00"/>
    <x v="1"/>
    <x v="7"/>
    <x v="2"/>
    <x v="1"/>
    <n v="143.6"/>
    <n v="1623.9"/>
    <n v="2725000"/>
    <b v="0"/>
    <b v="0"/>
    <n v="5000"/>
    <b v="0"/>
    <b v="0"/>
    <b v="0"/>
    <x v="0"/>
    <x v="26"/>
    <n v="32.478000000000002"/>
    <n v="0"/>
    <n v="0"/>
    <n v="2"/>
    <x v="6"/>
    <m/>
  </r>
  <r>
    <x v="562"/>
    <d v="2026-05-04T00:00:00"/>
    <d v="2026-05-04T00:00:00"/>
    <d v="2026-05-08T00:00:00"/>
    <d v="2026-05-08T00:00:00"/>
    <x v="0"/>
    <x v="3"/>
    <x v="2"/>
    <x v="1"/>
    <n v="1059"/>
    <n v="3953.3"/>
    <n v="16076000"/>
    <b v="0"/>
    <b v="0"/>
    <n v="5000"/>
    <b v="0"/>
    <b v="0"/>
    <b v="0"/>
    <x v="0"/>
    <x v="47"/>
    <n v="79.066000000000003"/>
    <n v="0"/>
    <n v="0"/>
    <n v="4"/>
    <x v="2"/>
    <m/>
  </r>
  <r>
    <x v="563"/>
    <d v="2026-04-26T00:00:00"/>
    <d v="2026-04-26T00:00:00"/>
    <d v="2026-04-30T00:00:00"/>
    <d v="2026-04-30T00:00:00"/>
    <x v="3"/>
    <x v="8"/>
    <x v="3"/>
    <x v="1"/>
    <n v="607.6"/>
    <n v="1129"/>
    <n v="9480000"/>
    <b v="0"/>
    <b v="0"/>
    <n v="5000"/>
    <b v="0"/>
    <b v="0"/>
    <b v="0"/>
    <x v="0"/>
    <x v="15"/>
    <n v="22.58"/>
    <n v="0"/>
    <n v="0"/>
    <n v="4"/>
    <x v="4"/>
    <m/>
  </r>
  <r>
    <x v="564"/>
    <d v="2026-01-01T00:00:00"/>
    <d v="2026-01-02T00:00:00"/>
    <d v="2026-01-05T00:00:00"/>
    <d v="2026-01-05T00:00:00"/>
    <x v="0"/>
    <x v="2"/>
    <x v="1"/>
    <x v="2"/>
    <n v="190.3"/>
    <n v="3225.5"/>
    <n v="6061000"/>
    <b v="0"/>
    <b v="0"/>
    <n v="16000"/>
    <b v="0"/>
    <b v="0"/>
    <b v="0"/>
    <x v="0"/>
    <x v="23"/>
    <n v="20.159375000000001"/>
    <n v="0"/>
    <n v="0"/>
    <n v="3"/>
    <x v="3"/>
    <m/>
  </r>
  <r>
    <x v="565"/>
    <d v="2026-01-22T00:00:00"/>
    <d v="2026-01-24T00:00:00"/>
    <d v="2026-01-28T00:00:00"/>
    <d v="2026-01-28T00:00:00"/>
    <x v="3"/>
    <x v="8"/>
    <x v="3"/>
    <x v="1"/>
    <n v="627.70000000000005"/>
    <n v="3302.9"/>
    <n v="9956000"/>
    <b v="0"/>
    <b v="0"/>
    <n v="5000"/>
    <b v="0"/>
    <b v="0"/>
    <b v="0"/>
    <x v="0"/>
    <x v="15"/>
    <n v="66.058000000000007"/>
    <n v="0"/>
    <n v="0"/>
    <n v="4"/>
    <x v="3"/>
    <m/>
  </r>
  <r>
    <x v="566"/>
    <d v="2026-05-24T00:00:00"/>
    <d v="2026-05-26T00:00:00"/>
    <d v="2026-05-27T00:00:00"/>
    <d v="2026-05-27T00:00:00"/>
    <x v="1"/>
    <x v="10"/>
    <x v="0"/>
    <x v="3"/>
    <n v="23.5"/>
    <n v="481.8"/>
    <n v="734000"/>
    <b v="0"/>
    <b v="0"/>
    <n v="1000"/>
    <b v="0"/>
    <b v="0"/>
    <b v="0"/>
    <x v="0"/>
    <x v="27"/>
    <n v="48.18"/>
    <n v="0"/>
    <n v="0"/>
    <n v="1"/>
    <x v="2"/>
    <m/>
  </r>
  <r>
    <x v="567"/>
    <d v="2026-03-21T00:00:00"/>
    <d v="2026-03-23T00:00:00"/>
    <d v="2026-03-27T00:00:00"/>
    <d v="2026-03-28T00:00:00"/>
    <x v="3"/>
    <x v="9"/>
    <x v="0"/>
    <x v="0"/>
    <n v="973.3"/>
    <n v="1371"/>
    <n v="10878000"/>
    <b v="0"/>
    <b v="0"/>
    <n v="1500"/>
    <b v="0"/>
    <b v="0"/>
    <b v="0"/>
    <x v="1"/>
    <x v="31"/>
    <n v="91.4"/>
    <n v="0"/>
    <n v="0"/>
    <n v="5"/>
    <x v="6"/>
    <n v="1"/>
  </r>
  <r>
    <x v="568"/>
    <d v="2026-06-04T00:00:00"/>
    <d v="2026-06-05T00:00:00"/>
    <d v="2026-06-08T00:00:00"/>
    <d v="2026-06-08T00:00:00"/>
    <x v="1"/>
    <x v="5"/>
    <x v="3"/>
    <x v="3"/>
    <n v="175.8"/>
    <n v="728.3"/>
    <n v="2097000"/>
    <b v="0"/>
    <b v="0"/>
    <n v="1000"/>
    <b v="0"/>
    <b v="0"/>
    <b v="0"/>
    <x v="0"/>
    <x v="5"/>
    <n v="72.83"/>
    <n v="0"/>
    <n v="0"/>
    <n v="3"/>
    <x v="1"/>
    <m/>
  </r>
  <r>
    <x v="569"/>
    <d v="2026-06-02T00:00:00"/>
    <d v="2026-06-03T00:00:00"/>
    <d v="2026-06-05T00:00:00"/>
    <d v="2026-06-05T00:00:00"/>
    <x v="0"/>
    <x v="7"/>
    <x v="0"/>
    <x v="1"/>
    <n v="290.5"/>
    <n v="3783.1"/>
    <n v="5632000"/>
    <b v="0"/>
    <b v="0"/>
    <n v="5000"/>
    <b v="0"/>
    <b v="0"/>
    <b v="0"/>
    <x v="0"/>
    <x v="45"/>
    <n v="75.661999999999992"/>
    <n v="0"/>
    <n v="0"/>
    <n v="2"/>
    <x v="1"/>
    <m/>
  </r>
  <r>
    <x v="570"/>
    <d v="2026-05-11T00:00:00"/>
    <d v="2026-05-12T00:00:00"/>
    <d v="2026-05-13T00:00:00"/>
    <d v="2026-05-15T00:00:00"/>
    <x v="2"/>
    <x v="8"/>
    <x v="2"/>
    <x v="1"/>
    <n v="22.9"/>
    <n v="3155.8"/>
    <n v="2567000"/>
    <b v="0"/>
    <b v="0"/>
    <n v="5000"/>
    <b v="0"/>
    <b v="0"/>
    <b v="0"/>
    <x v="1"/>
    <x v="18"/>
    <n v="63.116000000000007"/>
    <n v="0"/>
    <n v="0"/>
    <n v="3"/>
    <x v="2"/>
    <n v="2"/>
  </r>
  <r>
    <x v="571"/>
    <d v="2026-02-09T00:00:00"/>
    <d v="2026-02-10T00:00:00"/>
    <d v="2026-02-11T00:00:00"/>
    <d v="2026-02-11T00:00:00"/>
    <x v="0"/>
    <x v="6"/>
    <x v="2"/>
    <x v="1"/>
    <n v="23.2"/>
    <n v="2026.2"/>
    <n v="2149000"/>
    <b v="0"/>
    <b v="0"/>
    <n v="5000"/>
    <b v="0"/>
    <b v="0"/>
    <b v="0"/>
    <x v="0"/>
    <x v="19"/>
    <n v="40.524000000000001"/>
    <n v="0"/>
    <n v="0"/>
    <n v="1"/>
    <x v="5"/>
    <m/>
  </r>
  <r>
    <x v="572"/>
    <d v="2026-01-03T00:00:00"/>
    <d v="2026-01-05T00:00:00"/>
    <d v="2026-01-09T00:00:00"/>
    <d v="2026-01-09T00:00:00"/>
    <x v="2"/>
    <x v="3"/>
    <x v="0"/>
    <x v="1"/>
    <n v="984.2"/>
    <n v="4100"/>
    <n v="14314000"/>
    <b v="0"/>
    <b v="0"/>
    <n v="5000"/>
    <b v="0"/>
    <b v="0"/>
    <b v="0"/>
    <x v="0"/>
    <x v="3"/>
    <n v="82"/>
    <n v="0"/>
    <n v="0"/>
    <n v="4"/>
    <x v="3"/>
    <m/>
  </r>
  <r>
    <x v="573"/>
    <d v="2026-02-11T00:00:00"/>
    <d v="2026-02-12T00:00:00"/>
    <d v="2026-02-15T00:00:00"/>
    <d v="2026-02-15T00:00:00"/>
    <x v="0"/>
    <x v="5"/>
    <x v="0"/>
    <x v="1"/>
    <n v="176.9"/>
    <n v="1140.7"/>
    <n v="3279000"/>
    <b v="0"/>
    <b v="0"/>
    <n v="5000"/>
    <b v="0"/>
    <b v="0"/>
    <b v="0"/>
    <x v="0"/>
    <x v="8"/>
    <n v="22.814"/>
    <n v="0"/>
    <n v="0"/>
    <n v="3"/>
    <x v="5"/>
    <m/>
  </r>
  <r>
    <x v="574"/>
    <d v="2026-01-04T00:00:00"/>
    <d v="2026-01-05T00:00:00"/>
    <d v="2026-01-08T00:00:00"/>
    <d v="2026-01-08T00:00:00"/>
    <x v="2"/>
    <x v="5"/>
    <x v="0"/>
    <x v="0"/>
    <n v="305.60000000000002"/>
    <n v="714.4"/>
    <n v="4072000"/>
    <b v="0"/>
    <b v="0"/>
    <n v="1500"/>
    <b v="0"/>
    <b v="0"/>
    <b v="0"/>
    <x v="0"/>
    <x v="17"/>
    <n v="47.626666666666672"/>
    <n v="0"/>
    <n v="0"/>
    <n v="3"/>
    <x v="3"/>
    <m/>
  </r>
  <r>
    <x v="575"/>
    <d v="2026-03-20T00:00:00"/>
    <d v="2026-03-21T00:00:00"/>
    <d v="2026-03-23T00:00:00"/>
    <d v="2026-03-23T00:00:00"/>
    <x v="1"/>
    <x v="7"/>
    <x v="5"/>
    <x v="3"/>
    <n v="158.1"/>
    <n v="253.9"/>
    <n v="1668000"/>
    <b v="0"/>
    <b v="0"/>
    <n v="1000"/>
    <b v="0"/>
    <b v="0"/>
    <b v="0"/>
    <x v="0"/>
    <x v="26"/>
    <n v="25.39"/>
    <n v="0"/>
    <n v="0"/>
    <n v="2"/>
    <x v="6"/>
    <m/>
  </r>
  <r>
    <x v="576"/>
    <d v="2026-05-13T00:00:00"/>
    <d v="2026-05-14T00:00:00"/>
    <d v="2026-05-18T00:00:00"/>
    <d v="2026-05-18T00:00:00"/>
    <x v="1"/>
    <x v="3"/>
    <x v="2"/>
    <x v="2"/>
    <n v="957.6"/>
    <n v="5468.6"/>
    <n v="19841000"/>
    <b v="0"/>
    <b v="0"/>
    <n v="16000"/>
    <b v="0"/>
    <b v="0"/>
    <b v="0"/>
    <x v="0"/>
    <x v="35"/>
    <n v="34.178750000000001"/>
    <n v="0"/>
    <n v="0"/>
    <n v="4"/>
    <x v="2"/>
    <m/>
  </r>
  <r>
    <x v="577"/>
    <d v="2026-06-22T00:00:00"/>
    <d v="2026-06-24T00:00:00"/>
    <d v="2026-06-28T00:00:00"/>
    <d v="2026-06-28T00:00:00"/>
    <x v="1"/>
    <x v="11"/>
    <x v="3"/>
    <x v="3"/>
    <n v="624"/>
    <n v="330.2"/>
    <n v="5552000"/>
    <b v="0"/>
    <b v="0"/>
    <n v="1000"/>
    <b v="0"/>
    <b v="0"/>
    <b v="0"/>
    <x v="0"/>
    <x v="33"/>
    <n v="33.020000000000003"/>
    <n v="0"/>
    <n v="0"/>
    <n v="4"/>
    <x v="1"/>
    <m/>
  </r>
  <r>
    <x v="578"/>
    <d v="2026-06-26T00:00:00"/>
    <d v="2026-06-26T00:00:00"/>
    <d v="2026-06-28T00:00:00"/>
    <d v="2026-06-29T00:00:00"/>
    <x v="0"/>
    <x v="1"/>
    <x v="1"/>
    <x v="1"/>
    <n v="251.7"/>
    <n v="1266.3"/>
    <n v="4320000"/>
    <b v="0"/>
    <b v="0"/>
    <n v="5000"/>
    <b v="0"/>
    <b v="0"/>
    <b v="0"/>
    <x v="1"/>
    <x v="1"/>
    <n v="25.326000000000001"/>
    <n v="0"/>
    <n v="0"/>
    <n v="3"/>
    <x v="1"/>
    <n v="1"/>
  </r>
  <r>
    <x v="579"/>
    <d v="2026-01-09T00:00:00"/>
    <d v="2026-01-10T00:00:00"/>
    <d v="2026-01-11T00:00:00"/>
    <d v="2026-01-11T00:00:00"/>
    <x v="1"/>
    <x v="10"/>
    <x v="5"/>
    <x v="0"/>
    <n v="31.7"/>
    <n v="828.3"/>
    <n v="1314000"/>
    <b v="0"/>
    <b v="0"/>
    <n v="1500"/>
    <b v="0"/>
    <b v="0"/>
    <b v="0"/>
    <x v="0"/>
    <x v="27"/>
    <n v="55.22"/>
    <n v="0"/>
    <n v="0"/>
    <n v="1"/>
    <x v="3"/>
    <m/>
  </r>
  <r>
    <x v="580"/>
    <d v="2026-01-09T00:00:00"/>
    <d v="2026-01-10T00:00:00"/>
    <d v="2026-01-13T00:00:00"/>
    <d v="2026-01-14T00:00:00"/>
    <x v="1"/>
    <x v="2"/>
    <x v="1"/>
    <x v="3"/>
    <n v="326.3"/>
    <n v="108.1"/>
    <n v="3590000"/>
    <b v="0"/>
    <b v="0"/>
    <n v="1000"/>
    <b v="0"/>
    <b v="0"/>
    <b v="0"/>
    <x v="1"/>
    <x v="2"/>
    <n v="10.81"/>
    <n v="0"/>
    <n v="0"/>
    <n v="4"/>
    <x v="3"/>
    <n v="1"/>
  </r>
  <r>
    <x v="581"/>
    <d v="2026-06-07T00:00:00"/>
    <d v="2026-06-08T00:00:00"/>
    <d v="2026-06-10T00:00:00"/>
    <d v="2026-06-11T00:00:00"/>
    <x v="1"/>
    <x v="0"/>
    <x v="0"/>
    <x v="2"/>
    <n v="262"/>
    <n v="8837.5"/>
    <n v="8127000"/>
    <b v="0"/>
    <b v="0"/>
    <n v="16000"/>
    <b v="0"/>
    <b v="0"/>
    <b v="0"/>
    <x v="1"/>
    <x v="12"/>
    <n v="55.234375"/>
    <n v="0"/>
    <n v="0"/>
    <n v="3"/>
    <x v="1"/>
    <n v="1"/>
  </r>
  <r>
    <x v="582"/>
    <d v="2026-01-03T00:00:00"/>
    <d v="2026-01-04T00:00:00"/>
    <d v="2026-01-07T00:00:00"/>
    <d v="2026-01-08T00:00:00"/>
    <x v="3"/>
    <x v="2"/>
    <x v="5"/>
    <x v="0"/>
    <n v="319"/>
    <n v="1232.5"/>
    <n v="3757000"/>
    <b v="0"/>
    <b v="0"/>
    <n v="1500"/>
    <b v="0"/>
    <b v="0"/>
    <b v="0"/>
    <x v="1"/>
    <x v="14"/>
    <n v="82.166666666666671"/>
    <n v="0"/>
    <n v="0"/>
    <n v="4"/>
    <x v="3"/>
    <n v="1"/>
  </r>
  <r>
    <x v="583"/>
    <d v="2026-03-21T00:00:00"/>
    <d v="2026-03-23T00:00:00"/>
    <d v="2026-03-26T00:00:00"/>
    <d v="2026-03-26T00:00:00"/>
    <x v="2"/>
    <x v="1"/>
    <x v="5"/>
    <x v="3"/>
    <n v="336.8"/>
    <n v="203"/>
    <n v="3467000"/>
    <b v="0"/>
    <b v="0"/>
    <n v="1000"/>
    <b v="0"/>
    <b v="0"/>
    <b v="0"/>
    <x v="0"/>
    <x v="16"/>
    <n v="20.3"/>
    <n v="0"/>
    <n v="0"/>
    <n v="3"/>
    <x v="6"/>
    <m/>
  </r>
  <r>
    <x v="584"/>
    <d v="2026-05-21T00:00:00"/>
    <d v="2026-05-22T00:00:00"/>
    <d v="2026-05-24T00:00:00"/>
    <d v="2026-05-24T00:00:00"/>
    <x v="1"/>
    <x v="0"/>
    <x v="1"/>
    <x v="1"/>
    <n v="292.3"/>
    <n v="1885.6"/>
    <n v="4990000"/>
    <b v="0"/>
    <b v="0"/>
    <n v="5000"/>
    <b v="0"/>
    <b v="0"/>
    <b v="0"/>
    <x v="0"/>
    <x v="12"/>
    <n v="37.712000000000003"/>
    <n v="0"/>
    <n v="0"/>
    <n v="2"/>
    <x v="2"/>
    <m/>
  </r>
  <r>
    <x v="585"/>
    <d v="2026-04-18T00:00:00"/>
    <d v="2026-04-19T00:00:00"/>
    <d v="2026-04-21T00:00:00"/>
    <d v="2026-04-22T00:00:00"/>
    <x v="0"/>
    <x v="5"/>
    <x v="0"/>
    <x v="1"/>
    <n v="177.1"/>
    <n v="4264.8999999999996"/>
    <n v="4603000"/>
    <b v="0"/>
    <b v="0"/>
    <n v="5000"/>
    <b v="0"/>
    <b v="0"/>
    <b v="0"/>
    <x v="1"/>
    <x v="8"/>
    <n v="85.298000000000002"/>
    <n v="0"/>
    <n v="0"/>
    <n v="3"/>
    <x v="4"/>
    <n v="1"/>
  </r>
  <r>
    <x v="586"/>
    <d v="2026-01-20T00:00:00"/>
    <d v="2026-01-21T00:00:00"/>
    <d v="2026-01-23T00:00:00"/>
    <d v="2026-01-22T00:00:00"/>
    <x v="0"/>
    <x v="1"/>
    <x v="3"/>
    <x v="2"/>
    <n v="245.1"/>
    <n v="6289"/>
    <n v="6844000"/>
    <b v="0"/>
    <b v="0"/>
    <n v="16000"/>
    <b v="0"/>
    <b v="0"/>
    <b v="0"/>
    <x v="0"/>
    <x v="1"/>
    <n v="39.306249999999999"/>
    <n v="0"/>
    <n v="0"/>
    <n v="1"/>
    <x v="3"/>
    <m/>
  </r>
  <r>
    <x v="587"/>
    <d v="2026-06-05T00:00:00"/>
    <d v="2026-06-05T00:00:00"/>
    <d v="2026-06-08T00:00:00"/>
    <d v="2026-06-08T00:00:00"/>
    <x v="1"/>
    <x v="5"/>
    <x v="0"/>
    <x v="1"/>
    <n v="323.3"/>
    <n v="2889.9"/>
    <n v="5353000"/>
    <b v="0"/>
    <b v="0"/>
    <n v="5000"/>
    <b v="0"/>
    <b v="0"/>
    <b v="0"/>
    <x v="0"/>
    <x v="5"/>
    <n v="57.798000000000002"/>
    <n v="0"/>
    <n v="0"/>
    <n v="3"/>
    <x v="1"/>
    <m/>
  </r>
  <r>
    <x v="588"/>
    <d v="2026-03-27T00:00:00"/>
    <d v="2026-03-28T00:00:00"/>
    <d v="2026-03-30T00:00:00"/>
    <d v="2026-03-30T00:00:00"/>
    <x v="0"/>
    <x v="2"/>
    <x v="0"/>
    <x v="0"/>
    <n v="178.9"/>
    <n v="1290.0999999999999"/>
    <n v="3110000"/>
    <b v="0"/>
    <b v="0"/>
    <n v="1500"/>
    <b v="0"/>
    <b v="0"/>
    <b v="0"/>
    <x v="0"/>
    <x v="23"/>
    <n v="86.006666666666661"/>
    <n v="0"/>
    <n v="0"/>
    <n v="2"/>
    <x v="6"/>
    <m/>
  </r>
  <r>
    <x v="589"/>
    <d v="2026-04-17T00:00:00"/>
    <d v="2026-04-18T00:00:00"/>
    <d v="2026-04-20T00:00:00"/>
    <d v="2026-04-20T00:00:00"/>
    <x v="2"/>
    <x v="2"/>
    <x v="3"/>
    <x v="0"/>
    <n v="274.39999999999998"/>
    <n v="986.9"/>
    <n v="3444000"/>
    <b v="0"/>
    <b v="0"/>
    <n v="1500"/>
    <b v="0"/>
    <b v="0"/>
    <b v="0"/>
    <x v="0"/>
    <x v="29"/>
    <n v="65.793333333333337"/>
    <n v="0"/>
    <n v="0"/>
    <n v="2"/>
    <x v="4"/>
    <m/>
  </r>
  <r>
    <x v="590"/>
    <d v="2026-04-25T00:00:00"/>
    <d v="2026-04-26T00:00:00"/>
    <d v="2026-04-29T00:00:00"/>
    <d v="2026-04-29T00:00:00"/>
    <x v="1"/>
    <x v="9"/>
    <x v="1"/>
    <x v="3"/>
    <n v="424.6"/>
    <n v="570.79999999999995"/>
    <n v="4107000"/>
    <b v="0"/>
    <b v="0"/>
    <n v="1000"/>
    <b v="0"/>
    <b v="0"/>
    <b v="0"/>
    <x v="0"/>
    <x v="24"/>
    <n v="57.08"/>
    <n v="0"/>
    <n v="0"/>
    <n v="3"/>
    <x v="4"/>
    <m/>
  </r>
  <r>
    <x v="591"/>
    <d v="2026-02-05T00:00:00"/>
    <d v="2026-02-06T00:00:00"/>
    <d v="2026-02-10T00:00:00"/>
    <d v="2026-02-10T00:00:00"/>
    <x v="1"/>
    <x v="4"/>
    <x v="1"/>
    <x v="0"/>
    <n v="732.5"/>
    <n v="936.9"/>
    <n v="8221000"/>
    <b v="0"/>
    <b v="0"/>
    <n v="1500"/>
    <b v="0"/>
    <b v="0"/>
    <b v="0"/>
    <x v="0"/>
    <x v="38"/>
    <n v="62.459999999999987"/>
    <n v="0"/>
    <n v="0"/>
    <n v="4"/>
    <x v="5"/>
    <m/>
  </r>
  <r>
    <x v="592"/>
    <d v="2026-01-18T00:00:00"/>
    <d v="2026-01-19T00:00:00"/>
    <d v="2026-01-22T00:00:00"/>
    <d v="2026-01-22T00:00:00"/>
    <x v="2"/>
    <x v="11"/>
    <x v="2"/>
    <x v="3"/>
    <n v="538.4"/>
    <n v="623"/>
    <n v="5265000"/>
    <b v="0"/>
    <b v="0"/>
    <n v="1000"/>
    <b v="0"/>
    <b v="0"/>
    <b v="0"/>
    <x v="0"/>
    <x v="41"/>
    <n v="62.3"/>
    <n v="0"/>
    <n v="0"/>
    <n v="3"/>
    <x v="3"/>
    <m/>
  </r>
  <r>
    <x v="593"/>
    <d v="2026-04-20T00:00:00"/>
    <d v="2026-04-20T00:00:00"/>
    <d v="2026-04-22T00:00:00"/>
    <d v="2026-04-22T00:00:00"/>
    <x v="1"/>
    <x v="0"/>
    <x v="0"/>
    <x v="2"/>
    <n v="269.8"/>
    <n v="9961.1"/>
    <n v="8109000"/>
    <b v="0"/>
    <b v="0"/>
    <n v="16000"/>
    <b v="0"/>
    <b v="0"/>
    <b v="0"/>
    <x v="0"/>
    <x v="12"/>
    <n v="62.256875000000001"/>
    <n v="0"/>
    <n v="0"/>
    <n v="2"/>
    <x v="4"/>
    <m/>
  </r>
  <r>
    <x v="594"/>
    <d v="2026-05-14T00:00:00"/>
    <d v="2026-05-16T00:00:00"/>
    <d v="2026-05-18T00:00:00"/>
    <d v="2026-05-18T00:00:00"/>
    <x v="2"/>
    <x v="0"/>
    <x v="1"/>
    <x v="0"/>
    <n v="298.60000000000002"/>
    <n v="1327.7"/>
    <n v="4239000"/>
    <b v="0"/>
    <b v="0"/>
    <n v="1500"/>
    <b v="0"/>
    <b v="0"/>
    <b v="0"/>
    <x v="0"/>
    <x v="7"/>
    <n v="88.513333333333335"/>
    <n v="0"/>
    <n v="0"/>
    <n v="2"/>
    <x v="2"/>
    <m/>
  </r>
  <r>
    <x v="595"/>
    <d v="2026-01-01T00:00:00"/>
    <d v="2026-01-02T00:00:00"/>
    <d v="2026-01-04T00:00:00"/>
    <d v="2026-01-04T00:00:00"/>
    <x v="2"/>
    <x v="0"/>
    <x v="1"/>
    <x v="3"/>
    <n v="297.89999999999998"/>
    <n v="217.7"/>
    <n v="3305000"/>
    <b v="0"/>
    <b v="0"/>
    <n v="1000"/>
    <b v="0"/>
    <b v="0"/>
    <b v="0"/>
    <x v="0"/>
    <x v="7"/>
    <n v="21.77"/>
    <n v="0"/>
    <n v="0"/>
    <n v="2"/>
    <x v="3"/>
    <m/>
  </r>
  <r>
    <x v="596"/>
    <d v="2026-01-29T00:00:00"/>
    <d v="2026-01-29T00:00:00"/>
    <d v="2026-01-30T00:00:00"/>
    <d v="2026-01-30T00:00:00"/>
    <x v="1"/>
    <x v="10"/>
    <x v="1"/>
    <x v="1"/>
    <n v="32.799999999999997"/>
    <n v="2698.8"/>
    <n v="2335000"/>
    <b v="0"/>
    <b v="0"/>
    <n v="5000"/>
    <b v="0"/>
    <b v="0"/>
    <b v="0"/>
    <x v="0"/>
    <x v="27"/>
    <n v="53.975999999999999"/>
    <n v="0"/>
    <n v="0"/>
    <n v="1"/>
    <x v="3"/>
    <m/>
  </r>
  <r>
    <x v="597"/>
    <d v="2026-04-02T00:00:00"/>
    <d v="2026-04-03T00:00:00"/>
    <d v="2026-04-07T00:00:00"/>
    <d v="2026-04-08T00:00:00"/>
    <x v="1"/>
    <x v="3"/>
    <x v="2"/>
    <x v="3"/>
    <n v="897.9"/>
    <n v="709.3"/>
    <n v="8041000"/>
    <b v="0"/>
    <b v="0"/>
    <n v="1000"/>
    <b v="0"/>
    <b v="0"/>
    <b v="0"/>
    <x v="1"/>
    <x v="35"/>
    <n v="70.929999999999993"/>
    <n v="0"/>
    <n v="0"/>
    <n v="5"/>
    <x v="4"/>
    <n v="1"/>
  </r>
  <r>
    <x v="598"/>
    <d v="2026-01-04T00:00:00"/>
    <d v="2026-01-06T00:00:00"/>
    <d v="2026-01-11T00:00:00"/>
    <d v="2026-01-11T00:00:00"/>
    <x v="3"/>
    <x v="3"/>
    <x v="5"/>
    <x v="3"/>
    <n v="1663.2"/>
    <n v="543.29999999999995"/>
    <n v="16700000"/>
    <b v="0"/>
    <b v="0"/>
    <n v="1000"/>
    <b v="0"/>
    <b v="0"/>
    <b v="0"/>
    <x v="0"/>
    <x v="43"/>
    <n v="54.33"/>
    <n v="0"/>
    <n v="0"/>
    <n v="5"/>
    <x v="3"/>
    <m/>
  </r>
  <r>
    <x v="599"/>
    <d v="2026-05-31T00:00:00"/>
    <d v="2026-06-01T00:00:00"/>
    <d v="2026-06-03T00:00:00"/>
    <d v="2026-06-03T00:00:00"/>
    <x v="2"/>
    <x v="7"/>
    <x v="1"/>
    <x v="2"/>
    <n v="189.9"/>
    <n v="12923.3"/>
    <n v="8720000"/>
    <b v="0"/>
    <b v="0"/>
    <n v="16000"/>
    <b v="0"/>
    <b v="0"/>
    <b v="0"/>
    <x v="0"/>
    <x v="10"/>
    <n v="80.770624999999995"/>
    <n v="0"/>
    <n v="0"/>
    <n v="2"/>
    <x v="1"/>
    <m/>
  </r>
  <r>
    <x v="600"/>
    <d v="2026-04-09T00:00:00"/>
    <d v="2026-04-10T00:00:00"/>
    <d v="2026-04-14T00:00:00"/>
    <d v="2026-04-14T00:00:00"/>
    <x v="3"/>
    <x v="7"/>
    <x v="3"/>
    <x v="1"/>
    <n v="614.4"/>
    <n v="2784.9"/>
    <n v="10271000"/>
    <b v="0"/>
    <b v="0"/>
    <n v="5000"/>
    <b v="0"/>
    <b v="0"/>
    <b v="0"/>
    <x v="0"/>
    <x v="40"/>
    <n v="55.698"/>
    <n v="0"/>
    <n v="0"/>
    <n v="4"/>
    <x v="4"/>
    <m/>
  </r>
  <r>
    <x v="601"/>
    <d v="2026-06-11T00:00:00"/>
    <d v="2026-06-13T00:00:00"/>
    <d v="2026-06-15T00:00:00"/>
    <d v="2026-06-15T00:00:00"/>
    <x v="1"/>
    <x v="7"/>
    <x v="1"/>
    <x v="1"/>
    <n v="157.6"/>
    <n v="3783.4"/>
    <n v="4212000"/>
    <b v="0"/>
    <b v="0"/>
    <n v="5000"/>
    <b v="0"/>
    <b v="0"/>
    <b v="0"/>
    <x v="0"/>
    <x v="26"/>
    <n v="75.668000000000006"/>
    <n v="0"/>
    <n v="0"/>
    <n v="2"/>
    <x v="1"/>
    <m/>
  </r>
  <r>
    <x v="602"/>
    <d v="2026-05-14T00:00:00"/>
    <d v="2026-05-15T00:00:00"/>
    <d v="2026-05-17T00:00:00"/>
    <d v="2026-05-16T00:00:00"/>
    <x v="2"/>
    <x v="7"/>
    <x v="3"/>
    <x v="0"/>
    <n v="197.2"/>
    <n v="211.3"/>
    <n v="2560000"/>
    <b v="0"/>
    <b v="0"/>
    <n v="1500"/>
    <b v="0"/>
    <b v="0"/>
    <b v="0"/>
    <x v="0"/>
    <x v="10"/>
    <n v="14.08666666666667"/>
    <n v="0"/>
    <n v="0"/>
    <n v="1"/>
    <x v="2"/>
    <m/>
  </r>
  <r>
    <x v="603"/>
    <d v="2026-02-14T00:00:00"/>
    <d v="2026-02-14T00:00:00"/>
    <d v="2026-02-19T00:00:00"/>
    <d v="2026-02-19T00:00:00"/>
    <x v="1"/>
    <x v="11"/>
    <x v="5"/>
    <x v="3"/>
    <n v="644.70000000000005"/>
    <n v="636.5"/>
    <n v="6079000"/>
    <b v="0"/>
    <b v="0"/>
    <n v="1000"/>
    <b v="0"/>
    <b v="0"/>
    <b v="0"/>
    <x v="0"/>
    <x v="33"/>
    <n v="63.65"/>
    <n v="0"/>
    <n v="0"/>
    <n v="5"/>
    <x v="5"/>
    <m/>
  </r>
  <r>
    <x v="604"/>
    <d v="2026-01-24T00:00:00"/>
    <d v="2026-01-26T00:00:00"/>
    <d v="2026-01-27T00:00:00"/>
    <d v="2026-01-27T00:00:00"/>
    <x v="1"/>
    <x v="8"/>
    <x v="1"/>
    <x v="2"/>
    <n v="47.3"/>
    <n v="7565.5"/>
    <n v="3977000"/>
    <b v="0"/>
    <b v="0"/>
    <n v="16000"/>
    <b v="0"/>
    <b v="0"/>
    <b v="0"/>
    <x v="0"/>
    <x v="28"/>
    <n v="47.284374999999997"/>
    <n v="0"/>
    <n v="0"/>
    <n v="1"/>
    <x v="3"/>
    <m/>
  </r>
  <r>
    <x v="605"/>
    <d v="2026-05-20T00:00:00"/>
    <d v="2026-05-22T00:00:00"/>
    <d v="2026-05-25T00:00:00"/>
    <d v="2026-05-25T00:00:00"/>
    <x v="1"/>
    <x v="0"/>
    <x v="5"/>
    <x v="1"/>
    <n v="277.10000000000002"/>
    <n v="998.4"/>
    <n v="4592000"/>
    <b v="0"/>
    <b v="0"/>
    <n v="5000"/>
    <b v="0"/>
    <b v="0"/>
    <b v="0"/>
    <x v="0"/>
    <x v="12"/>
    <n v="19.968"/>
    <n v="0"/>
    <n v="0"/>
    <n v="3"/>
    <x v="2"/>
    <m/>
  </r>
  <r>
    <x v="606"/>
    <d v="2026-05-30T00:00:00"/>
    <d v="2026-05-31T00:00:00"/>
    <d v="2026-06-03T00:00:00"/>
    <d v="2026-06-03T00:00:00"/>
    <x v="1"/>
    <x v="1"/>
    <x v="2"/>
    <x v="1"/>
    <n v="305.10000000000002"/>
    <n v="1084.0999999999999"/>
    <n v="4889000"/>
    <b v="0"/>
    <b v="0"/>
    <n v="5000"/>
    <b v="0"/>
    <b v="0"/>
    <b v="0"/>
    <x v="0"/>
    <x v="25"/>
    <n v="21.681999999999999"/>
    <n v="0"/>
    <n v="0"/>
    <n v="3"/>
    <x v="2"/>
    <m/>
  </r>
  <r>
    <x v="607"/>
    <d v="2026-05-24T00:00:00"/>
    <d v="2026-05-24T00:00:00"/>
    <d v="2026-05-27T00:00:00"/>
    <d v="2026-05-27T00:00:00"/>
    <x v="1"/>
    <x v="11"/>
    <x v="0"/>
    <x v="1"/>
    <n v="586"/>
    <n v="1624.2"/>
    <n v="9029000"/>
    <b v="0"/>
    <b v="0"/>
    <n v="5000"/>
    <b v="0"/>
    <b v="0"/>
    <b v="0"/>
    <x v="0"/>
    <x v="33"/>
    <n v="32.484000000000002"/>
    <n v="0"/>
    <n v="0"/>
    <n v="3"/>
    <x v="2"/>
    <m/>
  </r>
  <r>
    <x v="608"/>
    <d v="2026-03-17T00:00:00"/>
    <d v="2026-03-18T00:00:00"/>
    <d v="2026-03-22T00:00:00"/>
    <d v="2026-03-22T00:00:00"/>
    <x v="3"/>
    <x v="3"/>
    <x v="0"/>
    <x v="0"/>
    <n v="1509"/>
    <n v="1301.9000000000001"/>
    <n v="16959000"/>
    <b v="0"/>
    <b v="0"/>
    <n v="1500"/>
    <b v="0"/>
    <b v="0"/>
    <b v="0"/>
    <x v="0"/>
    <x v="43"/>
    <n v="86.793333333333351"/>
    <n v="0"/>
    <n v="0"/>
    <n v="4"/>
    <x v="6"/>
    <m/>
  </r>
  <r>
    <x v="609"/>
    <d v="2026-02-27T00:00:00"/>
    <d v="2026-03-01T00:00:00"/>
    <d v="2026-03-03T00:00:00"/>
    <d v="2026-03-05T00:00:00"/>
    <x v="2"/>
    <x v="6"/>
    <x v="2"/>
    <x v="0"/>
    <n v="140.5"/>
    <n v="774.6"/>
    <n v="2303000"/>
    <b v="0"/>
    <b v="0"/>
    <n v="1500"/>
    <b v="0"/>
    <b v="0"/>
    <b v="0"/>
    <x v="1"/>
    <x v="6"/>
    <n v="51.64"/>
    <n v="0"/>
    <n v="0"/>
    <n v="4"/>
    <x v="6"/>
    <n v="2"/>
  </r>
  <r>
    <x v="610"/>
    <d v="2026-02-28T00:00:00"/>
    <d v="2026-02-28T00:00:00"/>
    <d v="2026-03-04T00:00:00"/>
    <d v="2026-03-04T00:00:00"/>
    <x v="1"/>
    <x v="4"/>
    <x v="3"/>
    <x v="3"/>
    <n v="781.1"/>
    <n v="658.5"/>
    <n v="7520000"/>
    <b v="0"/>
    <b v="0"/>
    <n v="1000"/>
    <b v="0"/>
    <b v="0"/>
    <b v="0"/>
    <x v="0"/>
    <x v="38"/>
    <n v="65.849999999999994"/>
    <n v="0"/>
    <n v="0"/>
    <n v="4"/>
    <x v="5"/>
    <m/>
  </r>
  <r>
    <x v="611"/>
    <d v="2026-05-14T00:00:00"/>
    <d v="2026-05-15T00:00:00"/>
    <d v="2026-05-18T00:00:00"/>
    <d v="2026-05-18T00:00:00"/>
    <x v="2"/>
    <x v="0"/>
    <x v="5"/>
    <x v="0"/>
    <n v="308.3"/>
    <n v="241.6"/>
    <n v="2811000"/>
    <b v="0"/>
    <b v="0"/>
    <n v="1500"/>
    <b v="0"/>
    <b v="0"/>
    <b v="0"/>
    <x v="0"/>
    <x v="7"/>
    <n v="16.106666666666669"/>
    <n v="0"/>
    <n v="0"/>
    <n v="3"/>
    <x v="2"/>
    <m/>
  </r>
  <r>
    <x v="612"/>
    <d v="2026-05-13T00:00:00"/>
    <d v="2026-05-14T00:00:00"/>
    <d v="2026-05-18T00:00:00"/>
    <m/>
    <x v="3"/>
    <x v="10"/>
    <x v="5"/>
    <x v="1"/>
    <n v="671.8"/>
    <n v="4197.2"/>
    <n v="10445000"/>
    <b v="0"/>
    <b v="0"/>
    <n v="5000"/>
    <b v="0"/>
    <b v="0"/>
    <b v="0"/>
    <x v="2"/>
    <x v="32"/>
    <n v="83.944000000000003"/>
    <n v="0"/>
    <n v="0"/>
    <m/>
    <x v="2"/>
    <m/>
  </r>
  <r>
    <x v="613"/>
    <d v="2026-04-04T00:00:00"/>
    <d v="2026-04-06T00:00:00"/>
    <d v="2026-04-09T00:00:00"/>
    <d v="2026-04-09T00:00:00"/>
    <x v="1"/>
    <x v="1"/>
    <x v="1"/>
    <x v="0"/>
    <n v="338.7"/>
    <n v="204.9"/>
    <n v="3785000"/>
    <b v="0"/>
    <b v="0"/>
    <n v="1500"/>
    <b v="0"/>
    <b v="0"/>
    <b v="0"/>
    <x v="0"/>
    <x v="25"/>
    <n v="13.66"/>
    <n v="0"/>
    <n v="0"/>
    <n v="3"/>
    <x v="4"/>
    <m/>
  </r>
  <r>
    <x v="614"/>
    <d v="2026-04-15T00:00:00"/>
    <d v="2026-04-15T00:00:00"/>
    <d v="2026-04-18T00:00:00"/>
    <d v="2026-04-17T00:00:00"/>
    <x v="1"/>
    <x v="5"/>
    <x v="5"/>
    <x v="1"/>
    <n v="325.3"/>
    <n v="1006.1"/>
    <n v="5308000"/>
    <b v="0"/>
    <b v="0"/>
    <n v="5000"/>
    <b v="0"/>
    <b v="0"/>
    <b v="0"/>
    <x v="0"/>
    <x v="5"/>
    <n v="20.122"/>
    <n v="0"/>
    <n v="0"/>
    <n v="2"/>
    <x v="4"/>
    <m/>
  </r>
  <r>
    <x v="615"/>
    <d v="2026-06-16T00:00:00"/>
    <d v="2026-06-18T00:00:00"/>
    <d v="2026-06-20T00:00:00"/>
    <d v="2026-06-20T00:00:00"/>
    <x v="1"/>
    <x v="8"/>
    <x v="0"/>
    <x v="1"/>
    <n v="51.9"/>
    <n v="729.3"/>
    <n v="12362000"/>
    <b v="0"/>
    <b v="0"/>
    <n v="5000"/>
    <b v="0"/>
    <b v="0"/>
    <b v="0"/>
    <x v="0"/>
    <x v="28"/>
    <n v="14.586"/>
    <n v="0"/>
    <n v="0"/>
    <n v="2"/>
    <x v="1"/>
    <m/>
  </r>
  <r>
    <x v="616"/>
    <d v="2026-01-08T00:00:00"/>
    <d v="2026-01-09T00:00:00"/>
    <d v="2026-01-12T00:00:00"/>
    <d v="2026-01-12T00:00:00"/>
    <x v="2"/>
    <x v="11"/>
    <x v="5"/>
    <x v="3"/>
    <n v="590.20000000000005"/>
    <n v="843.6"/>
    <n v="5952000"/>
    <b v="0"/>
    <b v="0"/>
    <n v="1000"/>
    <b v="0"/>
    <b v="0"/>
    <b v="0"/>
    <x v="0"/>
    <x v="41"/>
    <n v="84.36"/>
    <n v="0"/>
    <n v="0"/>
    <n v="3"/>
    <x v="3"/>
    <m/>
  </r>
  <r>
    <x v="617"/>
    <d v="2026-04-13T00:00:00"/>
    <d v="2026-04-13T00:00:00"/>
    <d v="2026-04-16T00:00:00"/>
    <d v="2026-04-16T00:00:00"/>
    <x v="1"/>
    <x v="9"/>
    <x v="2"/>
    <x v="2"/>
    <n v="446"/>
    <n v="8702.2000000000007"/>
    <n v="10312000"/>
    <b v="0"/>
    <b v="0"/>
    <n v="16000"/>
    <b v="0"/>
    <b v="0"/>
    <b v="0"/>
    <x v="0"/>
    <x v="24"/>
    <n v="54.388750000000009"/>
    <n v="0"/>
    <n v="0"/>
    <n v="3"/>
    <x v="4"/>
    <m/>
  </r>
  <r>
    <x v="618"/>
    <d v="2026-01-30T00:00:00"/>
    <d v="2026-01-31T00:00:00"/>
    <d v="2026-02-02T00:00:00"/>
    <d v="2026-02-02T00:00:00"/>
    <x v="1"/>
    <x v="6"/>
    <x v="2"/>
    <x v="2"/>
    <n v="146.19999999999999"/>
    <n v="3009.4"/>
    <n v="4306000"/>
    <b v="0"/>
    <b v="0"/>
    <n v="16000"/>
    <b v="0"/>
    <b v="0"/>
    <b v="0"/>
    <x v="0"/>
    <x v="9"/>
    <n v="18.80875"/>
    <n v="0"/>
    <n v="0"/>
    <n v="2"/>
    <x v="3"/>
    <m/>
  </r>
  <r>
    <x v="619"/>
    <d v="2026-06-13T00:00:00"/>
    <d v="2026-06-13T00:00:00"/>
    <d v="2026-06-17T00:00:00"/>
    <d v="2026-06-17T00:00:00"/>
    <x v="1"/>
    <x v="3"/>
    <x v="2"/>
    <x v="1"/>
    <n v="982.7"/>
    <n v="2225.1999999999998"/>
    <n v="13896000"/>
    <b v="0"/>
    <b v="0"/>
    <n v="5000"/>
    <b v="0"/>
    <b v="0"/>
    <b v="0"/>
    <x v="0"/>
    <x v="35"/>
    <n v="44.503999999999998"/>
    <n v="0"/>
    <n v="0"/>
    <n v="4"/>
    <x v="1"/>
    <m/>
  </r>
  <r>
    <x v="620"/>
    <d v="2026-04-19T00:00:00"/>
    <d v="2026-04-19T00:00:00"/>
    <d v="2026-04-21T00:00:00"/>
    <d v="2026-04-22T00:00:00"/>
    <x v="3"/>
    <x v="4"/>
    <x v="0"/>
    <x v="1"/>
    <n v="139.1"/>
    <n v="2474.5"/>
    <n v="2999000"/>
    <b v="0"/>
    <b v="0"/>
    <n v="5000"/>
    <b v="0"/>
    <b v="0"/>
    <b v="0"/>
    <x v="1"/>
    <x v="46"/>
    <n v="49.49"/>
    <n v="0"/>
    <n v="0"/>
    <n v="3"/>
    <x v="4"/>
    <n v="1"/>
  </r>
  <r>
    <x v="621"/>
    <d v="2026-01-19T00:00:00"/>
    <d v="2026-01-20T00:00:00"/>
    <d v="2026-01-23T00:00:00"/>
    <d v="2026-01-23T00:00:00"/>
    <x v="1"/>
    <x v="9"/>
    <x v="3"/>
    <x v="3"/>
    <n v="454.2"/>
    <n v="441.3"/>
    <n v="4270000"/>
    <b v="0"/>
    <b v="0"/>
    <n v="1000"/>
    <b v="0"/>
    <b v="0"/>
    <b v="0"/>
    <x v="0"/>
    <x v="24"/>
    <n v="44.13"/>
    <n v="0"/>
    <n v="0"/>
    <n v="3"/>
    <x v="3"/>
    <m/>
  </r>
  <r>
    <x v="622"/>
    <d v="2026-05-23T00:00:00"/>
    <d v="2026-05-24T00:00:00"/>
    <d v="2026-05-27T00:00:00"/>
    <d v="2026-05-26T00:00:00"/>
    <x v="2"/>
    <x v="9"/>
    <x v="1"/>
    <x v="3"/>
    <n v="518"/>
    <n v="466.3"/>
    <n v="4959000"/>
    <b v="0"/>
    <b v="0"/>
    <n v="1000"/>
    <b v="0"/>
    <b v="0"/>
    <b v="0"/>
    <x v="0"/>
    <x v="20"/>
    <n v="46.63"/>
    <n v="0"/>
    <n v="0"/>
    <n v="2"/>
    <x v="2"/>
    <m/>
  </r>
  <r>
    <x v="623"/>
    <d v="2026-05-10T00:00:00"/>
    <d v="2026-05-10T00:00:00"/>
    <d v="2026-05-14T00:00:00"/>
    <d v="2026-05-15T00:00:00"/>
    <x v="3"/>
    <x v="3"/>
    <x v="2"/>
    <x v="2"/>
    <n v="1477.2"/>
    <n v="12935.5"/>
    <n v="32026000"/>
    <b v="0"/>
    <b v="0"/>
    <n v="16000"/>
    <b v="0"/>
    <b v="0"/>
    <b v="0"/>
    <x v="1"/>
    <x v="43"/>
    <n v="80.846874999999997"/>
    <n v="0"/>
    <n v="0"/>
    <n v="5"/>
    <x v="2"/>
    <n v="1"/>
  </r>
  <r>
    <x v="624"/>
    <d v="2026-03-03T00:00:00"/>
    <d v="2026-03-05T00:00:00"/>
    <d v="2026-03-07T00:00:00"/>
    <d v="2026-03-07T00:00:00"/>
    <x v="1"/>
    <x v="6"/>
    <x v="1"/>
    <x v="2"/>
    <n v="172.4"/>
    <n v="14741.8"/>
    <n v="7949000"/>
    <b v="0"/>
    <b v="0"/>
    <n v="16000"/>
    <b v="0"/>
    <b v="0"/>
    <b v="0"/>
    <x v="0"/>
    <x v="9"/>
    <n v="92.136250000000004"/>
    <n v="0"/>
    <n v="0"/>
    <n v="2"/>
    <x v="6"/>
    <m/>
  </r>
  <r>
    <x v="625"/>
    <d v="2026-04-26T00:00:00"/>
    <d v="2026-04-28T00:00:00"/>
    <d v="2026-05-01T00:00:00"/>
    <d v="2026-05-01T00:00:00"/>
    <x v="1"/>
    <x v="9"/>
    <x v="2"/>
    <x v="1"/>
    <n v="457.1"/>
    <n v="3144.8"/>
    <n v="6723000"/>
    <b v="0"/>
    <b v="0"/>
    <n v="5000"/>
    <b v="0"/>
    <b v="0"/>
    <b v="0"/>
    <x v="0"/>
    <x v="24"/>
    <n v="62.896000000000008"/>
    <n v="0"/>
    <n v="0"/>
    <n v="3"/>
    <x v="4"/>
    <m/>
  </r>
  <r>
    <x v="626"/>
    <d v="2026-03-24T00:00:00"/>
    <d v="2026-03-25T00:00:00"/>
    <d v="2026-03-28T00:00:00"/>
    <d v="2026-03-28T00:00:00"/>
    <x v="2"/>
    <x v="2"/>
    <x v="1"/>
    <x v="1"/>
    <n v="286.7"/>
    <n v="2413.3000000000002"/>
    <n v="4848000"/>
    <b v="0"/>
    <b v="0"/>
    <n v="5000"/>
    <b v="0"/>
    <b v="0"/>
    <b v="0"/>
    <x v="0"/>
    <x v="29"/>
    <n v="48.266000000000012"/>
    <n v="0"/>
    <n v="0"/>
    <n v="3"/>
    <x v="6"/>
    <m/>
  </r>
  <r>
    <x v="627"/>
    <d v="2026-06-03T00:00:00"/>
    <d v="2026-06-04T00:00:00"/>
    <d v="2026-06-06T00:00:00"/>
    <d v="2026-06-07T00:00:00"/>
    <x v="3"/>
    <x v="4"/>
    <x v="1"/>
    <x v="3"/>
    <n v="154.5"/>
    <n v="858.8"/>
    <n v="2132000"/>
    <b v="0"/>
    <b v="0"/>
    <n v="1000"/>
    <b v="0"/>
    <b v="0"/>
    <b v="0"/>
    <x v="1"/>
    <x v="46"/>
    <n v="85.88"/>
    <n v="0"/>
    <n v="0"/>
    <n v="3"/>
    <x v="1"/>
    <n v="1"/>
  </r>
  <r>
    <x v="628"/>
    <d v="2026-05-07T00:00:00"/>
    <d v="2026-05-08T00:00:00"/>
    <d v="2026-05-10T00:00:00"/>
    <d v="2026-05-09T00:00:00"/>
    <x v="1"/>
    <x v="0"/>
    <x v="5"/>
    <x v="0"/>
    <n v="269.89999999999998"/>
    <n v="1351.9"/>
    <n v="4397000"/>
    <b v="0"/>
    <b v="0"/>
    <n v="1500"/>
    <b v="0"/>
    <b v="0"/>
    <b v="0"/>
    <x v="0"/>
    <x v="12"/>
    <n v="90.126666666666679"/>
    <n v="0"/>
    <n v="0"/>
    <n v="1"/>
    <x v="2"/>
    <m/>
  </r>
  <r>
    <x v="629"/>
    <d v="2026-04-18T00:00:00"/>
    <d v="2026-04-20T00:00:00"/>
    <d v="2026-04-25T00:00:00"/>
    <d v="2026-04-25T00:00:00"/>
    <x v="3"/>
    <x v="10"/>
    <x v="2"/>
    <x v="3"/>
    <n v="601.1"/>
    <n v="639.6"/>
    <n v="5956000"/>
    <b v="0"/>
    <b v="0"/>
    <n v="1000"/>
    <b v="0"/>
    <b v="0"/>
    <b v="0"/>
    <x v="0"/>
    <x v="32"/>
    <n v="63.960000000000008"/>
    <n v="0"/>
    <n v="0"/>
    <n v="5"/>
    <x v="4"/>
    <m/>
  </r>
  <r>
    <x v="630"/>
    <d v="2026-04-02T00:00:00"/>
    <d v="2026-04-03T00:00:00"/>
    <d v="2026-04-06T00:00:00"/>
    <d v="2026-04-06T00:00:00"/>
    <x v="1"/>
    <x v="5"/>
    <x v="1"/>
    <x v="1"/>
    <n v="332.3"/>
    <n v="2789.1"/>
    <n v="6377000"/>
    <b v="0"/>
    <b v="0"/>
    <n v="5000"/>
    <b v="0"/>
    <b v="0"/>
    <b v="0"/>
    <x v="0"/>
    <x v="5"/>
    <n v="55.781999999999996"/>
    <n v="0"/>
    <n v="0"/>
    <n v="3"/>
    <x v="4"/>
    <m/>
  </r>
  <r>
    <x v="631"/>
    <d v="2026-03-24T00:00:00"/>
    <d v="2026-03-25T00:00:00"/>
    <d v="2026-03-28T00:00:00"/>
    <d v="2026-03-28T00:00:00"/>
    <x v="1"/>
    <x v="2"/>
    <x v="5"/>
    <x v="3"/>
    <n v="340.1"/>
    <n v="319.39999999999998"/>
    <n v="3103000"/>
    <b v="0"/>
    <b v="0"/>
    <n v="1000"/>
    <b v="0"/>
    <b v="0"/>
    <b v="0"/>
    <x v="0"/>
    <x v="2"/>
    <n v="31.94"/>
    <n v="0"/>
    <n v="0"/>
    <n v="3"/>
    <x v="6"/>
    <m/>
  </r>
  <r>
    <x v="632"/>
    <d v="2026-02-01T00:00:00"/>
    <d v="2026-02-03T00:00:00"/>
    <d v="2026-02-06T00:00:00"/>
    <d v="2026-02-07T00:00:00"/>
    <x v="1"/>
    <x v="9"/>
    <x v="0"/>
    <x v="0"/>
    <n v="456.3"/>
    <n v="1053.8"/>
    <n v="5266000"/>
    <b v="0"/>
    <b v="0"/>
    <n v="1500"/>
    <b v="0"/>
    <b v="0"/>
    <b v="0"/>
    <x v="1"/>
    <x v="24"/>
    <n v="70.25333333333333"/>
    <n v="0"/>
    <n v="0"/>
    <n v="4"/>
    <x v="5"/>
    <n v="1"/>
  </r>
  <r>
    <x v="633"/>
    <d v="2026-01-11T00:00:00"/>
    <d v="2026-01-12T00:00:00"/>
    <d v="2026-01-13T00:00:00"/>
    <d v="2026-01-13T00:00:00"/>
    <x v="1"/>
    <x v="8"/>
    <x v="5"/>
    <x v="3"/>
    <n v="55"/>
    <n v="595.70000000000005"/>
    <n v="1063000"/>
    <b v="0"/>
    <b v="0"/>
    <n v="1000"/>
    <b v="0"/>
    <b v="0"/>
    <b v="0"/>
    <x v="0"/>
    <x v="28"/>
    <n v="59.57"/>
    <n v="0"/>
    <n v="0"/>
    <n v="1"/>
    <x v="3"/>
    <m/>
  </r>
  <r>
    <x v="634"/>
    <d v="2026-05-14T00:00:00"/>
    <d v="2026-05-15T00:00:00"/>
    <d v="2026-05-17T00:00:00"/>
    <d v="2026-05-17T00:00:00"/>
    <x v="2"/>
    <x v="2"/>
    <x v="3"/>
    <x v="0"/>
    <n v="292.8"/>
    <n v="551.9"/>
    <n v="3679000"/>
    <b v="0"/>
    <b v="0"/>
    <n v="1500"/>
    <b v="0"/>
    <b v="0"/>
    <b v="0"/>
    <x v="0"/>
    <x v="29"/>
    <n v="36.793333333333337"/>
    <n v="0"/>
    <n v="0"/>
    <n v="2"/>
    <x v="2"/>
    <m/>
  </r>
  <r>
    <x v="635"/>
    <d v="2026-02-26T00:00:00"/>
    <d v="2026-02-27T00:00:00"/>
    <d v="2026-03-03T00:00:00"/>
    <d v="2026-03-03T00:00:00"/>
    <x v="1"/>
    <x v="4"/>
    <x v="5"/>
    <x v="1"/>
    <n v="746.6"/>
    <n v="990.6"/>
    <n v="9237000"/>
    <b v="0"/>
    <b v="0"/>
    <n v="5000"/>
    <b v="0"/>
    <b v="0"/>
    <b v="0"/>
    <x v="0"/>
    <x v="38"/>
    <n v="19.812000000000001"/>
    <n v="0"/>
    <n v="0"/>
    <n v="4"/>
    <x v="5"/>
    <m/>
  </r>
  <r>
    <x v="636"/>
    <d v="2026-02-24T00:00:00"/>
    <d v="2026-02-25T00:00:00"/>
    <d v="2026-02-28T00:00:00"/>
    <d v="2026-02-27T00:00:00"/>
    <x v="2"/>
    <x v="2"/>
    <x v="3"/>
    <x v="1"/>
    <n v="301.7"/>
    <n v="2055.8000000000002"/>
    <n v="5141000"/>
    <b v="0"/>
    <b v="0"/>
    <n v="5000"/>
    <b v="0"/>
    <b v="0"/>
    <b v="0"/>
    <x v="0"/>
    <x v="29"/>
    <n v="41.116"/>
    <n v="0"/>
    <n v="0"/>
    <n v="2"/>
    <x v="5"/>
    <m/>
  </r>
  <r>
    <x v="637"/>
    <d v="2026-06-02T00:00:00"/>
    <d v="2026-06-03T00:00:00"/>
    <d v="2026-06-04T00:00:00"/>
    <d v="2026-06-04T00:00:00"/>
    <x v="2"/>
    <x v="10"/>
    <x v="3"/>
    <x v="3"/>
    <n v="55.2"/>
    <n v="820.6"/>
    <n v="1320000"/>
    <b v="0"/>
    <b v="0"/>
    <n v="1000"/>
    <b v="0"/>
    <b v="0"/>
    <b v="0"/>
    <x v="0"/>
    <x v="34"/>
    <n v="82.06"/>
    <n v="0"/>
    <n v="0"/>
    <n v="1"/>
    <x v="1"/>
    <m/>
  </r>
  <r>
    <x v="638"/>
    <d v="2026-06-23T00:00:00"/>
    <d v="2026-06-24T00:00:00"/>
    <d v="2026-06-28T00:00:00"/>
    <d v="2026-06-29T00:00:00"/>
    <x v="3"/>
    <x v="10"/>
    <x v="2"/>
    <x v="1"/>
    <n v="664.3"/>
    <n v="4340.1000000000004"/>
    <n v="10401000"/>
    <b v="0"/>
    <b v="0"/>
    <n v="5000"/>
    <b v="0"/>
    <b v="0"/>
    <b v="0"/>
    <x v="1"/>
    <x v="32"/>
    <n v="86.802000000000007"/>
    <n v="0"/>
    <n v="0"/>
    <n v="5"/>
    <x v="1"/>
    <n v="1"/>
  </r>
  <r>
    <x v="639"/>
    <d v="2026-06-02T00:00:00"/>
    <d v="2026-06-03T00:00:00"/>
    <d v="2026-06-07T00:00:00"/>
    <d v="2026-06-06T00:00:00"/>
    <x v="2"/>
    <x v="5"/>
    <x v="1"/>
    <x v="0"/>
    <n v="324.8"/>
    <n v="300.5"/>
    <n v="3398000"/>
    <b v="0"/>
    <b v="0"/>
    <n v="1500"/>
    <b v="0"/>
    <b v="0"/>
    <b v="0"/>
    <x v="0"/>
    <x v="17"/>
    <n v="20.033333333333331"/>
    <n v="0"/>
    <n v="0"/>
    <n v="3"/>
    <x v="1"/>
    <m/>
  </r>
  <r>
    <x v="640"/>
    <d v="2026-02-10T00:00:00"/>
    <d v="2026-02-10T00:00:00"/>
    <d v="2026-02-13T00:00:00"/>
    <d v="2026-02-12T00:00:00"/>
    <x v="3"/>
    <x v="6"/>
    <x v="0"/>
    <x v="3"/>
    <n v="479.9"/>
    <n v="855.3"/>
    <n v="4439000"/>
    <b v="0"/>
    <b v="0"/>
    <n v="1000"/>
    <b v="0"/>
    <b v="0"/>
    <b v="0"/>
    <x v="0"/>
    <x v="13"/>
    <n v="85.53"/>
    <n v="0"/>
    <n v="0"/>
    <n v="2"/>
    <x v="5"/>
    <m/>
  </r>
  <r>
    <x v="641"/>
    <d v="2026-01-30T00:00:00"/>
    <d v="2026-01-31T00:00:00"/>
    <d v="2026-02-03T00:00:00"/>
    <d v="2026-02-04T00:00:00"/>
    <x v="2"/>
    <x v="2"/>
    <x v="1"/>
    <x v="3"/>
    <n v="312.3"/>
    <n v="629.70000000000005"/>
    <n v="2839000"/>
    <b v="0"/>
    <b v="0"/>
    <n v="1000"/>
    <b v="0"/>
    <b v="0"/>
    <b v="0"/>
    <x v="1"/>
    <x v="29"/>
    <n v="62.970000000000013"/>
    <n v="0"/>
    <n v="0"/>
    <n v="4"/>
    <x v="3"/>
    <n v="1"/>
  </r>
  <r>
    <x v="642"/>
    <d v="2026-04-29T00:00:00"/>
    <d v="2026-04-30T00:00:00"/>
    <d v="2026-05-03T00:00:00"/>
    <d v="2026-05-03T00:00:00"/>
    <x v="1"/>
    <x v="2"/>
    <x v="3"/>
    <x v="1"/>
    <n v="355.5"/>
    <n v="2063.8000000000002"/>
    <n v="5583000"/>
    <b v="0"/>
    <b v="0"/>
    <n v="5000"/>
    <b v="0"/>
    <b v="0"/>
    <b v="0"/>
    <x v="0"/>
    <x v="2"/>
    <n v="41.276000000000003"/>
    <n v="0"/>
    <n v="0"/>
    <n v="3"/>
    <x v="4"/>
    <m/>
  </r>
  <r>
    <x v="643"/>
    <d v="2026-01-16T00:00:00"/>
    <d v="2026-01-17T00:00:00"/>
    <d v="2026-01-20T00:00:00"/>
    <d v="2026-01-20T00:00:00"/>
    <x v="1"/>
    <x v="5"/>
    <x v="0"/>
    <x v="1"/>
    <n v="335.1"/>
    <n v="2688.4"/>
    <n v="6475000"/>
    <b v="0"/>
    <b v="0"/>
    <n v="5000"/>
    <b v="0"/>
    <b v="0"/>
    <b v="0"/>
    <x v="0"/>
    <x v="5"/>
    <n v="53.768000000000008"/>
    <n v="0"/>
    <n v="0"/>
    <n v="3"/>
    <x v="3"/>
    <m/>
  </r>
  <r>
    <x v="644"/>
    <d v="2026-05-02T00:00:00"/>
    <d v="2026-05-02T00:00:00"/>
    <d v="2026-05-06T00:00:00"/>
    <d v="2026-05-07T00:00:00"/>
    <x v="1"/>
    <x v="4"/>
    <x v="2"/>
    <x v="1"/>
    <n v="645.4"/>
    <n v="2130.1"/>
    <n v="9192000"/>
    <b v="0"/>
    <b v="0"/>
    <n v="5000"/>
    <b v="0"/>
    <b v="0"/>
    <b v="0"/>
    <x v="1"/>
    <x v="38"/>
    <n v="42.601999999999997"/>
    <n v="0"/>
    <n v="0"/>
    <n v="5"/>
    <x v="2"/>
    <n v="1"/>
  </r>
  <r>
    <x v="645"/>
    <d v="2026-03-14T00:00:00"/>
    <d v="2026-03-15T00:00:00"/>
    <d v="2026-03-19T00:00:00"/>
    <d v="2026-03-19T00:00:00"/>
    <x v="0"/>
    <x v="3"/>
    <x v="3"/>
    <x v="1"/>
    <n v="1128.9000000000001"/>
    <n v="912.7"/>
    <n v="15051000"/>
    <b v="0"/>
    <b v="0"/>
    <n v="5000"/>
    <b v="0"/>
    <b v="0"/>
    <b v="0"/>
    <x v="0"/>
    <x v="47"/>
    <n v="18.254000000000001"/>
    <n v="0"/>
    <n v="0"/>
    <n v="4"/>
    <x v="6"/>
    <m/>
  </r>
  <r>
    <x v="646"/>
    <d v="2026-03-25T00:00:00"/>
    <d v="2026-03-25T00:00:00"/>
    <d v="2026-03-29T00:00:00"/>
    <d v="2026-03-30T00:00:00"/>
    <x v="1"/>
    <x v="11"/>
    <x v="5"/>
    <x v="1"/>
    <n v="626.5"/>
    <n v="1357.8"/>
    <n v="9691000"/>
    <b v="0"/>
    <b v="0"/>
    <n v="5000"/>
    <b v="0"/>
    <b v="0"/>
    <b v="0"/>
    <x v="1"/>
    <x v="33"/>
    <n v="27.155999999999999"/>
    <n v="0"/>
    <n v="0"/>
    <n v="5"/>
    <x v="6"/>
    <n v="1"/>
  </r>
  <r>
    <x v="647"/>
    <d v="2026-03-28T00:00:00"/>
    <d v="2026-03-29T00:00:00"/>
    <d v="2026-03-31T00:00:00"/>
    <d v="2026-03-31T00:00:00"/>
    <x v="2"/>
    <x v="6"/>
    <x v="5"/>
    <x v="1"/>
    <n v="131.6"/>
    <n v="3308.6"/>
    <n v="3584000"/>
    <b v="0"/>
    <b v="0"/>
    <n v="5000"/>
    <b v="0"/>
    <b v="0"/>
    <b v="0"/>
    <x v="0"/>
    <x v="6"/>
    <n v="66.171999999999997"/>
    <n v="0"/>
    <n v="0"/>
    <n v="2"/>
    <x v="6"/>
    <m/>
  </r>
  <r>
    <x v="648"/>
    <d v="2026-02-19T00:00:00"/>
    <d v="2026-02-20T00:00:00"/>
    <d v="2026-02-22T00:00:00"/>
    <d v="2026-02-24T00:00:00"/>
    <x v="2"/>
    <x v="2"/>
    <x v="0"/>
    <x v="1"/>
    <n v="298"/>
    <n v="3651"/>
    <n v="5480000"/>
    <b v="0"/>
    <b v="0"/>
    <n v="5000"/>
    <b v="0"/>
    <b v="0"/>
    <b v="0"/>
    <x v="1"/>
    <x v="29"/>
    <n v="73.02"/>
    <n v="0"/>
    <n v="0"/>
    <n v="4"/>
    <x v="5"/>
    <n v="2"/>
  </r>
  <r>
    <x v="649"/>
    <d v="2026-01-21T00:00:00"/>
    <d v="2026-01-22T00:00:00"/>
    <d v="2026-01-26T00:00:00"/>
    <d v="2026-01-28T00:00:00"/>
    <x v="2"/>
    <x v="9"/>
    <x v="1"/>
    <x v="0"/>
    <n v="491"/>
    <n v="1266"/>
    <n v="6236000"/>
    <b v="0"/>
    <b v="0"/>
    <n v="1500"/>
    <b v="0"/>
    <b v="0"/>
    <b v="0"/>
    <x v="1"/>
    <x v="20"/>
    <n v="84.399999999999991"/>
    <n v="0"/>
    <n v="0"/>
    <n v="6"/>
    <x v="3"/>
    <n v="2"/>
  </r>
  <r>
    <x v="650"/>
    <d v="2026-05-29T00:00:00"/>
    <d v="2026-05-30T00:00:00"/>
    <d v="2026-06-03T00:00:00"/>
    <d v="2026-06-04T00:00:00"/>
    <x v="1"/>
    <x v="3"/>
    <x v="0"/>
    <x v="0"/>
    <n v="937.5"/>
    <n v="530.4"/>
    <n v="9349000"/>
    <b v="0"/>
    <b v="0"/>
    <n v="1500"/>
    <b v="0"/>
    <b v="0"/>
    <b v="0"/>
    <x v="1"/>
    <x v="35"/>
    <n v="35.36"/>
    <n v="0"/>
    <n v="0"/>
    <n v="5"/>
    <x v="2"/>
    <n v="1"/>
  </r>
  <r>
    <x v="651"/>
    <d v="2026-01-21T00:00:00"/>
    <d v="2026-01-22T00:00:00"/>
    <d v="2026-01-23T00:00:00"/>
    <d v="2026-01-23T00:00:00"/>
    <x v="1"/>
    <x v="8"/>
    <x v="2"/>
    <x v="1"/>
    <n v="58.3"/>
    <n v="4496.2"/>
    <n v="3469000"/>
    <b v="0"/>
    <b v="0"/>
    <n v="5000"/>
    <b v="0"/>
    <b v="0"/>
    <b v="0"/>
    <x v="0"/>
    <x v="28"/>
    <n v="89.923999999999992"/>
    <n v="0"/>
    <n v="0"/>
    <n v="1"/>
    <x v="3"/>
    <m/>
  </r>
  <r>
    <x v="652"/>
    <d v="2026-05-29T00:00:00"/>
    <d v="2026-05-30T00:00:00"/>
    <d v="2026-06-02T00:00:00"/>
    <d v="2026-06-01T00:00:00"/>
    <x v="0"/>
    <x v="7"/>
    <x v="0"/>
    <x v="1"/>
    <n v="302.5"/>
    <n v="3126.6"/>
    <n v="5882000"/>
    <b v="0"/>
    <b v="0"/>
    <n v="5000"/>
    <b v="0"/>
    <b v="0"/>
    <b v="0"/>
    <x v="0"/>
    <x v="45"/>
    <n v="62.531999999999996"/>
    <n v="0"/>
    <n v="0"/>
    <n v="2"/>
    <x v="2"/>
    <m/>
  </r>
  <r>
    <x v="653"/>
    <d v="2026-04-17T00:00:00"/>
    <d v="2026-04-18T00:00:00"/>
    <d v="2026-04-21T00:00:00"/>
    <d v="2026-04-21T00:00:00"/>
    <x v="1"/>
    <x v="2"/>
    <x v="3"/>
    <x v="2"/>
    <n v="335.5"/>
    <n v="6521.1"/>
    <n v="8993000"/>
    <b v="0"/>
    <b v="0"/>
    <n v="16000"/>
    <b v="0"/>
    <b v="0"/>
    <b v="0"/>
    <x v="0"/>
    <x v="2"/>
    <n v="40.756875000000001"/>
    <n v="0"/>
    <n v="0"/>
    <n v="3"/>
    <x v="4"/>
    <m/>
  </r>
  <r>
    <x v="654"/>
    <d v="2026-05-24T00:00:00"/>
    <d v="2026-05-25T00:00:00"/>
    <d v="2026-05-27T00:00:00"/>
    <d v="2026-05-27T00:00:00"/>
    <x v="3"/>
    <x v="11"/>
    <x v="3"/>
    <x v="3"/>
    <n v="27.4"/>
    <n v="607.29999999999995"/>
    <n v="860000"/>
    <b v="0"/>
    <b v="0"/>
    <n v="1000"/>
    <b v="0"/>
    <b v="0"/>
    <b v="0"/>
    <x v="0"/>
    <x v="39"/>
    <n v="60.73"/>
    <n v="0"/>
    <n v="0"/>
    <n v="2"/>
    <x v="2"/>
    <m/>
  </r>
  <r>
    <x v="655"/>
    <d v="2026-01-06T00:00:00"/>
    <d v="2026-01-06T00:00:00"/>
    <d v="2026-01-10T00:00:00"/>
    <d v="2026-01-10T00:00:00"/>
    <x v="3"/>
    <x v="9"/>
    <x v="3"/>
    <x v="1"/>
    <n v="955.6"/>
    <n v="3302.2"/>
    <n v="16031000"/>
    <b v="0"/>
    <b v="0"/>
    <n v="5000"/>
    <b v="0"/>
    <b v="0"/>
    <b v="0"/>
    <x v="0"/>
    <x v="31"/>
    <n v="66.043999999999997"/>
    <n v="0"/>
    <n v="0"/>
    <n v="4"/>
    <x v="3"/>
    <m/>
  </r>
  <r>
    <x v="656"/>
    <d v="2026-05-04T00:00:00"/>
    <d v="2026-05-04T00:00:00"/>
    <d v="2026-05-06T00:00:00"/>
    <d v="2026-05-06T00:00:00"/>
    <x v="2"/>
    <x v="7"/>
    <x v="2"/>
    <x v="0"/>
    <n v="194"/>
    <n v="652.6"/>
    <n v="2179000"/>
    <b v="0"/>
    <b v="0"/>
    <n v="1500"/>
    <b v="0"/>
    <b v="0"/>
    <b v="0"/>
    <x v="0"/>
    <x v="10"/>
    <n v="43.506666666666668"/>
    <n v="0"/>
    <n v="0"/>
    <n v="2"/>
    <x v="2"/>
    <m/>
  </r>
  <r>
    <x v="657"/>
    <d v="2026-04-20T00:00:00"/>
    <d v="2026-04-21T00:00:00"/>
    <d v="2026-04-22T00:00:00"/>
    <d v="2026-04-24T00:00:00"/>
    <x v="1"/>
    <x v="10"/>
    <x v="1"/>
    <x v="1"/>
    <n v="22.1"/>
    <n v="577.5"/>
    <n v="1157000"/>
    <b v="0"/>
    <b v="0"/>
    <n v="5000"/>
    <b v="0"/>
    <b v="0"/>
    <b v="0"/>
    <x v="1"/>
    <x v="27"/>
    <n v="11.55"/>
    <n v="0"/>
    <n v="0"/>
    <n v="3"/>
    <x v="4"/>
    <n v="2"/>
  </r>
  <r>
    <x v="658"/>
    <d v="2026-04-20T00:00:00"/>
    <d v="2026-04-21T00:00:00"/>
    <d v="2026-04-24T00:00:00"/>
    <d v="2026-04-24T00:00:00"/>
    <x v="2"/>
    <x v="6"/>
    <x v="3"/>
    <x v="0"/>
    <n v="120.5"/>
    <n v="680.9"/>
    <n v="1663000"/>
    <b v="0"/>
    <b v="0"/>
    <n v="1500"/>
    <b v="0"/>
    <b v="0"/>
    <b v="0"/>
    <x v="0"/>
    <x v="6"/>
    <n v="45.393333333333331"/>
    <n v="0"/>
    <n v="0"/>
    <n v="3"/>
    <x v="4"/>
    <m/>
  </r>
  <r>
    <x v="659"/>
    <d v="2026-05-03T00:00:00"/>
    <d v="2026-05-05T00:00:00"/>
    <d v="2026-05-06T00:00:00"/>
    <d v="2026-05-06T00:00:00"/>
    <x v="3"/>
    <x v="11"/>
    <x v="2"/>
    <x v="2"/>
    <n v="24.2"/>
    <n v="11628.6"/>
    <n v="5312000"/>
    <b v="0"/>
    <b v="0"/>
    <n v="16000"/>
    <b v="0"/>
    <b v="0"/>
    <b v="0"/>
    <x v="0"/>
    <x v="39"/>
    <n v="72.678750000000008"/>
    <n v="0"/>
    <n v="0"/>
    <n v="1"/>
    <x v="2"/>
    <m/>
  </r>
  <r>
    <x v="660"/>
    <d v="2026-04-27T00:00:00"/>
    <d v="2026-04-29T00:00:00"/>
    <d v="2026-05-04T00:00:00"/>
    <d v="2026-05-07T00:00:00"/>
    <x v="3"/>
    <x v="3"/>
    <x v="2"/>
    <x v="1"/>
    <n v="1495.8"/>
    <n v="3596"/>
    <n v="22778000"/>
    <b v="0"/>
    <b v="0"/>
    <n v="5000"/>
    <b v="0"/>
    <b v="0"/>
    <b v="0"/>
    <x v="1"/>
    <x v="43"/>
    <n v="71.92"/>
    <n v="0"/>
    <n v="0"/>
    <n v="8"/>
    <x v="4"/>
    <n v="3"/>
  </r>
  <r>
    <x v="661"/>
    <d v="2026-06-24T00:00:00"/>
    <d v="2026-06-25T00:00:00"/>
    <d v="2026-06-29T00:00:00"/>
    <d v="2026-07-02T00:00:00"/>
    <x v="2"/>
    <x v="4"/>
    <x v="2"/>
    <x v="1"/>
    <n v="693"/>
    <n v="3514.5"/>
    <n v="10807000"/>
    <b v="0"/>
    <b v="0"/>
    <n v="5000"/>
    <b v="0"/>
    <b v="0"/>
    <b v="0"/>
    <x v="1"/>
    <x v="4"/>
    <n v="70.289999999999992"/>
    <n v="0"/>
    <n v="0"/>
    <n v="7"/>
    <x v="1"/>
    <n v="3"/>
  </r>
  <r>
    <x v="662"/>
    <d v="2026-02-21T00:00:00"/>
    <d v="2026-02-22T00:00:00"/>
    <d v="2026-02-25T00:00:00"/>
    <d v="2026-02-25T00:00:00"/>
    <x v="3"/>
    <x v="6"/>
    <x v="1"/>
    <x v="0"/>
    <n v="412"/>
    <n v="218.9"/>
    <n v="4465000"/>
    <b v="0"/>
    <b v="0"/>
    <n v="1500"/>
    <b v="0"/>
    <b v="0"/>
    <b v="0"/>
    <x v="0"/>
    <x v="13"/>
    <n v="14.59333333333333"/>
    <n v="0"/>
    <n v="0"/>
    <n v="3"/>
    <x v="5"/>
    <m/>
  </r>
  <r>
    <x v="663"/>
    <d v="2026-06-11T00:00:00"/>
    <d v="2026-06-12T00:00:00"/>
    <d v="2026-06-13T00:00:00"/>
    <d v="2026-06-15T00:00:00"/>
    <x v="2"/>
    <x v="10"/>
    <x v="2"/>
    <x v="1"/>
    <n v="50.6"/>
    <n v="979"/>
    <n v="1686000"/>
    <b v="0"/>
    <b v="0"/>
    <n v="5000"/>
    <b v="0"/>
    <b v="0"/>
    <b v="0"/>
    <x v="1"/>
    <x v="34"/>
    <n v="19.579999999999998"/>
    <n v="0"/>
    <n v="0"/>
    <n v="3"/>
    <x v="1"/>
    <n v="2"/>
  </r>
  <r>
    <x v="664"/>
    <d v="2026-05-22T00:00:00"/>
    <d v="2026-05-22T00:00:00"/>
    <d v="2026-05-24T00:00:00"/>
    <d v="2026-05-23T00:00:00"/>
    <x v="3"/>
    <x v="2"/>
    <x v="2"/>
    <x v="1"/>
    <n v="288.89999999999998"/>
    <n v="2399"/>
    <n v="5342000"/>
    <b v="0"/>
    <b v="0"/>
    <n v="5000"/>
    <b v="0"/>
    <b v="0"/>
    <b v="0"/>
    <x v="0"/>
    <x v="14"/>
    <n v="47.98"/>
    <n v="0"/>
    <n v="0"/>
    <n v="1"/>
    <x v="2"/>
    <m/>
  </r>
  <r>
    <x v="665"/>
    <d v="2026-01-30T00:00:00"/>
    <d v="2026-01-29T00:00:00"/>
    <d v="2026-02-02T00:00:00"/>
    <d v="2026-02-03T00:00:00"/>
    <x v="0"/>
    <x v="1"/>
    <x v="2"/>
    <x v="2"/>
    <n v="275.10000000000002"/>
    <n v="5566"/>
    <n v="7192000"/>
    <b v="1"/>
    <b v="0"/>
    <n v="16000"/>
    <b v="0"/>
    <b v="0"/>
    <b v="1"/>
    <x v="3"/>
    <x v="1"/>
    <n v="34.787500000000001"/>
    <n v="0"/>
    <n v="1"/>
    <m/>
    <x v="3"/>
    <m/>
  </r>
  <r>
    <x v="666"/>
    <d v="2026-01-08T00:00:00"/>
    <d v="2026-01-09T00:00:00"/>
    <d v="2026-01-10T00:00:00"/>
    <d v="2026-01-10T00:00:00"/>
    <x v="1"/>
    <x v="8"/>
    <x v="2"/>
    <x v="3"/>
    <n v="57.7"/>
    <n v="362.5"/>
    <n v="1124000"/>
    <b v="0"/>
    <b v="0"/>
    <n v="1000"/>
    <b v="0"/>
    <b v="0"/>
    <b v="0"/>
    <x v="0"/>
    <x v="28"/>
    <n v="36.25"/>
    <n v="0"/>
    <n v="0"/>
    <n v="1"/>
    <x v="3"/>
    <m/>
  </r>
  <r>
    <x v="667"/>
    <d v="2026-03-12T00:00:00"/>
    <d v="2026-03-13T00:00:00"/>
    <d v="2026-03-14T00:00:00"/>
    <d v="2026-03-16T00:00:00"/>
    <x v="1"/>
    <x v="10"/>
    <x v="0"/>
    <x v="0"/>
    <n v="19.7"/>
    <n v="682"/>
    <n v="975000"/>
    <b v="0"/>
    <b v="0"/>
    <n v="1500"/>
    <b v="0"/>
    <b v="0"/>
    <b v="0"/>
    <x v="1"/>
    <x v="27"/>
    <n v="45.466666666666669"/>
    <n v="0"/>
    <n v="0"/>
    <n v="3"/>
    <x v="6"/>
    <n v="2"/>
  </r>
  <r>
    <x v="668"/>
    <d v="2026-03-23T00:00:00"/>
    <d v="2026-03-24T00:00:00"/>
    <d v="2026-03-26T00:00:00"/>
    <d v="2026-03-26T00:00:00"/>
    <x v="0"/>
    <x v="10"/>
    <x v="5"/>
    <x v="2"/>
    <n v="153.69999999999999"/>
    <n v="13958.8"/>
    <n v="7876000"/>
    <b v="0"/>
    <b v="0"/>
    <n v="16000"/>
    <b v="0"/>
    <b v="0"/>
    <b v="0"/>
    <x v="0"/>
    <x v="42"/>
    <n v="87.242500000000007"/>
    <n v="0"/>
    <n v="0"/>
    <n v="2"/>
    <x v="6"/>
    <m/>
  </r>
  <r>
    <x v="669"/>
    <d v="2026-03-21T00:00:00"/>
    <d v="2026-03-22T00:00:00"/>
    <d v="2026-03-24T00:00:00"/>
    <d v="2026-03-24T00:00:00"/>
    <x v="2"/>
    <x v="10"/>
    <x v="2"/>
    <x v="1"/>
    <n v="54"/>
    <n v="4151.7"/>
    <n v="2881000"/>
    <b v="0"/>
    <b v="0"/>
    <n v="5000"/>
    <b v="0"/>
    <b v="0"/>
    <b v="0"/>
    <x v="0"/>
    <x v="34"/>
    <n v="83.033999999999992"/>
    <n v="0"/>
    <n v="0"/>
    <n v="2"/>
    <x v="6"/>
    <m/>
  </r>
  <r>
    <x v="670"/>
    <d v="2026-01-08T00:00:00"/>
    <d v="2026-01-09T00:00:00"/>
    <d v="2026-01-11T00:00:00"/>
    <d v="2026-01-11T00:00:00"/>
    <x v="1"/>
    <x v="6"/>
    <x v="3"/>
    <x v="1"/>
    <n v="156"/>
    <n v="844.9"/>
    <n v="2773000"/>
    <b v="0"/>
    <b v="0"/>
    <n v="5000"/>
    <b v="0"/>
    <b v="0"/>
    <b v="0"/>
    <x v="0"/>
    <x v="9"/>
    <n v="16.898"/>
    <n v="0"/>
    <n v="0"/>
    <n v="2"/>
    <x v="3"/>
    <m/>
  </r>
  <r>
    <x v="671"/>
    <d v="2026-06-03T00:00:00"/>
    <d v="2026-06-05T00:00:00"/>
    <d v="2026-06-09T00:00:00"/>
    <d v="2026-06-09T00:00:00"/>
    <x v="1"/>
    <x v="9"/>
    <x v="3"/>
    <x v="3"/>
    <n v="470.6"/>
    <n v="309.39999999999998"/>
    <n v="4423000"/>
    <b v="0"/>
    <b v="0"/>
    <n v="1000"/>
    <b v="0"/>
    <b v="0"/>
    <b v="0"/>
    <x v="0"/>
    <x v="24"/>
    <n v="30.939999999999991"/>
    <n v="0"/>
    <n v="0"/>
    <n v="4"/>
    <x v="1"/>
    <m/>
  </r>
  <r>
    <x v="672"/>
    <d v="2026-03-25T00:00:00"/>
    <d v="2026-03-26T00:00:00"/>
    <d v="2026-03-29T00:00:00"/>
    <d v="2026-03-30T00:00:00"/>
    <x v="1"/>
    <x v="9"/>
    <x v="3"/>
    <x v="2"/>
    <n v="424.8"/>
    <n v="7628.5"/>
    <n v="10065000"/>
    <b v="0"/>
    <b v="0"/>
    <n v="16000"/>
    <b v="0"/>
    <b v="0"/>
    <b v="0"/>
    <x v="1"/>
    <x v="24"/>
    <n v="47.678125000000001"/>
    <n v="0"/>
    <n v="0"/>
    <n v="4"/>
    <x v="6"/>
    <n v="1"/>
  </r>
  <r>
    <x v="673"/>
    <d v="2026-06-27T00:00:00"/>
    <d v="2026-06-29T00:00:00"/>
    <d v="2026-07-01T00:00:00"/>
    <d v="2026-07-01T00:00:00"/>
    <x v="0"/>
    <x v="1"/>
    <x v="1"/>
    <x v="2"/>
    <n v="265.89999999999998"/>
    <n v="3290.9"/>
    <n v="7474000"/>
    <b v="0"/>
    <b v="0"/>
    <n v="16000"/>
    <b v="0"/>
    <b v="0"/>
    <b v="0"/>
    <x v="0"/>
    <x v="1"/>
    <n v="20.568124999999998"/>
    <n v="0"/>
    <n v="0"/>
    <n v="2"/>
    <x v="1"/>
    <m/>
  </r>
  <r>
    <x v="674"/>
    <d v="2026-01-26T00:00:00"/>
    <d v="2026-01-26T00:00:00"/>
    <d v="2026-01-30T00:00:00"/>
    <d v="2026-01-31T00:00:00"/>
    <x v="1"/>
    <x v="11"/>
    <x v="5"/>
    <x v="0"/>
    <n v="617.79999999999995"/>
    <n v="244.6"/>
    <n v="7154000"/>
    <b v="0"/>
    <b v="0"/>
    <n v="1500"/>
    <b v="0"/>
    <b v="0"/>
    <b v="0"/>
    <x v="1"/>
    <x v="33"/>
    <n v="16.306666666666661"/>
    <n v="0"/>
    <n v="0"/>
    <n v="5"/>
    <x v="3"/>
    <n v="1"/>
  </r>
  <r>
    <x v="675"/>
    <d v="2026-06-25T00:00:00"/>
    <d v="2026-06-25T00:00:00"/>
    <d v="2026-06-26T00:00:00"/>
    <d v="2026-06-26T00:00:00"/>
    <x v="1"/>
    <x v="10"/>
    <x v="0"/>
    <x v="0"/>
    <n v="23.1"/>
    <n v="455.9"/>
    <n v="975000"/>
    <b v="0"/>
    <b v="0"/>
    <n v="1500"/>
    <b v="0"/>
    <b v="0"/>
    <b v="0"/>
    <x v="0"/>
    <x v="27"/>
    <n v="30.393333333333331"/>
    <n v="0"/>
    <n v="0"/>
    <n v="1"/>
    <x v="1"/>
    <m/>
  </r>
  <r>
    <x v="676"/>
    <d v="2026-05-29T00:00:00"/>
    <d v="2026-05-29T00:00:00"/>
    <d v="2026-06-01T00:00:00"/>
    <d v="2026-06-02T00:00:00"/>
    <x v="0"/>
    <x v="0"/>
    <x v="2"/>
    <x v="1"/>
    <n v="344"/>
    <n v="1690.8"/>
    <n v="5895000"/>
    <b v="0"/>
    <b v="0"/>
    <n v="5000"/>
    <b v="0"/>
    <b v="0"/>
    <b v="0"/>
    <x v="1"/>
    <x v="0"/>
    <n v="33.816000000000003"/>
    <n v="0"/>
    <n v="0"/>
    <n v="4"/>
    <x v="2"/>
    <n v="1"/>
  </r>
  <r>
    <x v="677"/>
    <d v="2026-05-30T00:00:00"/>
    <d v="2026-05-31T00:00:00"/>
    <d v="2026-06-04T00:00:00"/>
    <d v="2026-06-04T00:00:00"/>
    <x v="2"/>
    <x v="4"/>
    <x v="0"/>
    <x v="0"/>
    <n v="754.2"/>
    <n v="255.2"/>
    <n v="7968000"/>
    <b v="0"/>
    <b v="0"/>
    <n v="1500"/>
    <b v="0"/>
    <b v="0"/>
    <b v="0"/>
    <x v="0"/>
    <x v="4"/>
    <n v="17.013333333333328"/>
    <n v="0"/>
    <n v="0"/>
    <n v="4"/>
    <x v="2"/>
    <m/>
  </r>
  <r>
    <x v="678"/>
    <d v="2026-03-22T00:00:00"/>
    <d v="2026-03-23T00:00:00"/>
    <d v="2026-03-26T00:00:00"/>
    <d v="2026-03-26T00:00:00"/>
    <x v="3"/>
    <x v="2"/>
    <x v="1"/>
    <x v="3"/>
    <n v="292.89999999999998"/>
    <n v="297"/>
    <n v="3100000"/>
    <b v="0"/>
    <b v="0"/>
    <n v="1000"/>
    <b v="0"/>
    <b v="0"/>
    <b v="0"/>
    <x v="0"/>
    <x v="14"/>
    <n v="29.7"/>
    <n v="0"/>
    <n v="0"/>
    <n v="3"/>
    <x v="6"/>
    <m/>
  </r>
  <r>
    <x v="679"/>
    <d v="2026-06-14T00:00:00"/>
    <d v="2026-06-14T00:00:00"/>
    <d v="2026-06-17T00:00:00"/>
    <d v="2026-06-17T00:00:00"/>
    <x v="1"/>
    <x v="1"/>
    <x v="0"/>
    <x v="0"/>
    <n v="326.5"/>
    <n v="745.7"/>
    <n v="4146000"/>
    <b v="0"/>
    <b v="0"/>
    <n v="1500"/>
    <b v="0"/>
    <b v="0"/>
    <b v="0"/>
    <x v="0"/>
    <x v="25"/>
    <n v="49.713333333333338"/>
    <n v="0"/>
    <n v="0"/>
    <n v="3"/>
    <x v="1"/>
    <m/>
  </r>
  <r>
    <x v="680"/>
    <d v="2026-05-19T00:00:00"/>
    <d v="2026-05-20T00:00:00"/>
    <d v="2026-05-25T00:00:00"/>
    <d v="2026-05-26T00:00:00"/>
    <x v="3"/>
    <x v="7"/>
    <x v="2"/>
    <x v="1"/>
    <n v="738.2"/>
    <n v="861.8"/>
    <n v="8586000"/>
    <b v="0"/>
    <b v="0"/>
    <n v="5000"/>
    <b v="0"/>
    <b v="0"/>
    <b v="0"/>
    <x v="1"/>
    <x v="40"/>
    <n v="17.236000000000001"/>
    <n v="0"/>
    <n v="0"/>
    <n v="6"/>
    <x v="2"/>
    <n v="1"/>
  </r>
  <r>
    <x v="681"/>
    <d v="2026-04-04T00:00:00"/>
    <d v="2026-04-05T00:00:00"/>
    <d v="2026-04-09T00:00:00"/>
    <d v="2026-04-10T00:00:00"/>
    <x v="3"/>
    <x v="5"/>
    <x v="1"/>
    <x v="2"/>
    <n v="528.70000000000005"/>
    <n v="13121.5"/>
    <n v="15630000"/>
    <b v="0"/>
    <b v="0"/>
    <n v="16000"/>
    <b v="0"/>
    <b v="0"/>
    <b v="0"/>
    <x v="1"/>
    <x v="37"/>
    <n v="82.009374999999991"/>
    <n v="0"/>
    <n v="0"/>
    <n v="5"/>
    <x v="4"/>
    <n v="1"/>
  </r>
  <r>
    <x v="682"/>
    <d v="2026-02-21T00:00:00"/>
    <d v="2026-02-23T00:00:00"/>
    <d v="2026-02-26T00:00:00"/>
    <d v="2026-02-26T00:00:00"/>
    <x v="2"/>
    <x v="9"/>
    <x v="0"/>
    <x v="2"/>
    <n v="470.2"/>
    <n v="7736"/>
    <n v="10569000"/>
    <b v="0"/>
    <b v="0"/>
    <n v="16000"/>
    <b v="0"/>
    <b v="0"/>
    <b v="0"/>
    <x v="0"/>
    <x v="20"/>
    <n v="48.35"/>
    <n v="0"/>
    <n v="0"/>
    <n v="3"/>
    <x v="5"/>
    <m/>
  </r>
  <r>
    <x v="683"/>
    <d v="2026-03-08T00:00:00"/>
    <d v="2026-03-08T00:00:00"/>
    <d v="2026-03-10T00:00:00"/>
    <d v="2026-03-10T00:00:00"/>
    <x v="0"/>
    <x v="10"/>
    <x v="2"/>
    <x v="1"/>
    <n v="155.1"/>
    <n v="4335.8"/>
    <n v="4185000"/>
    <b v="0"/>
    <b v="0"/>
    <n v="5000"/>
    <b v="0"/>
    <b v="0"/>
    <b v="0"/>
    <x v="0"/>
    <x v="42"/>
    <n v="86.716000000000008"/>
    <n v="0"/>
    <n v="0"/>
    <n v="2"/>
    <x v="6"/>
    <m/>
  </r>
  <r>
    <x v="684"/>
    <d v="2026-01-25T00:00:00"/>
    <d v="2026-01-26T00:00:00"/>
    <d v="2026-01-30T00:00:00"/>
    <d v="2026-01-30T00:00:00"/>
    <x v="0"/>
    <x v="3"/>
    <x v="2"/>
    <x v="1"/>
    <n v="991.8"/>
    <n v="1502.4"/>
    <n v="12623000"/>
    <b v="0"/>
    <b v="0"/>
    <n v="5000"/>
    <b v="0"/>
    <b v="0"/>
    <b v="0"/>
    <x v="0"/>
    <x v="47"/>
    <n v="30.047999999999998"/>
    <n v="0"/>
    <n v="0"/>
    <n v="4"/>
    <x v="3"/>
    <m/>
  </r>
  <r>
    <x v="685"/>
    <d v="2026-06-24T00:00:00"/>
    <d v="2026-06-25T00:00:00"/>
    <d v="2026-06-28T00:00:00"/>
    <d v="2026-06-27T00:00:00"/>
    <x v="2"/>
    <x v="0"/>
    <x v="3"/>
    <x v="1"/>
    <n v="309.89999999999998"/>
    <n v="2785.4"/>
    <n v="5308000"/>
    <b v="0"/>
    <b v="0"/>
    <n v="5000"/>
    <b v="0"/>
    <b v="0"/>
    <b v="0"/>
    <x v="0"/>
    <x v="7"/>
    <n v="55.707999999999998"/>
    <n v="0"/>
    <n v="0"/>
    <n v="2"/>
    <x v="1"/>
    <m/>
  </r>
  <r>
    <x v="686"/>
    <d v="2026-06-28T00:00:00"/>
    <d v="2026-06-29T00:00:00"/>
    <d v="2026-07-01T00:00:00"/>
    <d v="2026-07-01T00:00:00"/>
    <x v="2"/>
    <x v="0"/>
    <x v="5"/>
    <x v="0"/>
    <n v="297.5"/>
    <n v="151.6"/>
    <n v="3126000"/>
    <b v="0"/>
    <b v="0"/>
    <n v="1500"/>
    <b v="0"/>
    <b v="0"/>
    <b v="0"/>
    <x v="0"/>
    <x v="7"/>
    <n v="10.106666666666669"/>
    <n v="0"/>
    <n v="0"/>
    <n v="2"/>
    <x v="1"/>
    <m/>
  </r>
  <r>
    <x v="687"/>
    <d v="2026-05-21T00:00:00"/>
    <d v="2026-05-23T00:00:00"/>
    <d v="2026-05-25T00:00:00"/>
    <d v="2026-05-24T00:00:00"/>
    <x v="1"/>
    <x v="6"/>
    <x v="5"/>
    <x v="0"/>
    <n v="170.6"/>
    <n v="527.5"/>
    <n v="2575000"/>
    <b v="0"/>
    <b v="0"/>
    <n v="1500"/>
    <b v="0"/>
    <b v="0"/>
    <b v="0"/>
    <x v="0"/>
    <x v="9"/>
    <n v="35.166666666666671"/>
    <n v="0"/>
    <n v="0"/>
    <n v="1"/>
    <x v="2"/>
    <m/>
  </r>
  <r>
    <x v="688"/>
    <d v="2026-03-20T00:00:00"/>
    <d v="2026-03-22T00:00:00"/>
    <d v="2026-03-25T00:00:00"/>
    <d v="2026-03-25T00:00:00"/>
    <x v="1"/>
    <x v="1"/>
    <x v="2"/>
    <x v="0"/>
    <n v="314.7"/>
    <n v="1092.7"/>
    <n v="4152000"/>
    <b v="0"/>
    <b v="0"/>
    <n v="1500"/>
    <b v="0"/>
    <b v="0"/>
    <b v="0"/>
    <x v="0"/>
    <x v="25"/>
    <n v="72.846666666666664"/>
    <n v="0"/>
    <n v="0"/>
    <n v="3"/>
    <x v="6"/>
    <m/>
  </r>
  <r>
    <x v="689"/>
    <d v="2026-02-14T00:00:00"/>
    <d v="2026-02-15T00:00:00"/>
    <d v="2026-02-19T00:00:00"/>
    <d v="2026-02-19T00:00:00"/>
    <x v="2"/>
    <x v="3"/>
    <x v="5"/>
    <x v="1"/>
    <n v="913"/>
    <n v="1181.5999999999999"/>
    <n v="14033000"/>
    <b v="0"/>
    <b v="0"/>
    <n v="5000"/>
    <b v="0"/>
    <b v="0"/>
    <b v="0"/>
    <x v="0"/>
    <x v="3"/>
    <n v="23.632000000000001"/>
    <n v="0"/>
    <n v="0"/>
    <n v="4"/>
    <x v="5"/>
    <m/>
  </r>
  <r>
    <x v="690"/>
    <d v="2026-06-16T00:00:00"/>
    <d v="2026-06-17T00:00:00"/>
    <d v="2026-06-20T00:00:00"/>
    <d v="2026-06-20T00:00:00"/>
    <x v="1"/>
    <x v="2"/>
    <x v="1"/>
    <x v="2"/>
    <n v="311.5"/>
    <n v="8036.1"/>
    <n v="8992000"/>
    <b v="0"/>
    <b v="0"/>
    <n v="16000"/>
    <b v="0"/>
    <b v="0"/>
    <b v="0"/>
    <x v="0"/>
    <x v="2"/>
    <n v="50.225625000000008"/>
    <n v="0"/>
    <n v="0"/>
    <n v="3"/>
    <x v="1"/>
    <m/>
  </r>
  <r>
    <x v="691"/>
    <d v="2026-05-13T00:00:00"/>
    <d v="2026-05-14T00:00:00"/>
    <d v="2026-05-18T00:00:00"/>
    <d v="2026-05-19T00:00:00"/>
    <x v="1"/>
    <x v="4"/>
    <x v="2"/>
    <x v="1"/>
    <n v="808"/>
    <n v="1204.9000000000001"/>
    <n v="10922000"/>
    <b v="0"/>
    <b v="0"/>
    <n v="5000"/>
    <b v="0"/>
    <b v="0"/>
    <b v="0"/>
    <x v="1"/>
    <x v="38"/>
    <n v="24.097999999999999"/>
    <n v="0"/>
    <n v="0"/>
    <n v="5"/>
    <x v="2"/>
    <n v="1"/>
  </r>
  <r>
    <x v="692"/>
    <d v="2026-06-02T00:00:00"/>
    <d v="2026-06-03T00:00:00"/>
    <d v="2026-06-07T00:00:00"/>
    <d v="2026-06-07T00:00:00"/>
    <x v="1"/>
    <x v="3"/>
    <x v="0"/>
    <x v="1"/>
    <n v="925"/>
    <n v="1053.3"/>
    <n v="11868000"/>
    <b v="0"/>
    <b v="0"/>
    <n v="5000"/>
    <b v="0"/>
    <b v="0"/>
    <b v="0"/>
    <x v="0"/>
    <x v="35"/>
    <n v="21.065999999999999"/>
    <n v="0"/>
    <n v="0"/>
    <n v="4"/>
    <x v="1"/>
    <m/>
  </r>
  <r>
    <x v="693"/>
    <d v="2026-04-02T00:00:00"/>
    <d v="2026-04-02T00:00:00"/>
    <d v="2026-04-06T00:00:00"/>
    <d v="2026-04-06T00:00:00"/>
    <x v="1"/>
    <x v="11"/>
    <x v="5"/>
    <x v="1"/>
    <n v="638.6"/>
    <n v="1203.5999999999999"/>
    <n v="8193000"/>
    <b v="0"/>
    <b v="0"/>
    <n v="5000"/>
    <b v="0"/>
    <b v="0"/>
    <b v="0"/>
    <x v="0"/>
    <x v="33"/>
    <n v="24.071999999999999"/>
    <n v="0"/>
    <n v="0"/>
    <n v="4"/>
    <x v="4"/>
    <m/>
  </r>
  <r>
    <x v="694"/>
    <d v="2026-04-13T00:00:00"/>
    <d v="2026-04-14T00:00:00"/>
    <d v="2026-04-18T00:00:00"/>
    <d v="2026-04-18T00:00:00"/>
    <x v="1"/>
    <x v="11"/>
    <x v="3"/>
    <x v="2"/>
    <n v="646.29999999999995"/>
    <n v="8730.1500000000015"/>
    <n v="13497000"/>
    <b v="0"/>
    <b v="0"/>
    <n v="16000"/>
    <b v="0"/>
    <b v="0"/>
    <b v="0"/>
    <x v="0"/>
    <x v="33"/>
    <n v="54.563437500000013"/>
    <n v="0"/>
    <n v="0"/>
    <n v="4"/>
    <x v="4"/>
    <m/>
  </r>
  <r>
    <x v="695"/>
    <d v="2026-06-23T00:00:00"/>
    <d v="2026-06-24T00:00:00"/>
    <d v="2026-06-27T00:00:00"/>
    <d v="2026-06-27T00:00:00"/>
    <x v="3"/>
    <x v="6"/>
    <x v="3"/>
    <x v="1"/>
    <n v="459.6"/>
    <n v="1959.3"/>
    <n v="6670000"/>
    <b v="0"/>
    <b v="0"/>
    <n v="5000"/>
    <b v="0"/>
    <b v="0"/>
    <b v="0"/>
    <x v="0"/>
    <x v="13"/>
    <n v="39.186"/>
    <n v="0"/>
    <n v="0"/>
    <n v="3"/>
    <x v="1"/>
    <m/>
  </r>
  <r>
    <x v="696"/>
    <d v="2026-02-19T00:00:00"/>
    <d v="2026-02-20T00:00:00"/>
    <d v="2026-02-21T00:00:00"/>
    <d v="2026-02-21T00:00:00"/>
    <x v="1"/>
    <x v="10"/>
    <x v="0"/>
    <x v="1"/>
    <n v="28.8"/>
    <n v="1627.2"/>
    <n v="1723000"/>
    <b v="0"/>
    <b v="0"/>
    <n v="5000"/>
    <b v="0"/>
    <b v="0"/>
    <b v="0"/>
    <x v="0"/>
    <x v="27"/>
    <n v="32.543999999999997"/>
    <n v="0"/>
    <n v="0"/>
    <n v="1"/>
    <x v="5"/>
    <m/>
  </r>
  <r>
    <x v="697"/>
    <d v="2026-02-15T00:00:00"/>
    <d v="2026-02-16T00:00:00"/>
    <d v="2026-02-19T00:00:00"/>
    <d v="2026-02-20T00:00:00"/>
    <x v="0"/>
    <x v="0"/>
    <x v="5"/>
    <x v="1"/>
    <n v="317"/>
    <n v="2595.6999999999998"/>
    <n v="5314000"/>
    <b v="0"/>
    <b v="0"/>
    <n v="5000"/>
    <b v="0"/>
    <b v="0"/>
    <b v="0"/>
    <x v="1"/>
    <x v="0"/>
    <n v="51.913999999999987"/>
    <n v="0"/>
    <n v="0"/>
    <n v="4"/>
    <x v="5"/>
    <n v="1"/>
  </r>
  <r>
    <x v="698"/>
    <d v="2026-05-16T00:00:00"/>
    <d v="2026-05-17T00:00:00"/>
    <d v="2026-05-18T00:00:00"/>
    <d v="2026-05-19T00:00:00"/>
    <x v="2"/>
    <x v="10"/>
    <x v="3"/>
    <x v="1"/>
    <n v="51.7"/>
    <n v="2165.6"/>
    <n v="2334000"/>
    <b v="0"/>
    <b v="0"/>
    <n v="5000"/>
    <b v="0"/>
    <b v="0"/>
    <b v="0"/>
    <x v="1"/>
    <x v="34"/>
    <n v="43.311999999999998"/>
    <n v="0"/>
    <n v="0"/>
    <n v="2"/>
    <x v="2"/>
    <n v="1"/>
  </r>
  <r>
    <x v="699"/>
    <d v="2026-04-18T00:00:00"/>
    <d v="2026-04-19T00:00:00"/>
    <d v="2026-04-21T00:00:00"/>
    <d v="2026-04-21T00:00:00"/>
    <x v="1"/>
    <x v="6"/>
    <x v="3"/>
    <x v="0"/>
    <n v="151.4"/>
    <n v="1170.7"/>
    <n v="2185000"/>
    <b v="0"/>
    <b v="0"/>
    <n v="1500"/>
    <b v="0"/>
    <b v="0"/>
    <b v="0"/>
    <x v="0"/>
    <x v="9"/>
    <n v="78.046666666666667"/>
    <n v="0"/>
    <n v="0"/>
    <n v="2"/>
    <x v="4"/>
    <m/>
  </r>
  <r>
    <x v="700"/>
    <d v="2026-03-28T00:00:00"/>
    <d v="2026-03-28T00:00:00"/>
    <d v="2026-04-01T00:00:00"/>
    <d v="2026-04-01T00:00:00"/>
    <x v="1"/>
    <x v="5"/>
    <x v="3"/>
    <x v="3"/>
    <n v="337.5"/>
    <n v="439"/>
    <n v="3632000"/>
    <b v="0"/>
    <b v="0"/>
    <n v="1000"/>
    <b v="0"/>
    <b v="0"/>
    <b v="0"/>
    <x v="0"/>
    <x v="5"/>
    <n v="43.9"/>
    <n v="0"/>
    <n v="0"/>
    <n v="4"/>
    <x v="6"/>
    <m/>
  </r>
  <r>
    <x v="701"/>
    <d v="2026-04-01T00:00:00"/>
    <d v="2026-04-01T00:00:00"/>
    <d v="2026-04-02T00:00:00"/>
    <d v="2026-04-03T00:00:00"/>
    <x v="1"/>
    <x v="10"/>
    <x v="0"/>
    <x v="1"/>
    <n v="26"/>
    <n v="1845.9"/>
    <n v="1842000"/>
    <b v="0"/>
    <b v="0"/>
    <n v="5000"/>
    <b v="0"/>
    <b v="0"/>
    <b v="0"/>
    <x v="1"/>
    <x v="27"/>
    <n v="36.917999999999999"/>
    <n v="0"/>
    <n v="0"/>
    <n v="2"/>
    <x v="4"/>
    <n v="1"/>
  </r>
  <r>
    <x v="702"/>
    <d v="2026-02-20T00:00:00"/>
    <d v="2026-02-20T00:00:00"/>
    <d v="2026-02-24T00:00:00"/>
    <d v="2026-02-24T00:00:00"/>
    <x v="0"/>
    <x v="3"/>
    <x v="1"/>
    <x v="3"/>
    <n v="1115.5999999999999"/>
    <n v="82"/>
    <n v="9191000"/>
    <b v="0"/>
    <b v="0"/>
    <n v="1000"/>
    <b v="0"/>
    <b v="0"/>
    <b v="0"/>
    <x v="0"/>
    <x v="47"/>
    <n v="8.2000000000000011"/>
    <n v="0"/>
    <n v="0"/>
    <n v="4"/>
    <x v="5"/>
    <m/>
  </r>
  <r>
    <x v="703"/>
    <d v="2026-05-07T00:00:00"/>
    <d v="2026-05-08T00:00:00"/>
    <d v="2026-05-11T00:00:00"/>
    <d v="2026-05-11T00:00:00"/>
    <x v="1"/>
    <x v="5"/>
    <x v="5"/>
    <x v="1"/>
    <n v="309.5"/>
    <n v="3634.4"/>
    <n v="6056000"/>
    <b v="0"/>
    <b v="0"/>
    <n v="5000"/>
    <b v="0"/>
    <b v="0"/>
    <b v="0"/>
    <x v="0"/>
    <x v="5"/>
    <n v="72.688000000000002"/>
    <n v="0"/>
    <n v="0"/>
    <n v="3"/>
    <x v="2"/>
    <m/>
  </r>
  <r>
    <x v="704"/>
    <d v="2026-06-03T00:00:00"/>
    <d v="2026-06-04T00:00:00"/>
    <d v="2026-06-03T00:00:00"/>
    <d v="2026-06-07T00:00:00"/>
    <x v="1"/>
    <x v="2"/>
    <x v="5"/>
    <x v="3"/>
    <n v="326.8"/>
    <n v="166.7"/>
    <n v="3158000"/>
    <b v="1"/>
    <b v="0"/>
    <n v="1000"/>
    <b v="0"/>
    <b v="0"/>
    <b v="1"/>
    <x v="3"/>
    <x v="2"/>
    <n v="16.670000000000002"/>
    <n v="0"/>
    <n v="1"/>
    <m/>
    <x v="1"/>
    <m/>
  </r>
  <r>
    <x v="705"/>
    <d v="2026-03-24T00:00:00"/>
    <d v="2026-03-24T00:00:00"/>
    <d v="2026-03-26T00:00:00"/>
    <d v="2026-03-28T00:00:00"/>
    <x v="1"/>
    <x v="7"/>
    <x v="1"/>
    <x v="0"/>
    <n v="142"/>
    <n v="1299.5999999999999"/>
    <n v="2606000"/>
    <b v="0"/>
    <b v="0"/>
    <n v="1500"/>
    <b v="0"/>
    <b v="0"/>
    <b v="0"/>
    <x v="1"/>
    <x v="26"/>
    <n v="86.64"/>
    <n v="0"/>
    <n v="0"/>
    <n v="4"/>
    <x v="6"/>
    <n v="2"/>
  </r>
  <r>
    <x v="706"/>
    <d v="2026-01-05T00:00:00"/>
    <d v="2026-01-06T00:00:00"/>
    <d v="2026-01-10T00:00:00"/>
    <d v="2026-01-10T00:00:00"/>
    <x v="3"/>
    <x v="8"/>
    <x v="1"/>
    <x v="2"/>
    <n v="668.4"/>
    <n v="14047.6"/>
    <n v="18110000"/>
    <b v="0"/>
    <b v="0"/>
    <n v="16000"/>
    <b v="0"/>
    <b v="0"/>
    <b v="0"/>
    <x v="0"/>
    <x v="15"/>
    <n v="87.797499999999999"/>
    <n v="0"/>
    <n v="0"/>
    <n v="4"/>
    <x v="3"/>
    <m/>
  </r>
  <r>
    <x v="707"/>
    <d v="2026-03-07T00:00:00"/>
    <d v="2026-03-08T00:00:00"/>
    <d v="2026-03-10T00:00:00"/>
    <d v="2026-03-11T00:00:00"/>
    <x v="1"/>
    <x v="0"/>
    <x v="0"/>
    <x v="0"/>
    <n v="269"/>
    <n v="385.9"/>
    <n v="3423000"/>
    <b v="0"/>
    <b v="0"/>
    <n v="1500"/>
    <b v="0"/>
    <b v="0"/>
    <b v="0"/>
    <x v="1"/>
    <x v="12"/>
    <n v="25.726666666666659"/>
    <n v="0"/>
    <n v="0"/>
    <n v="3"/>
    <x v="6"/>
    <n v="1"/>
  </r>
  <r>
    <x v="708"/>
    <d v="2026-01-10T00:00:00"/>
    <d v="2026-01-10T00:00:00"/>
    <d v="2026-01-12T00:00:00"/>
    <d v="2026-01-12T00:00:00"/>
    <x v="1"/>
    <x v="6"/>
    <x v="3"/>
    <x v="0"/>
    <n v="163.69999999999999"/>
    <n v="414"/>
    <n v="1854000"/>
    <b v="0"/>
    <b v="0"/>
    <n v="1500"/>
    <b v="0"/>
    <b v="0"/>
    <b v="0"/>
    <x v="0"/>
    <x v="9"/>
    <n v="27.6"/>
    <n v="0"/>
    <n v="0"/>
    <n v="2"/>
    <x v="3"/>
    <m/>
  </r>
  <r>
    <x v="709"/>
    <d v="2026-05-02T00:00:00"/>
    <d v="2026-05-04T00:00:00"/>
    <d v="2026-05-06T00:00:00"/>
    <d v="2026-05-06T00:00:00"/>
    <x v="0"/>
    <x v="8"/>
    <x v="3"/>
    <x v="1"/>
    <n v="132"/>
    <n v="1003.5"/>
    <n v="2525000"/>
    <b v="0"/>
    <b v="0"/>
    <n v="5000"/>
    <b v="0"/>
    <b v="0"/>
    <b v="0"/>
    <x v="0"/>
    <x v="22"/>
    <n v="20.07"/>
    <n v="0"/>
    <n v="0"/>
    <n v="2"/>
    <x v="2"/>
    <m/>
  </r>
  <r>
    <x v="710"/>
    <d v="2026-06-03T00:00:00"/>
    <d v="2026-06-04T00:00:00"/>
    <d v="2026-06-07T00:00:00"/>
    <d v="2026-06-07T00:00:00"/>
    <x v="2"/>
    <x v="2"/>
    <x v="2"/>
    <x v="3"/>
    <n v="307.7"/>
    <n v="208.9"/>
    <n v="3178000"/>
    <b v="0"/>
    <b v="0"/>
    <n v="1000"/>
    <b v="0"/>
    <b v="0"/>
    <b v="0"/>
    <x v="0"/>
    <x v="29"/>
    <n v="20.89"/>
    <n v="0"/>
    <n v="0"/>
    <n v="3"/>
    <x v="1"/>
    <m/>
  </r>
  <r>
    <x v="711"/>
    <d v="2026-03-11T00:00:00"/>
    <d v="2026-03-12T00:00:00"/>
    <d v="2026-03-13T00:00:00"/>
    <d v="2026-03-12T00:00:00"/>
    <x v="0"/>
    <x v="6"/>
    <x v="0"/>
    <x v="3"/>
    <n v="16.3"/>
    <n v="775.8"/>
    <n v="873000"/>
    <b v="0"/>
    <b v="0"/>
    <n v="1000"/>
    <b v="0"/>
    <b v="0"/>
    <b v="0"/>
    <x v="0"/>
    <x v="19"/>
    <n v="77.58"/>
    <n v="0"/>
    <n v="0"/>
    <n v="0"/>
    <x v="6"/>
    <m/>
  </r>
  <r>
    <x v="712"/>
    <d v="2026-05-20T00:00:00"/>
    <d v="2026-05-21T00:00:00"/>
    <d v="2026-05-25T00:00:00"/>
    <d v="2026-05-26T00:00:00"/>
    <x v="2"/>
    <x v="11"/>
    <x v="0"/>
    <x v="3"/>
    <n v="626.1"/>
    <n v="142.69999999999999"/>
    <n v="5898000"/>
    <b v="0"/>
    <b v="0"/>
    <n v="1000"/>
    <b v="0"/>
    <b v="0"/>
    <b v="0"/>
    <x v="1"/>
    <x v="41"/>
    <n v="14.27"/>
    <n v="0"/>
    <n v="0"/>
    <n v="5"/>
    <x v="2"/>
    <n v="1"/>
  </r>
  <r>
    <x v="713"/>
    <d v="2026-05-07T00:00:00"/>
    <d v="2026-05-08T00:00:00"/>
    <d v="2026-05-11T00:00:00"/>
    <d v="2026-05-11T00:00:00"/>
    <x v="1"/>
    <x v="1"/>
    <x v="2"/>
    <x v="0"/>
    <n v="303.5"/>
    <n v="1297"/>
    <n v="4009000"/>
    <b v="0"/>
    <b v="0"/>
    <n v="1500"/>
    <b v="0"/>
    <b v="0"/>
    <b v="0"/>
    <x v="0"/>
    <x v="25"/>
    <n v="86.466666666666669"/>
    <n v="0"/>
    <n v="0"/>
    <n v="3"/>
    <x v="2"/>
    <m/>
  </r>
  <r>
    <x v="714"/>
    <d v="2026-01-06T00:00:00"/>
    <d v="2026-01-07T00:00:00"/>
    <d v="2026-01-10T00:00:00"/>
    <d v="2026-01-10T00:00:00"/>
    <x v="0"/>
    <x v="9"/>
    <x v="2"/>
    <x v="0"/>
    <n v="562"/>
    <n v="1085.7"/>
    <n v="6744000"/>
    <b v="0"/>
    <b v="0"/>
    <n v="1500"/>
    <b v="0"/>
    <b v="0"/>
    <b v="0"/>
    <x v="0"/>
    <x v="44"/>
    <n v="72.38"/>
    <n v="0"/>
    <n v="0"/>
    <n v="3"/>
    <x v="3"/>
    <m/>
  </r>
  <r>
    <x v="715"/>
    <d v="2026-06-04T00:00:00"/>
    <d v="2026-06-06T00:00:00"/>
    <d v="2026-06-07T00:00:00"/>
    <d v="2026-06-07T00:00:00"/>
    <x v="1"/>
    <x v="8"/>
    <x v="5"/>
    <x v="3"/>
    <n v="54.3"/>
    <n v="215.6"/>
    <n v="819000"/>
    <b v="0"/>
    <b v="0"/>
    <n v="1000"/>
    <b v="0"/>
    <b v="0"/>
    <b v="0"/>
    <x v="0"/>
    <x v="28"/>
    <n v="21.56"/>
    <n v="0"/>
    <n v="0"/>
    <n v="1"/>
    <x v="1"/>
    <m/>
  </r>
  <r>
    <x v="716"/>
    <d v="2026-06-20T00:00:00"/>
    <d v="2026-06-20T00:00:00"/>
    <d v="2026-06-22T00:00:00"/>
    <m/>
    <x v="0"/>
    <x v="6"/>
    <x v="0"/>
    <x v="1"/>
    <n v="15.2"/>
    <n v="2020"/>
    <n v="1792000"/>
    <b v="0"/>
    <b v="0"/>
    <n v="5000"/>
    <b v="0"/>
    <b v="0"/>
    <b v="0"/>
    <x v="2"/>
    <x v="19"/>
    <n v="40.400000000000013"/>
    <n v="0"/>
    <n v="0"/>
    <m/>
    <x v="1"/>
    <m/>
  </r>
  <r>
    <x v="717"/>
    <d v="2026-03-25T00:00:00"/>
    <d v="2026-03-26T00:00:00"/>
    <d v="2026-03-27T00:00:00"/>
    <d v="2026-03-27T00:00:00"/>
    <x v="0"/>
    <x v="6"/>
    <x v="2"/>
    <x v="1"/>
    <n v="18.899999999999999"/>
    <n v="4034.6"/>
    <n v="2604000"/>
    <b v="0"/>
    <b v="0"/>
    <n v="5000"/>
    <b v="0"/>
    <b v="0"/>
    <b v="0"/>
    <x v="0"/>
    <x v="19"/>
    <n v="80.691999999999993"/>
    <n v="0"/>
    <n v="0"/>
    <n v="1"/>
    <x v="6"/>
    <m/>
  </r>
  <r>
    <x v="718"/>
    <d v="2026-05-23T00:00:00"/>
    <d v="2026-05-24T00:00:00"/>
    <d v="2026-05-28T00:00:00"/>
    <d v="2026-05-30T00:00:00"/>
    <x v="1"/>
    <x v="4"/>
    <x v="1"/>
    <x v="0"/>
    <n v="750.4"/>
    <n v="1362.2"/>
    <n v="7838000"/>
    <b v="0"/>
    <b v="0"/>
    <n v="1500"/>
    <b v="0"/>
    <b v="0"/>
    <b v="0"/>
    <x v="1"/>
    <x v="38"/>
    <n v="90.813333333333318"/>
    <n v="0"/>
    <n v="0"/>
    <n v="6"/>
    <x v="2"/>
    <n v="2"/>
  </r>
  <r>
    <x v="719"/>
    <d v="2026-01-11T00:00:00"/>
    <d v="2026-01-12T00:00:00"/>
    <d v="2026-01-13T00:00:00"/>
    <d v="2026-01-13T00:00:00"/>
    <x v="1"/>
    <x v="10"/>
    <x v="3"/>
    <x v="1"/>
    <n v="21.5"/>
    <n v="551.70000000000005"/>
    <n v="1181000"/>
    <b v="0"/>
    <b v="0"/>
    <n v="5000"/>
    <b v="0"/>
    <b v="0"/>
    <b v="0"/>
    <x v="0"/>
    <x v="27"/>
    <n v="11.034000000000001"/>
    <n v="0"/>
    <n v="0"/>
    <n v="1"/>
    <x v="3"/>
    <m/>
  </r>
  <r>
    <x v="720"/>
    <d v="2026-06-04T00:00:00"/>
    <d v="2026-06-05T00:00:00"/>
    <d v="2026-06-07T00:00:00"/>
    <d v="2026-06-07T00:00:00"/>
    <x v="1"/>
    <x v="7"/>
    <x v="2"/>
    <x v="2"/>
    <n v="159.6"/>
    <n v="9509.1"/>
    <n v="6749000"/>
    <b v="0"/>
    <b v="0"/>
    <n v="16000"/>
    <b v="0"/>
    <b v="0"/>
    <b v="0"/>
    <x v="0"/>
    <x v="26"/>
    <n v="59.431874999999998"/>
    <n v="0"/>
    <n v="0"/>
    <n v="2"/>
    <x v="1"/>
    <m/>
  </r>
  <r>
    <x v="721"/>
    <d v="2026-02-22T00:00:00"/>
    <d v="2026-02-23T00:00:00"/>
    <d v="2026-02-27T00:00:00"/>
    <d v="2026-02-27T00:00:00"/>
    <x v="2"/>
    <x v="9"/>
    <x v="1"/>
    <x v="0"/>
    <n v="479.5"/>
    <n v="214.2"/>
    <n v="4205000"/>
    <b v="0"/>
    <b v="0"/>
    <n v="1500"/>
    <b v="0"/>
    <b v="0"/>
    <b v="0"/>
    <x v="0"/>
    <x v="20"/>
    <n v="14.28"/>
    <n v="0"/>
    <n v="0"/>
    <n v="4"/>
    <x v="5"/>
    <m/>
  </r>
  <r>
    <x v="722"/>
    <d v="2026-05-28T00:00:00"/>
    <d v="2026-05-29T00:00:00"/>
    <d v="2026-06-02T00:00:00"/>
    <d v="2026-06-03T00:00:00"/>
    <x v="2"/>
    <x v="4"/>
    <x v="3"/>
    <x v="0"/>
    <n v="683.2"/>
    <n v="524"/>
    <n v="7947000"/>
    <b v="0"/>
    <b v="0"/>
    <n v="1500"/>
    <b v="0"/>
    <b v="0"/>
    <b v="0"/>
    <x v="1"/>
    <x v="4"/>
    <n v="34.93333333333333"/>
    <n v="0"/>
    <n v="0"/>
    <n v="5"/>
    <x v="2"/>
    <n v="1"/>
  </r>
  <r>
    <x v="723"/>
    <d v="2026-05-23T00:00:00"/>
    <d v="2026-05-24T00:00:00"/>
    <d v="2026-05-27T00:00:00"/>
    <d v="2026-05-27T00:00:00"/>
    <x v="2"/>
    <x v="5"/>
    <x v="5"/>
    <x v="1"/>
    <n v="303.2"/>
    <n v="2346.5"/>
    <n v="5659000"/>
    <b v="0"/>
    <b v="0"/>
    <n v="5000"/>
    <b v="0"/>
    <b v="0"/>
    <b v="0"/>
    <x v="0"/>
    <x v="17"/>
    <n v="46.93"/>
    <n v="0"/>
    <n v="0"/>
    <n v="3"/>
    <x v="2"/>
    <m/>
  </r>
  <r>
    <x v="724"/>
    <d v="2026-04-11T00:00:00"/>
    <d v="2026-04-12T00:00:00"/>
    <d v="2026-04-16T00:00:00"/>
    <d v="2026-04-16T00:00:00"/>
    <x v="3"/>
    <x v="3"/>
    <x v="3"/>
    <x v="1"/>
    <n v="1466.7"/>
    <n v="4157.7"/>
    <n v="19183000"/>
    <b v="0"/>
    <b v="0"/>
    <n v="5000"/>
    <b v="0"/>
    <b v="0"/>
    <b v="0"/>
    <x v="0"/>
    <x v="43"/>
    <n v="83.153999999999996"/>
    <n v="0"/>
    <n v="0"/>
    <n v="4"/>
    <x v="4"/>
    <m/>
  </r>
  <r>
    <x v="725"/>
    <d v="2026-02-26T00:00:00"/>
    <d v="2026-02-27T00:00:00"/>
    <d v="2026-03-02T00:00:00"/>
    <d v="2026-03-04T00:00:00"/>
    <x v="1"/>
    <x v="9"/>
    <x v="2"/>
    <x v="1"/>
    <n v="444.3"/>
    <n v="1139.5999999999999"/>
    <n v="5502000"/>
    <b v="0"/>
    <b v="0"/>
    <n v="5000"/>
    <b v="0"/>
    <b v="0"/>
    <b v="0"/>
    <x v="1"/>
    <x v="24"/>
    <n v="22.792000000000002"/>
    <n v="0"/>
    <n v="0"/>
    <n v="5"/>
    <x v="5"/>
    <n v="2"/>
  </r>
  <r>
    <x v="726"/>
    <d v="2026-04-07T00:00:00"/>
    <d v="2026-04-08T00:00:00"/>
    <d v="2026-04-12T00:00:00"/>
    <d v="2026-04-12T00:00:00"/>
    <x v="1"/>
    <x v="3"/>
    <x v="0"/>
    <x v="0"/>
    <n v="926.3"/>
    <n v="766.6"/>
    <n v="9615000"/>
    <b v="0"/>
    <b v="0"/>
    <n v="1500"/>
    <b v="0"/>
    <b v="0"/>
    <b v="0"/>
    <x v="0"/>
    <x v="35"/>
    <n v="51.106666666666669"/>
    <n v="0"/>
    <n v="0"/>
    <n v="4"/>
    <x v="4"/>
    <m/>
  </r>
  <r>
    <x v="727"/>
    <d v="2026-03-25T00:00:00"/>
    <d v="2026-03-26T00:00:00"/>
    <d v="2026-03-28T00:00:00"/>
    <d v="2026-03-28T00:00:00"/>
    <x v="2"/>
    <x v="1"/>
    <x v="3"/>
    <x v="3"/>
    <n v="286.10000000000002"/>
    <n v="408.8"/>
    <n v="2985000"/>
    <b v="0"/>
    <b v="0"/>
    <n v="1000"/>
    <b v="0"/>
    <b v="0"/>
    <b v="0"/>
    <x v="0"/>
    <x v="16"/>
    <n v="40.880000000000003"/>
    <n v="0"/>
    <n v="0"/>
    <n v="2"/>
    <x v="6"/>
    <m/>
  </r>
  <r>
    <x v="728"/>
    <d v="2026-05-04T00:00:00"/>
    <d v="2026-05-05T00:00:00"/>
    <d v="2026-05-09T00:00:00"/>
    <d v="2026-05-09T00:00:00"/>
    <x v="2"/>
    <x v="0"/>
    <x v="5"/>
    <x v="0"/>
    <n v="307.10000000000002"/>
    <n v="1019.2"/>
    <n v="3801000"/>
    <b v="0"/>
    <b v="0"/>
    <n v="1500"/>
    <b v="0"/>
    <b v="0"/>
    <b v="0"/>
    <x v="0"/>
    <x v="7"/>
    <n v="67.946666666666673"/>
    <n v="0"/>
    <n v="0"/>
    <n v="4"/>
    <x v="2"/>
    <m/>
  </r>
  <r>
    <x v="729"/>
    <d v="2026-05-13T00:00:00"/>
    <d v="2026-05-14T00:00:00"/>
    <d v="2026-05-15T00:00:00"/>
    <d v="2026-05-15T00:00:00"/>
    <x v="2"/>
    <x v="10"/>
    <x v="2"/>
    <x v="0"/>
    <n v="46.8"/>
    <n v="810"/>
    <n v="1405000"/>
    <b v="0"/>
    <b v="0"/>
    <n v="1500"/>
    <b v="0"/>
    <b v="0"/>
    <b v="0"/>
    <x v="0"/>
    <x v="34"/>
    <n v="54"/>
    <n v="0"/>
    <n v="0"/>
    <n v="1"/>
    <x v="2"/>
    <m/>
  </r>
  <r>
    <x v="730"/>
    <d v="2026-03-02T00:00:00"/>
    <d v="2026-03-04T00:00:00"/>
    <d v="2026-03-08T00:00:00"/>
    <d v="2026-03-08T00:00:00"/>
    <x v="1"/>
    <x v="4"/>
    <x v="2"/>
    <x v="1"/>
    <n v="663.6"/>
    <n v="3916.5"/>
    <n v="11532000"/>
    <b v="0"/>
    <b v="0"/>
    <n v="5000"/>
    <b v="0"/>
    <b v="0"/>
    <b v="0"/>
    <x v="0"/>
    <x v="38"/>
    <n v="78.33"/>
    <n v="0"/>
    <n v="0"/>
    <n v="4"/>
    <x v="6"/>
    <m/>
  </r>
  <r>
    <x v="731"/>
    <d v="2026-05-27T00:00:00"/>
    <d v="2026-05-28T00:00:00"/>
    <d v="2026-05-30T00:00:00"/>
    <d v="2026-05-31T00:00:00"/>
    <x v="2"/>
    <x v="0"/>
    <x v="3"/>
    <x v="1"/>
    <n v="297.2"/>
    <n v="1063.5999999999999"/>
    <n v="4540000"/>
    <b v="0"/>
    <b v="0"/>
    <n v="5000"/>
    <b v="0"/>
    <b v="0"/>
    <b v="0"/>
    <x v="1"/>
    <x v="7"/>
    <n v="21.271999999999998"/>
    <n v="0"/>
    <n v="0"/>
    <n v="3"/>
    <x v="2"/>
    <n v="1"/>
  </r>
  <r>
    <x v="732"/>
    <d v="2026-06-15T00:00:00"/>
    <d v="2026-06-16T00:00:00"/>
    <d v="2026-06-17T00:00:00"/>
    <d v="2026-06-18T00:00:00"/>
    <x v="2"/>
    <x v="8"/>
    <x v="3"/>
    <x v="1"/>
    <n v="23.6"/>
    <n v="1447.2"/>
    <n v="1638000"/>
    <b v="0"/>
    <b v="0"/>
    <n v="5000"/>
    <b v="0"/>
    <b v="0"/>
    <b v="0"/>
    <x v="1"/>
    <x v="18"/>
    <n v="28.943999999999999"/>
    <n v="0"/>
    <n v="0"/>
    <n v="2"/>
    <x v="1"/>
    <n v="1"/>
  </r>
  <r>
    <x v="733"/>
    <d v="2026-05-26T00:00:00"/>
    <d v="2026-05-27T00:00:00"/>
    <d v="2026-05-29T00:00:00"/>
    <d v="2026-05-29T00:00:00"/>
    <x v="0"/>
    <x v="8"/>
    <x v="3"/>
    <x v="2"/>
    <n v="123.4"/>
    <n v="6189.1"/>
    <n v="4600000"/>
    <b v="0"/>
    <b v="0"/>
    <n v="16000"/>
    <b v="0"/>
    <b v="0"/>
    <b v="0"/>
    <x v="0"/>
    <x v="22"/>
    <n v="38.681875000000012"/>
    <n v="0"/>
    <n v="0"/>
    <n v="2"/>
    <x v="2"/>
    <m/>
  </r>
  <r>
    <x v="734"/>
    <d v="2026-03-20T00:00:00"/>
    <d v="2026-03-21T00:00:00"/>
    <d v="2026-03-25T00:00:00"/>
    <d v="2026-03-26T00:00:00"/>
    <x v="1"/>
    <x v="4"/>
    <x v="2"/>
    <x v="0"/>
    <n v="753.6"/>
    <n v="745.5"/>
    <n v="8726000"/>
    <b v="0"/>
    <b v="0"/>
    <n v="1500"/>
    <b v="0"/>
    <b v="0"/>
    <b v="0"/>
    <x v="1"/>
    <x v="38"/>
    <n v="49.7"/>
    <n v="0"/>
    <n v="0"/>
    <n v="5"/>
    <x v="6"/>
    <n v="1"/>
  </r>
  <r>
    <x v="735"/>
    <d v="2026-05-05T00:00:00"/>
    <d v="2026-05-06T00:00:00"/>
    <d v="2026-05-08T00:00:00"/>
    <d v="2026-05-09T00:00:00"/>
    <x v="0"/>
    <x v="5"/>
    <x v="0"/>
    <x v="2"/>
    <n v="163.5"/>
    <n v="2587.4"/>
    <n v="4694000"/>
    <b v="0"/>
    <b v="0"/>
    <n v="16000"/>
    <b v="0"/>
    <b v="0"/>
    <b v="0"/>
    <x v="1"/>
    <x v="8"/>
    <n v="16.171250000000001"/>
    <n v="0"/>
    <n v="0"/>
    <n v="3"/>
    <x v="2"/>
    <n v="1"/>
  </r>
  <r>
    <x v="736"/>
    <d v="2026-04-07T00:00:00"/>
    <d v="2026-04-08T00:00:00"/>
    <d v="2026-04-11T00:00:00"/>
    <d v="2026-04-11T00:00:00"/>
    <x v="2"/>
    <x v="9"/>
    <x v="5"/>
    <x v="3"/>
    <n v="472.3"/>
    <n v="279.3"/>
    <n v="4614000"/>
    <b v="0"/>
    <b v="0"/>
    <n v="1000"/>
    <b v="0"/>
    <b v="0"/>
    <b v="0"/>
    <x v="0"/>
    <x v="20"/>
    <n v="27.93"/>
    <n v="0"/>
    <n v="0"/>
    <n v="3"/>
    <x v="4"/>
    <m/>
  </r>
  <r>
    <x v="737"/>
    <d v="2026-06-02T00:00:00"/>
    <d v="2026-06-04T00:00:00"/>
    <d v="2026-06-05T00:00:00"/>
    <d v="2026-06-05T00:00:00"/>
    <x v="1"/>
    <x v="8"/>
    <x v="5"/>
    <x v="2"/>
    <n v="54.6"/>
    <n v="14805.3"/>
    <n v="5777000"/>
    <b v="0"/>
    <b v="0"/>
    <n v="16000"/>
    <b v="0"/>
    <b v="0"/>
    <b v="0"/>
    <x v="0"/>
    <x v="28"/>
    <n v="92.533124999999998"/>
    <n v="0"/>
    <n v="0"/>
    <n v="1"/>
    <x v="1"/>
    <m/>
  </r>
  <r>
    <x v="738"/>
    <d v="2026-03-08T00:00:00"/>
    <d v="2026-03-09T00:00:00"/>
    <d v="2026-03-13T00:00:00"/>
    <d v="2026-03-13T00:00:00"/>
    <x v="0"/>
    <x v="7"/>
    <x v="3"/>
    <x v="1"/>
    <n v="311"/>
    <n v="1322.2"/>
    <n v="5107000"/>
    <b v="0"/>
    <b v="0"/>
    <n v="5000"/>
    <b v="0"/>
    <b v="0"/>
    <b v="0"/>
    <x v="0"/>
    <x v="45"/>
    <n v="26.443999999999999"/>
    <n v="0"/>
    <n v="0"/>
    <n v="4"/>
    <x v="6"/>
    <m/>
  </r>
  <r>
    <x v="739"/>
    <d v="2026-01-02T00:00:00"/>
    <d v="2026-01-03T00:00:00"/>
    <d v="2026-01-06T00:00:00"/>
    <d v="2026-01-06T00:00:00"/>
    <x v="2"/>
    <x v="9"/>
    <x v="1"/>
    <x v="1"/>
    <n v="509.4"/>
    <n v="1882.3"/>
    <n v="7377000"/>
    <b v="0"/>
    <b v="0"/>
    <n v="5000"/>
    <b v="0"/>
    <b v="0"/>
    <b v="0"/>
    <x v="0"/>
    <x v="20"/>
    <n v="37.646000000000001"/>
    <n v="0"/>
    <n v="0"/>
    <n v="3"/>
    <x v="3"/>
    <m/>
  </r>
  <r>
    <x v="740"/>
    <d v="2026-03-22T00:00:00"/>
    <d v="2026-03-23T00:00:00"/>
    <d v="2026-03-27T00:00:00"/>
    <d v="2026-03-27T00:00:00"/>
    <x v="1"/>
    <x v="3"/>
    <x v="5"/>
    <x v="0"/>
    <n v="913.9"/>
    <n v="616.6"/>
    <n v="8418000"/>
    <b v="0"/>
    <b v="0"/>
    <n v="1500"/>
    <b v="0"/>
    <b v="0"/>
    <b v="0"/>
    <x v="0"/>
    <x v="35"/>
    <n v="41.106666666666669"/>
    <n v="0"/>
    <n v="0"/>
    <n v="4"/>
    <x v="6"/>
    <m/>
  </r>
  <r>
    <x v="741"/>
    <d v="2026-04-29T00:00:00"/>
    <d v="2026-04-29T00:00:00"/>
    <d v="2026-05-02T00:00:00"/>
    <d v="2026-05-02T00:00:00"/>
    <x v="0"/>
    <x v="11"/>
    <x v="0"/>
    <x v="3"/>
    <n v="460.9"/>
    <n v="823.9"/>
    <n v="4913000"/>
    <b v="0"/>
    <b v="0"/>
    <n v="1000"/>
    <b v="0"/>
    <b v="0"/>
    <b v="0"/>
    <x v="0"/>
    <x v="36"/>
    <n v="82.39"/>
    <n v="0"/>
    <n v="0"/>
    <n v="3"/>
    <x v="4"/>
    <m/>
  </r>
  <r>
    <x v="742"/>
    <d v="2026-05-21T00:00:00"/>
    <d v="2026-05-21T00:00:00"/>
    <d v="2026-05-25T00:00:00"/>
    <d v="2026-05-25T00:00:00"/>
    <x v="3"/>
    <x v="7"/>
    <x v="0"/>
    <x v="2"/>
    <n v="715.6"/>
    <n v="3294.1"/>
    <n v="15131000"/>
    <b v="0"/>
    <b v="0"/>
    <n v="16000"/>
    <b v="0"/>
    <b v="0"/>
    <b v="0"/>
    <x v="0"/>
    <x v="40"/>
    <n v="20.588125000000002"/>
    <n v="0"/>
    <n v="0"/>
    <n v="4"/>
    <x v="2"/>
    <m/>
  </r>
  <r>
    <x v="743"/>
    <d v="2026-06-11T00:00:00"/>
    <d v="2026-06-11T00:00:00"/>
    <d v="2026-06-15T00:00:00"/>
    <d v="2026-06-15T00:00:00"/>
    <x v="1"/>
    <x v="2"/>
    <x v="2"/>
    <x v="2"/>
    <n v="336.8"/>
    <n v="7008.2"/>
    <n v="9462000"/>
    <b v="0"/>
    <b v="0"/>
    <n v="16000"/>
    <b v="0"/>
    <b v="0"/>
    <b v="0"/>
    <x v="0"/>
    <x v="2"/>
    <n v="43.801250000000003"/>
    <n v="0"/>
    <n v="0"/>
    <n v="4"/>
    <x v="1"/>
    <m/>
  </r>
  <r>
    <x v="744"/>
    <d v="2026-05-11T00:00:00"/>
    <d v="2026-05-12T00:00:00"/>
    <d v="2026-05-15T00:00:00"/>
    <d v="2026-05-14T00:00:00"/>
    <x v="1"/>
    <x v="2"/>
    <x v="5"/>
    <x v="2"/>
    <n v="320.39999999999998"/>
    <n v="5091.8"/>
    <n v="7840000"/>
    <b v="0"/>
    <b v="0"/>
    <n v="16000"/>
    <b v="0"/>
    <b v="0"/>
    <b v="0"/>
    <x v="0"/>
    <x v="2"/>
    <n v="31.82375"/>
    <n v="0"/>
    <n v="0"/>
    <n v="2"/>
    <x v="2"/>
    <m/>
  </r>
  <r>
    <x v="745"/>
    <d v="2026-06-28T00:00:00"/>
    <d v="2026-06-30T00:00:00"/>
    <d v="2026-07-01T00:00:00"/>
    <d v="2026-07-01T00:00:00"/>
    <x v="0"/>
    <x v="6"/>
    <x v="3"/>
    <x v="0"/>
    <n v="19.100000000000001"/>
    <n v="942.5"/>
    <n v="1175000"/>
    <b v="0"/>
    <b v="0"/>
    <n v="1500"/>
    <b v="0"/>
    <b v="0"/>
    <b v="0"/>
    <x v="0"/>
    <x v="19"/>
    <n v="62.833333333333329"/>
    <n v="0"/>
    <n v="0"/>
    <n v="1"/>
    <x v="1"/>
    <m/>
  </r>
  <r>
    <x v="746"/>
    <d v="2026-03-04T00:00:00"/>
    <d v="2026-03-05T00:00:00"/>
    <d v="2026-03-07T00:00:00"/>
    <d v="2026-03-07T00:00:00"/>
    <x v="1"/>
    <x v="7"/>
    <x v="5"/>
    <x v="3"/>
    <n v="158.80000000000001"/>
    <n v="773.4"/>
    <n v="2055000"/>
    <b v="0"/>
    <b v="0"/>
    <n v="1000"/>
    <b v="0"/>
    <b v="0"/>
    <b v="0"/>
    <x v="0"/>
    <x v="26"/>
    <n v="77.34"/>
    <n v="0"/>
    <n v="0"/>
    <n v="2"/>
    <x v="6"/>
    <m/>
  </r>
  <r>
    <x v="747"/>
    <d v="2026-01-26T00:00:00"/>
    <d v="2026-01-27T00:00:00"/>
    <d v="2026-01-29T00:00:00"/>
    <d v="2026-01-29T00:00:00"/>
    <x v="1"/>
    <x v="7"/>
    <x v="2"/>
    <x v="0"/>
    <n v="151.4"/>
    <n v="1365.4"/>
    <n v="2355000"/>
    <b v="0"/>
    <b v="0"/>
    <n v="1500"/>
    <b v="0"/>
    <b v="0"/>
    <b v="0"/>
    <x v="0"/>
    <x v="26"/>
    <n v="91.026666666666685"/>
    <n v="0"/>
    <n v="0"/>
    <n v="2"/>
    <x v="3"/>
    <m/>
  </r>
  <r>
    <x v="748"/>
    <d v="2026-01-26T00:00:00"/>
    <d v="2026-01-27T00:00:00"/>
    <d v="2026-01-30T00:00:00"/>
    <d v="2026-01-30T00:00:00"/>
    <x v="0"/>
    <x v="8"/>
    <x v="5"/>
    <x v="1"/>
    <n v="136.80000000000001"/>
    <n v="1169.5999999999999"/>
    <n v="2852000"/>
    <b v="0"/>
    <b v="0"/>
    <n v="5000"/>
    <b v="0"/>
    <b v="0"/>
    <b v="0"/>
    <x v="0"/>
    <x v="22"/>
    <n v="23.391999999999999"/>
    <n v="0"/>
    <n v="0"/>
    <n v="3"/>
    <x v="3"/>
    <m/>
  </r>
  <r>
    <x v="749"/>
    <d v="2026-05-22T00:00:00"/>
    <d v="2026-05-23T00:00:00"/>
    <d v="2026-05-24T00:00:00"/>
    <d v="2026-05-24T00:00:00"/>
    <x v="1"/>
    <x v="10"/>
    <x v="2"/>
    <x v="0"/>
    <n v="21.1"/>
    <n v="1364.7"/>
    <n v="1432000"/>
    <b v="0"/>
    <b v="0"/>
    <n v="1500"/>
    <b v="0"/>
    <b v="0"/>
    <b v="0"/>
    <x v="0"/>
    <x v="27"/>
    <n v="90.98"/>
    <n v="0"/>
    <n v="0"/>
    <n v="1"/>
    <x v="2"/>
    <m/>
  </r>
  <r>
    <x v="750"/>
    <d v="2026-01-18T00:00:00"/>
    <d v="2026-01-18T00:00:00"/>
    <d v="2026-01-20T00:00:00"/>
    <d v="2026-01-20T00:00:00"/>
    <x v="0"/>
    <x v="5"/>
    <x v="1"/>
    <x v="3"/>
    <n v="183.7"/>
    <n v="594.6"/>
    <n v="2400000"/>
    <b v="0"/>
    <b v="0"/>
    <n v="1000"/>
    <b v="0"/>
    <b v="0"/>
    <b v="0"/>
    <x v="0"/>
    <x v="8"/>
    <n v="59.46"/>
    <n v="0"/>
    <n v="0"/>
    <n v="2"/>
    <x v="3"/>
    <m/>
  </r>
  <r>
    <x v="751"/>
    <d v="2026-01-08T00:00:00"/>
    <d v="2026-01-08T00:00:00"/>
    <d v="2026-01-11T00:00:00"/>
    <d v="2026-01-11T00:00:00"/>
    <x v="1"/>
    <x v="5"/>
    <x v="0"/>
    <x v="3"/>
    <n v="322.60000000000002"/>
    <n v="397.8"/>
    <n v="3056000"/>
    <b v="0"/>
    <b v="0"/>
    <n v="1000"/>
    <b v="0"/>
    <b v="0"/>
    <b v="0"/>
    <x v="0"/>
    <x v="5"/>
    <n v="39.78"/>
    <n v="0"/>
    <n v="0"/>
    <n v="3"/>
    <x v="3"/>
    <m/>
  </r>
  <r>
    <x v="752"/>
    <d v="2026-03-13T00:00:00"/>
    <d v="2026-03-15T00:00:00"/>
    <d v="2026-03-17T00:00:00"/>
    <d v="2026-03-18T00:00:00"/>
    <x v="0"/>
    <x v="1"/>
    <x v="2"/>
    <x v="1"/>
    <n v="273.5"/>
    <n v="1417.4"/>
    <n v="4370000"/>
    <b v="0"/>
    <b v="0"/>
    <n v="5000"/>
    <b v="0"/>
    <b v="0"/>
    <b v="0"/>
    <x v="1"/>
    <x v="1"/>
    <n v="28.347999999999999"/>
    <n v="0"/>
    <n v="0"/>
    <n v="3"/>
    <x v="6"/>
    <n v="1"/>
  </r>
  <r>
    <x v="753"/>
    <d v="2026-06-01T00:00:00"/>
    <d v="2026-06-03T00:00:00"/>
    <d v="2026-06-05T00:00:00"/>
    <d v="2026-06-05T00:00:00"/>
    <x v="0"/>
    <x v="2"/>
    <x v="3"/>
    <x v="1"/>
    <n v="178.5"/>
    <n v="634.29999999999995"/>
    <n v="3226000"/>
    <b v="0"/>
    <b v="0"/>
    <n v="5000"/>
    <b v="0"/>
    <b v="0"/>
    <b v="0"/>
    <x v="0"/>
    <x v="23"/>
    <n v="12.686"/>
    <n v="0"/>
    <n v="0"/>
    <n v="2"/>
    <x v="1"/>
    <m/>
  </r>
  <r>
    <x v="754"/>
    <d v="2026-02-04T00:00:00"/>
    <d v="2026-02-05T00:00:00"/>
    <d v="2026-02-06T00:00:00"/>
    <d v="2026-02-07T00:00:00"/>
    <x v="3"/>
    <x v="11"/>
    <x v="1"/>
    <x v="1"/>
    <n v="13.3"/>
    <n v="3489.5"/>
    <n v="2328000"/>
    <b v="0"/>
    <b v="0"/>
    <n v="5000"/>
    <b v="0"/>
    <b v="0"/>
    <b v="0"/>
    <x v="1"/>
    <x v="39"/>
    <n v="69.789999999999992"/>
    <n v="0"/>
    <n v="0"/>
    <n v="2"/>
    <x v="5"/>
    <n v="1"/>
  </r>
  <r>
    <x v="755"/>
    <d v="2026-06-12T00:00:00"/>
    <d v="2026-06-14T00:00:00"/>
    <d v="2026-06-15T00:00:00"/>
    <d v="2026-06-16T00:00:00"/>
    <x v="1"/>
    <x v="10"/>
    <x v="1"/>
    <x v="3"/>
    <n v="22.3"/>
    <n v="136.5"/>
    <n v="574000"/>
    <b v="0"/>
    <b v="0"/>
    <n v="1000"/>
    <b v="0"/>
    <b v="0"/>
    <b v="0"/>
    <x v="1"/>
    <x v="27"/>
    <n v="13.65"/>
    <n v="0"/>
    <n v="0"/>
    <n v="2"/>
    <x v="1"/>
    <n v="1"/>
  </r>
  <r>
    <x v="756"/>
    <d v="2026-01-10T00:00:00"/>
    <d v="2026-01-11T00:00:00"/>
    <d v="2026-01-14T00:00:00"/>
    <d v="2026-01-14T00:00:00"/>
    <x v="2"/>
    <x v="11"/>
    <x v="5"/>
    <x v="1"/>
    <n v="567.20000000000005"/>
    <n v="2031.2"/>
    <n v="10422000"/>
    <b v="0"/>
    <b v="0"/>
    <n v="5000"/>
    <b v="0"/>
    <b v="0"/>
    <b v="0"/>
    <x v="0"/>
    <x v="41"/>
    <n v="40.624000000000002"/>
    <n v="0"/>
    <n v="0"/>
    <n v="3"/>
    <x v="3"/>
    <m/>
  </r>
  <r>
    <x v="757"/>
    <d v="2026-04-11T00:00:00"/>
    <d v="2026-04-12T00:00:00"/>
    <d v="2026-04-15T00:00:00"/>
    <d v="2026-04-15T00:00:00"/>
    <x v="1"/>
    <x v="5"/>
    <x v="1"/>
    <x v="2"/>
    <n v="311.8"/>
    <n v="14216.8"/>
    <n v="10431000"/>
    <b v="0"/>
    <b v="0"/>
    <n v="16000"/>
    <b v="0"/>
    <b v="0"/>
    <b v="0"/>
    <x v="0"/>
    <x v="5"/>
    <n v="88.85499999999999"/>
    <n v="0"/>
    <n v="0"/>
    <n v="3"/>
    <x v="4"/>
    <m/>
  </r>
  <r>
    <x v="758"/>
    <d v="2026-03-28T00:00:00"/>
    <d v="2026-03-30T00:00:00"/>
    <d v="2026-04-02T00:00:00"/>
    <d v="2026-04-04T00:00:00"/>
    <x v="1"/>
    <x v="2"/>
    <x v="2"/>
    <x v="3"/>
    <n v="375.4"/>
    <n v="598"/>
    <n v="3894000"/>
    <b v="0"/>
    <b v="0"/>
    <n v="1000"/>
    <b v="0"/>
    <b v="0"/>
    <b v="0"/>
    <x v="1"/>
    <x v="2"/>
    <n v="59.8"/>
    <n v="0"/>
    <n v="0"/>
    <n v="5"/>
    <x v="6"/>
    <n v="2"/>
  </r>
  <r>
    <x v="759"/>
    <d v="2026-04-05T00:00:00"/>
    <d v="2026-04-06T00:00:00"/>
    <d v="2026-04-10T00:00:00"/>
    <d v="2026-04-11T00:00:00"/>
    <x v="1"/>
    <x v="11"/>
    <x v="2"/>
    <x v="3"/>
    <n v="653.6"/>
    <n v="163.1"/>
    <n v="5041000"/>
    <b v="0"/>
    <b v="0"/>
    <n v="1000"/>
    <b v="0"/>
    <b v="0"/>
    <b v="0"/>
    <x v="1"/>
    <x v="33"/>
    <n v="16.309999999999999"/>
    <n v="0"/>
    <n v="0"/>
    <n v="5"/>
    <x v="4"/>
    <n v="1"/>
  </r>
  <r>
    <x v="760"/>
    <d v="2026-04-30T00:00:00"/>
    <d v="2026-05-01T00:00:00"/>
    <d v="2026-05-04T00:00:00"/>
    <d v="2026-05-03T00:00:00"/>
    <x v="3"/>
    <x v="1"/>
    <x v="3"/>
    <x v="2"/>
    <n v="583.29999999999995"/>
    <n v="3530.7"/>
    <n v="11294000"/>
    <b v="0"/>
    <b v="0"/>
    <n v="16000"/>
    <b v="0"/>
    <b v="0"/>
    <b v="0"/>
    <x v="0"/>
    <x v="21"/>
    <n v="22.066875"/>
    <n v="0"/>
    <n v="0"/>
    <n v="2"/>
    <x v="2"/>
    <m/>
  </r>
  <r>
    <x v="761"/>
    <d v="2026-06-28T00:00:00"/>
    <d v="2026-06-30T00:00:00"/>
    <d v="2026-07-02T00:00:00"/>
    <d v="2026-07-02T00:00:00"/>
    <x v="2"/>
    <x v="4"/>
    <x v="3"/>
    <x v="0"/>
    <n v="151.5"/>
    <n v="1055.5999999999999"/>
    <n v="2459000"/>
    <b v="0"/>
    <b v="0"/>
    <n v="1500"/>
    <b v="0"/>
    <b v="0"/>
    <b v="0"/>
    <x v="0"/>
    <x v="4"/>
    <n v="70.373333333333335"/>
    <n v="0"/>
    <n v="0"/>
    <n v="2"/>
    <x v="1"/>
    <m/>
  </r>
  <r>
    <x v="762"/>
    <d v="2026-04-04T00:00:00"/>
    <d v="2026-04-05T00:00:00"/>
    <d v="2026-04-07T00:00:00"/>
    <d v="2026-04-07T00:00:00"/>
    <x v="2"/>
    <x v="6"/>
    <x v="5"/>
    <x v="1"/>
    <n v="121"/>
    <n v="3112.9"/>
    <n v="3322000"/>
    <b v="0"/>
    <b v="0"/>
    <n v="5000"/>
    <b v="0"/>
    <b v="0"/>
    <b v="0"/>
    <x v="0"/>
    <x v="6"/>
    <n v="62.258000000000003"/>
    <n v="0"/>
    <n v="0"/>
    <n v="2"/>
    <x v="4"/>
    <m/>
  </r>
  <r>
    <x v="763"/>
    <d v="2026-01-10T00:00:00"/>
    <d v="2026-01-11T00:00:00"/>
    <d v="2026-01-12T00:00:00"/>
    <d v="2026-01-12T00:00:00"/>
    <x v="2"/>
    <x v="10"/>
    <x v="0"/>
    <x v="2"/>
    <n v="62.6"/>
    <n v="3462.1"/>
    <n v="3599000"/>
    <b v="0"/>
    <b v="0"/>
    <n v="16000"/>
    <b v="0"/>
    <b v="0"/>
    <b v="0"/>
    <x v="0"/>
    <x v="34"/>
    <n v="21.638124999999999"/>
    <n v="0"/>
    <n v="0"/>
    <n v="1"/>
    <x v="3"/>
    <m/>
  </r>
  <r>
    <x v="764"/>
    <d v="2026-06-08T00:00:00"/>
    <d v="2026-06-09T00:00:00"/>
    <d v="2026-06-11T00:00:00"/>
    <d v="2026-06-11T00:00:00"/>
    <x v="1"/>
    <x v="6"/>
    <x v="1"/>
    <x v="0"/>
    <n v="162.30000000000001"/>
    <n v="337.4"/>
    <n v="2278000"/>
    <b v="0"/>
    <b v="0"/>
    <n v="1500"/>
    <b v="0"/>
    <b v="0"/>
    <b v="0"/>
    <x v="0"/>
    <x v="9"/>
    <n v="22.493333333333329"/>
    <n v="0"/>
    <n v="0"/>
    <n v="2"/>
    <x v="1"/>
    <m/>
  </r>
  <r>
    <x v="765"/>
    <d v="2026-01-01T00:00:00"/>
    <d v="2026-01-02T00:00:00"/>
    <d v="2026-01-05T00:00:00"/>
    <d v="2026-01-05T00:00:00"/>
    <x v="2"/>
    <x v="9"/>
    <x v="3"/>
    <x v="1"/>
    <n v="446.8"/>
    <n v="3852.1"/>
    <n v="7084000"/>
    <b v="0"/>
    <b v="0"/>
    <n v="5000"/>
    <b v="0"/>
    <b v="0"/>
    <b v="0"/>
    <x v="0"/>
    <x v="20"/>
    <n v="77.042000000000002"/>
    <n v="0"/>
    <n v="0"/>
    <n v="3"/>
    <x v="3"/>
    <m/>
  </r>
  <r>
    <x v="766"/>
    <d v="2026-05-15T00:00:00"/>
    <d v="2026-05-17T00:00:00"/>
    <d v="2026-05-19T00:00:00"/>
    <d v="2026-05-19T00:00:00"/>
    <x v="2"/>
    <x v="2"/>
    <x v="5"/>
    <x v="0"/>
    <n v="296.10000000000002"/>
    <n v="582.29999999999995"/>
    <n v="3198000"/>
    <b v="0"/>
    <b v="0"/>
    <n v="1500"/>
    <b v="0"/>
    <b v="0"/>
    <b v="0"/>
    <x v="0"/>
    <x v="29"/>
    <n v="38.82"/>
    <n v="0"/>
    <n v="0"/>
    <n v="2"/>
    <x v="2"/>
    <m/>
  </r>
  <r>
    <x v="767"/>
    <d v="2026-02-11T00:00:00"/>
    <d v="2026-02-11T00:00:00"/>
    <d v="2026-02-14T00:00:00"/>
    <d v="2026-02-14T00:00:00"/>
    <x v="0"/>
    <x v="11"/>
    <x v="5"/>
    <x v="3"/>
    <n v="458.2"/>
    <n v="465.2"/>
    <n v="4914000"/>
    <b v="0"/>
    <b v="0"/>
    <n v="1000"/>
    <b v="0"/>
    <b v="0"/>
    <b v="0"/>
    <x v="0"/>
    <x v="36"/>
    <n v="46.52"/>
    <n v="0"/>
    <n v="0"/>
    <n v="3"/>
    <x v="5"/>
    <m/>
  </r>
  <r>
    <x v="768"/>
    <d v="2026-04-24T00:00:00"/>
    <d v="2026-04-25T00:00:00"/>
    <d v="2026-04-29T00:00:00"/>
    <d v="2026-04-30T00:00:00"/>
    <x v="1"/>
    <x v="11"/>
    <x v="0"/>
    <x v="0"/>
    <n v="682.7"/>
    <n v="326.7"/>
    <n v="7255000"/>
    <b v="0"/>
    <b v="0"/>
    <n v="1500"/>
    <b v="0"/>
    <b v="0"/>
    <b v="0"/>
    <x v="1"/>
    <x v="33"/>
    <n v="21.78"/>
    <n v="0"/>
    <n v="0"/>
    <n v="5"/>
    <x v="4"/>
    <n v="1"/>
  </r>
  <r>
    <x v="769"/>
    <d v="2026-06-04T00:00:00"/>
    <d v="2026-06-05T00:00:00"/>
    <d v="2026-06-07T00:00:00"/>
    <d v="2026-06-07T00:00:00"/>
    <x v="2"/>
    <x v="2"/>
    <x v="3"/>
    <x v="1"/>
    <n v="296.5"/>
    <n v="4331.5"/>
    <n v="5946000"/>
    <b v="0"/>
    <b v="0"/>
    <n v="5000"/>
    <b v="0"/>
    <b v="0"/>
    <b v="0"/>
    <x v="0"/>
    <x v="29"/>
    <n v="86.63"/>
    <n v="0"/>
    <n v="0"/>
    <n v="2"/>
    <x v="1"/>
    <m/>
  </r>
  <r>
    <x v="770"/>
    <d v="2026-01-30T00:00:00"/>
    <d v="2026-01-31T00:00:00"/>
    <d v="2026-02-04T00:00:00"/>
    <d v="2026-02-03T00:00:00"/>
    <x v="2"/>
    <x v="1"/>
    <x v="2"/>
    <x v="2"/>
    <n v="316.60000000000002"/>
    <n v="10131.4"/>
    <n v="10025000"/>
    <b v="0"/>
    <b v="0"/>
    <n v="16000"/>
    <b v="0"/>
    <b v="0"/>
    <b v="0"/>
    <x v="0"/>
    <x v="16"/>
    <n v="63.321249999999992"/>
    <n v="0"/>
    <n v="0"/>
    <n v="3"/>
    <x v="3"/>
    <m/>
  </r>
  <r>
    <x v="771"/>
    <d v="2026-04-25T00:00:00"/>
    <d v="2026-04-26T00:00:00"/>
    <d v="2026-04-29T00:00:00"/>
    <d v="2026-04-29T00:00:00"/>
    <x v="0"/>
    <x v="11"/>
    <x v="5"/>
    <x v="0"/>
    <n v="462.9"/>
    <n v="731.7"/>
    <n v="5370000"/>
    <b v="0"/>
    <b v="0"/>
    <n v="1500"/>
    <b v="0"/>
    <b v="0"/>
    <b v="0"/>
    <x v="0"/>
    <x v="36"/>
    <n v="48.78"/>
    <n v="0"/>
    <n v="0"/>
    <n v="3"/>
    <x v="4"/>
    <m/>
  </r>
  <r>
    <x v="772"/>
    <d v="2026-02-16T00:00:00"/>
    <d v="2026-02-17T00:00:00"/>
    <d v="2026-02-19T00:00:00"/>
    <d v="2026-02-19T00:00:00"/>
    <x v="1"/>
    <x v="6"/>
    <x v="3"/>
    <x v="1"/>
    <n v="164.4"/>
    <n v="1500.3"/>
    <n v="3416000"/>
    <b v="0"/>
    <b v="0"/>
    <n v="5000"/>
    <b v="0"/>
    <b v="0"/>
    <b v="0"/>
    <x v="0"/>
    <x v="9"/>
    <n v="30.006"/>
    <n v="0"/>
    <n v="0"/>
    <n v="2"/>
    <x v="5"/>
    <m/>
  </r>
  <r>
    <x v="773"/>
    <d v="2026-04-16T00:00:00"/>
    <d v="2026-04-18T00:00:00"/>
    <d v="2026-04-21T00:00:00"/>
    <d v="2026-04-22T00:00:00"/>
    <x v="0"/>
    <x v="4"/>
    <x v="0"/>
    <x v="2"/>
    <n v="555.1"/>
    <n v="3572.5"/>
    <n v="10254000"/>
    <b v="0"/>
    <b v="0"/>
    <n v="16000"/>
    <b v="0"/>
    <b v="0"/>
    <b v="0"/>
    <x v="1"/>
    <x v="30"/>
    <n v="22.328125"/>
    <n v="0"/>
    <n v="0"/>
    <n v="4"/>
    <x v="4"/>
    <n v="1"/>
  </r>
  <r>
    <x v="774"/>
    <d v="2026-04-17T00:00:00"/>
    <d v="2026-04-18T00:00:00"/>
    <d v="2026-04-21T00:00:00"/>
    <d v="2026-04-21T00:00:00"/>
    <x v="0"/>
    <x v="7"/>
    <x v="5"/>
    <x v="1"/>
    <n v="297.10000000000002"/>
    <n v="3339.6"/>
    <n v="5658000"/>
    <b v="0"/>
    <b v="0"/>
    <n v="5000"/>
    <b v="0"/>
    <b v="0"/>
    <b v="0"/>
    <x v="0"/>
    <x v="45"/>
    <n v="66.792000000000002"/>
    <n v="0"/>
    <n v="0"/>
    <n v="3"/>
    <x v="4"/>
    <m/>
  </r>
  <r>
    <x v="775"/>
    <d v="2026-01-08T00:00:00"/>
    <d v="2026-01-09T00:00:00"/>
    <d v="2026-01-14T00:00:00"/>
    <d v="2026-01-14T00:00:00"/>
    <x v="1"/>
    <x v="3"/>
    <x v="1"/>
    <x v="0"/>
    <n v="931.1"/>
    <n v="1186.8"/>
    <n v="9709000"/>
    <b v="0"/>
    <b v="0"/>
    <n v="1500"/>
    <b v="0"/>
    <b v="0"/>
    <b v="0"/>
    <x v="0"/>
    <x v="35"/>
    <n v="79.12"/>
    <n v="0"/>
    <n v="0"/>
    <n v="5"/>
    <x v="3"/>
    <m/>
  </r>
  <r>
    <x v="776"/>
    <d v="2026-04-13T00:00:00"/>
    <d v="2026-04-14T00:00:00"/>
    <d v="2026-04-18T00:00:00"/>
    <d v="2026-04-17T00:00:00"/>
    <x v="3"/>
    <x v="9"/>
    <x v="5"/>
    <x v="3"/>
    <n v="983.2"/>
    <n v="480.1"/>
    <n v="8542000"/>
    <b v="0"/>
    <b v="0"/>
    <n v="1000"/>
    <b v="0"/>
    <b v="0"/>
    <b v="0"/>
    <x v="0"/>
    <x v="31"/>
    <n v="48.010000000000012"/>
    <n v="0"/>
    <n v="0"/>
    <n v="3"/>
    <x v="4"/>
    <m/>
  </r>
  <r>
    <x v="777"/>
    <d v="2026-04-28T00:00:00"/>
    <d v="2026-04-29T00:00:00"/>
    <d v="2026-05-02T00:00:00"/>
    <d v="2026-05-03T00:00:00"/>
    <x v="2"/>
    <x v="9"/>
    <x v="1"/>
    <x v="1"/>
    <n v="497.9"/>
    <n v="2881.3"/>
    <n v="7705000"/>
    <b v="0"/>
    <b v="0"/>
    <n v="5000"/>
    <b v="0"/>
    <b v="0"/>
    <b v="0"/>
    <x v="1"/>
    <x v="20"/>
    <n v="57.625999999999998"/>
    <n v="0"/>
    <n v="0"/>
    <n v="4"/>
    <x v="4"/>
    <n v="1"/>
  </r>
  <r>
    <x v="778"/>
    <d v="2026-05-20T00:00:00"/>
    <d v="2026-05-21T00:00:00"/>
    <d v="2026-05-23T00:00:00"/>
    <d v="2026-05-23T00:00:00"/>
    <x v="2"/>
    <x v="10"/>
    <x v="1"/>
    <x v="2"/>
    <n v="58.2"/>
    <n v="13560.2"/>
    <n v="5839000"/>
    <b v="0"/>
    <b v="0"/>
    <n v="16000"/>
    <b v="0"/>
    <b v="0"/>
    <b v="0"/>
    <x v="0"/>
    <x v="34"/>
    <n v="84.751249999999999"/>
    <n v="0"/>
    <n v="0"/>
    <n v="2"/>
    <x v="2"/>
    <m/>
  </r>
  <r>
    <x v="779"/>
    <d v="2026-03-31T00:00:00"/>
    <d v="2026-04-01T00:00:00"/>
    <d v="2026-04-03T00:00:00"/>
    <d v="2026-04-03T00:00:00"/>
    <x v="0"/>
    <x v="10"/>
    <x v="3"/>
    <x v="2"/>
    <n v="167.1"/>
    <n v="10254.700000000001"/>
    <n v="5684000"/>
    <b v="0"/>
    <b v="0"/>
    <n v="16000"/>
    <b v="0"/>
    <b v="0"/>
    <b v="0"/>
    <x v="0"/>
    <x v="42"/>
    <n v="64.091875000000016"/>
    <n v="0"/>
    <n v="0"/>
    <n v="2"/>
    <x v="4"/>
    <m/>
  </r>
  <r>
    <x v="780"/>
    <d v="2026-05-09T00:00:00"/>
    <d v="2026-05-10T00:00:00"/>
    <d v="2026-05-14T00:00:00"/>
    <d v="2026-05-14T00:00:00"/>
    <x v="3"/>
    <x v="7"/>
    <x v="2"/>
    <x v="0"/>
    <n v="738.8"/>
    <n v="175.2"/>
    <n v="7618000"/>
    <b v="0"/>
    <b v="0"/>
    <n v="1500"/>
    <b v="0"/>
    <b v="0"/>
    <b v="0"/>
    <x v="0"/>
    <x v="40"/>
    <n v="11.68"/>
    <n v="0"/>
    <n v="0"/>
    <n v="4"/>
    <x v="2"/>
    <m/>
  </r>
  <r>
    <x v="781"/>
    <d v="2026-05-08T00:00:00"/>
    <d v="2026-05-09T00:00:00"/>
    <d v="2026-05-13T00:00:00"/>
    <d v="2026-05-13T00:00:00"/>
    <x v="1"/>
    <x v="5"/>
    <x v="2"/>
    <x v="2"/>
    <n v="324.8"/>
    <n v="8743.4"/>
    <n v="9165000"/>
    <b v="0"/>
    <b v="0"/>
    <n v="16000"/>
    <b v="0"/>
    <b v="0"/>
    <b v="0"/>
    <x v="0"/>
    <x v="5"/>
    <n v="54.646249999999988"/>
    <n v="0"/>
    <n v="0"/>
    <n v="4"/>
    <x v="2"/>
    <m/>
  </r>
  <r>
    <x v="782"/>
    <d v="2026-04-01T00:00:00"/>
    <d v="2026-04-02T00:00:00"/>
    <d v="2026-04-05T00:00:00"/>
    <d v="2026-04-05T00:00:00"/>
    <x v="3"/>
    <x v="1"/>
    <x v="2"/>
    <x v="1"/>
    <n v="557.1"/>
    <n v="3319.7"/>
    <n v="7927000"/>
    <b v="0"/>
    <b v="0"/>
    <n v="5000"/>
    <b v="0"/>
    <b v="0"/>
    <b v="0"/>
    <x v="0"/>
    <x v="21"/>
    <n v="66.393999999999991"/>
    <n v="0"/>
    <n v="0"/>
    <n v="3"/>
    <x v="4"/>
    <m/>
  </r>
  <r>
    <x v="783"/>
    <d v="2026-06-12T00:00:00"/>
    <d v="2026-06-13T00:00:00"/>
    <d v="2026-06-15T00:00:00"/>
    <d v="2026-06-16T00:00:00"/>
    <x v="2"/>
    <x v="0"/>
    <x v="2"/>
    <x v="1"/>
    <n v="275.5"/>
    <n v="4090.2"/>
    <n v="5224000"/>
    <b v="0"/>
    <b v="0"/>
    <n v="5000"/>
    <b v="0"/>
    <b v="0"/>
    <b v="0"/>
    <x v="1"/>
    <x v="7"/>
    <n v="81.804000000000002"/>
    <n v="0"/>
    <n v="0"/>
    <n v="3"/>
    <x v="1"/>
    <n v="1"/>
  </r>
  <r>
    <x v="784"/>
    <d v="2026-04-28T00:00:00"/>
    <d v="2026-04-28T00:00:00"/>
    <d v="2026-04-30T00:00:00"/>
    <d v="2026-04-30T00:00:00"/>
    <x v="1"/>
    <x v="5"/>
    <x v="5"/>
    <x v="1"/>
    <n v="296.89999999999998"/>
    <n v="2567.1"/>
    <n v="4793000"/>
    <b v="0"/>
    <b v="0"/>
    <n v="5000"/>
    <b v="0"/>
    <b v="0"/>
    <b v="0"/>
    <x v="0"/>
    <x v="5"/>
    <n v="51.341999999999999"/>
    <n v="0"/>
    <n v="0"/>
    <n v="2"/>
    <x v="4"/>
    <m/>
  </r>
  <r>
    <x v="785"/>
    <d v="2026-05-25T00:00:00"/>
    <d v="2026-05-26T00:00:00"/>
    <d v="2026-05-29T00:00:00"/>
    <d v="2026-05-29T00:00:00"/>
    <x v="2"/>
    <x v="9"/>
    <x v="3"/>
    <x v="3"/>
    <n v="531.9"/>
    <n v="350.3"/>
    <n v="4826000"/>
    <b v="0"/>
    <b v="0"/>
    <n v="1000"/>
    <b v="0"/>
    <b v="0"/>
    <b v="0"/>
    <x v="0"/>
    <x v="20"/>
    <n v="35.03"/>
    <n v="0"/>
    <n v="0"/>
    <n v="3"/>
    <x v="2"/>
    <m/>
  </r>
  <r>
    <x v="786"/>
    <d v="2026-06-05T00:00:00"/>
    <d v="2026-06-07T00:00:00"/>
    <d v="2026-06-11T00:00:00"/>
    <d v="2026-06-11T00:00:00"/>
    <x v="0"/>
    <x v="0"/>
    <x v="1"/>
    <x v="1"/>
    <n v="326.89999999999998"/>
    <n v="1215.9000000000001"/>
    <n v="5161000"/>
    <b v="0"/>
    <b v="0"/>
    <n v="5000"/>
    <b v="0"/>
    <b v="0"/>
    <b v="0"/>
    <x v="0"/>
    <x v="0"/>
    <n v="24.318000000000001"/>
    <n v="0"/>
    <n v="0"/>
    <n v="4"/>
    <x v="1"/>
    <m/>
  </r>
  <r>
    <x v="787"/>
    <d v="2026-01-12T00:00:00"/>
    <d v="2026-01-14T00:00:00"/>
    <d v="2026-01-16T00:00:00"/>
    <d v="2026-01-16T00:00:00"/>
    <x v="1"/>
    <x v="7"/>
    <x v="2"/>
    <x v="0"/>
    <n v="141.1"/>
    <n v="836.4"/>
    <n v="2182000"/>
    <b v="0"/>
    <b v="0"/>
    <n v="1500"/>
    <b v="0"/>
    <b v="0"/>
    <b v="0"/>
    <x v="0"/>
    <x v="26"/>
    <n v="55.76"/>
    <n v="0"/>
    <n v="0"/>
    <n v="2"/>
    <x v="3"/>
    <m/>
  </r>
  <r>
    <x v="788"/>
    <d v="2026-03-22T00:00:00"/>
    <d v="2026-03-23T00:00:00"/>
    <d v="2026-03-27T00:00:00"/>
    <d v="2026-03-27T00:00:00"/>
    <x v="2"/>
    <x v="3"/>
    <x v="3"/>
    <x v="2"/>
    <n v="888.2"/>
    <n v="13218"/>
    <n v="18695000"/>
    <b v="0"/>
    <b v="0"/>
    <n v="16000"/>
    <b v="0"/>
    <b v="0"/>
    <b v="0"/>
    <x v="0"/>
    <x v="3"/>
    <n v="82.612499999999997"/>
    <n v="0"/>
    <n v="0"/>
    <n v="4"/>
    <x v="6"/>
    <m/>
  </r>
  <r>
    <x v="789"/>
    <d v="2026-06-21T00:00:00"/>
    <d v="2026-06-22T00:00:00"/>
    <d v="2026-06-23T00:00:00"/>
    <d v="2026-06-23T00:00:00"/>
    <x v="1"/>
    <x v="10"/>
    <x v="1"/>
    <x v="0"/>
    <n v="26.3"/>
    <n v="172.1"/>
    <n v="734000"/>
    <b v="0"/>
    <b v="0"/>
    <n v="1500"/>
    <b v="0"/>
    <b v="0"/>
    <b v="0"/>
    <x v="0"/>
    <x v="27"/>
    <n v="11.473333333333329"/>
    <n v="0"/>
    <n v="0"/>
    <n v="1"/>
    <x v="1"/>
    <m/>
  </r>
  <r>
    <x v="790"/>
    <d v="2026-05-07T00:00:00"/>
    <d v="2026-05-08T00:00:00"/>
    <d v="2026-05-11T00:00:00"/>
    <d v="2026-05-11T00:00:00"/>
    <x v="0"/>
    <x v="0"/>
    <x v="5"/>
    <x v="3"/>
    <n v="352.1"/>
    <n v="747.9"/>
    <n v="3928000"/>
    <b v="0"/>
    <b v="0"/>
    <n v="1000"/>
    <b v="0"/>
    <b v="0"/>
    <b v="0"/>
    <x v="0"/>
    <x v="0"/>
    <n v="74.790000000000006"/>
    <n v="0"/>
    <n v="0"/>
    <n v="3"/>
    <x v="2"/>
    <m/>
  </r>
  <r>
    <x v="791"/>
    <d v="2026-03-08T00:00:00"/>
    <d v="2026-03-08T00:00:00"/>
    <d v="2026-03-11T00:00:00"/>
    <m/>
    <x v="1"/>
    <x v="5"/>
    <x v="0"/>
    <x v="1"/>
    <n v="331.2"/>
    <n v="1974.1"/>
    <n v="5013000"/>
    <b v="0"/>
    <b v="0"/>
    <n v="5000"/>
    <b v="0"/>
    <b v="0"/>
    <b v="0"/>
    <x v="2"/>
    <x v="5"/>
    <n v="39.481999999999999"/>
    <n v="0"/>
    <n v="0"/>
    <m/>
    <x v="6"/>
    <m/>
  </r>
  <r>
    <x v="792"/>
    <d v="2026-03-30T00:00:00"/>
    <d v="2026-03-31T00:00:00"/>
    <d v="2026-04-04T00:00:00"/>
    <d v="2026-04-04T00:00:00"/>
    <x v="3"/>
    <x v="10"/>
    <x v="3"/>
    <x v="0"/>
    <n v="581.20000000000005"/>
    <n v="962"/>
    <n v="6651000"/>
    <b v="0"/>
    <b v="0"/>
    <n v="1500"/>
    <b v="0"/>
    <b v="0"/>
    <b v="0"/>
    <x v="0"/>
    <x v="32"/>
    <n v="64.133333333333326"/>
    <n v="0"/>
    <n v="0"/>
    <n v="4"/>
    <x v="6"/>
    <m/>
  </r>
  <r>
    <x v="793"/>
    <d v="2026-02-19T00:00:00"/>
    <d v="2026-02-20T00:00:00"/>
    <d v="2026-02-22T00:00:00"/>
    <d v="2026-02-22T00:00:00"/>
    <x v="3"/>
    <x v="4"/>
    <x v="1"/>
    <x v="2"/>
    <n v="139.30000000000001"/>
    <n v="5309.2"/>
    <n v="5512000"/>
    <b v="0"/>
    <b v="0"/>
    <n v="16000"/>
    <b v="0"/>
    <b v="0"/>
    <b v="0"/>
    <x v="0"/>
    <x v="46"/>
    <n v="33.182499999999997"/>
    <n v="0"/>
    <n v="0"/>
    <n v="2"/>
    <x v="5"/>
    <m/>
  </r>
  <r>
    <x v="794"/>
    <d v="2026-05-15T00:00:00"/>
    <d v="2026-05-16T00:00:00"/>
    <d v="2026-05-20T00:00:00"/>
    <d v="2026-05-22T00:00:00"/>
    <x v="1"/>
    <x v="3"/>
    <x v="2"/>
    <x v="1"/>
    <n v="859.7"/>
    <n v="513.4"/>
    <n v="12027000"/>
    <b v="0"/>
    <b v="0"/>
    <n v="5000"/>
    <b v="0"/>
    <b v="0"/>
    <b v="0"/>
    <x v="1"/>
    <x v="35"/>
    <n v="10.268000000000001"/>
    <n v="0"/>
    <n v="0"/>
    <n v="6"/>
    <x v="2"/>
    <n v="2"/>
  </r>
  <r>
    <x v="795"/>
    <d v="2026-02-25T00:00:00"/>
    <d v="2026-02-27T00:00:00"/>
    <d v="2026-03-02T00:00:00"/>
    <d v="2026-03-03T00:00:00"/>
    <x v="0"/>
    <x v="11"/>
    <x v="5"/>
    <x v="0"/>
    <n v="489"/>
    <n v="482.9"/>
    <n v="5190000"/>
    <b v="0"/>
    <b v="0"/>
    <n v="1500"/>
    <b v="0"/>
    <b v="0"/>
    <b v="0"/>
    <x v="1"/>
    <x v="36"/>
    <n v="32.193333333333328"/>
    <n v="0"/>
    <n v="0"/>
    <n v="4"/>
    <x v="5"/>
    <n v="1"/>
  </r>
  <r>
    <x v="796"/>
    <d v="2026-02-06T00:00:00"/>
    <d v="2026-02-07T00:00:00"/>
    <d v="2026-02-06T00:00:00"/>
    <d v="2026-02-08T00:00:00"/>
    <x v="2"/>
    <x v="6"/>
    <x v="3"/>
    <x v="0"/>
    <n v="130.1"/>
    <n v="552.1"/>
    <n v="1833000"/>
    <b v="1"/>
    <b v="0"/>
    <n v="1500"/>
    <b v="0"/>
    <b v="0"/>
    <b v="1"/>
    <x v="3"/>
    <x v="6"/>
    <n v="36.806666666666672"/>
    <n v="0"/>
    <n v="1"/>
    <m/>
    <x v="5"/>
    <m/>
  </r>
  <r>
    <x v="797"/>
    <d v="2026-06-04T00:00:00"/>
    <d v="2026-06-06T00:00:00"/>
    <d v="2026-06-08T00:00:00"/>
    <d v="2026-06-08T00:00:00"/>
    <x v="2"/>
    <x v="6"/>
    <x v="0"/>
    <x v="1"/>
    <n v="128.9"/>
    <n v="1961.7"/>
    <n v="3209000"/>
    <b v="0"/>
    <b v="0"/>
    <n v="5000"/>
    <b v="0"/>
    <b v="0"/>
    <b v="0"/>
    <x v="0"/>
    <x v="6"/>
    <n v="39.234000000000002"/>
    <n v="0"/>
    <n v="0"/>
    <n v="2"/>
    <x v="1"/>
    <m/>
  </r>
  <r>
    <x v="798"/>
    <d v="2026-01-05T00:00:00"/>
    <d v="2026-01-06T00:00:00"/>
    <d v="2026-01-08T00:00:00"/>
    <d v="2026-01-08T00:00:00"/>
    <x v="0"/>
    <x v="5"/>
    <x v="2"/>
    <x v="3"/>
    <n v="165.7"/>
    <n v="118.8"/>
    <n v="1931000"/>
    <b v="0"/>
    <b v="0"/>
    <n v="1000"/>
    <b v="0"/>
    <b v="0"/>
    <b v="0"/>
    <x v="0"/>
    <x v="8"/>
    <n v="11.88"/>
    <n v="0"/>
    <n v="0"/>
    <n v="2"/>
    <x v="3"/>
    <m/>
  </r>
  <r>
    <x v="799"/>
    <d v="2026-03-09T00:00:00"/>
    <d v="2026-03-10T00:00:00"/>
    <d v="2026-03-14T00:00:00"/>
    <d v="2026-03-15T00:00:00"/>
    <x v="0"/>
    <x v="4"/>
    <x v="2"/>
    <x v="1"/>
    <n v="647.79999999999995"/>
    <n v="1811.3"/>
    <n v="10292000"/>
    <b v="0"/>
    <b v="0"/>
    <n v="5000"/>
    <b v="0"/>
    <b v="0"/>
    <b v="0"/>
    <x v="1"/>
    <x v="30"/>
    <n v="36.225999999999999"/>
    <n v="0"/>
    <n v="0"/>
    <n v="5"/>
    <x v="6"/>
    <n v="1"/>
  </r>
  <r>
    <x v="800"/>
    <d v="2026-01-28T00:00:00"/>
    <d v="2026-01-29T00:00:00"/>
    <d v="2026-01-30T00:00:00"/>
    <d v="2026-01-31T00:00:00"/>
    <x v="1"/>
    <x v="8"/>
    <x v="2"/>
    <x v="3"/>
    <n v="52.6"/>
    <n v="536.79999999999995"/>
    <n v="1175000"/>
    <b v="0"/>
    <b v="0"/>
    <n v="1000"/>
    <b v="0"/>
    <b v="0"/>
    <b v="0"/>
    <x v="1"/>
    <x v="28"/>
    <n v="53.679999999999993"/>
    <n v="0"/>
    <n v="0"/>
    <n v="2"/>
    <x v="3"/>
    <n v="1"/>
  </r>
  <r>
    <x v="801"/>
    <d v="2026-02-14T00:00:00"/>
    <d v="2026-02-16T00:00:00"/>
    <d v="2026-02-18T00:00:00"/>
    <d v="2026-02-18T00:00:00"/>
    <x v="0"/>
    <x v="5"/>
    <x v="5"/>
    <x v="0"/>
    <n v="190.5"/>
    <n v="781.9"/>
    <n v="2408000"/>
    <b v="0"/>
    <b v="0"/>
    <n v="1500"/>
    <b v="0"/>
    <b v="0"/>
    <b v="0"/>
    <x v="0"/>
    <x v="8"/>
    <n v="52.126666666666672"/>
    <n v="0"/>
    <n v="0"/>
    <n v="2"/>
    <x v="5"/>
    <m/>
  </r>
  <r>
    <x v="802"/>
    <d v="2026-01-04T00:00:00"/>
    <d v="2026-01-05T00:00:00"/>
    <d v="2026-01-07T00:00:00"/>
    <d v="2026-01-08T00:00:00"/>
    <x v="1"/>
    <x v="7"/>
    <x v="3"/>
    <x v="2"/>
    <n v="138.30000000000001"/>
    <n v="14190.6"/>
    <n v="7212000"/>
    <b v="0"/>
    <b v="0"/>
    <n v="16000"/>
    <b v="0"/>
    <b v="0"/>
    <b v="0"/>
    <x v="1"/>
    <x v="26"/>
    <n v="88.691249999999997"/>
    <n v="0"/>
    <n v="0"/>
    <n v="3"/>
    <x v="3"/>
    <n v="1"/>
  </r>
  <r>
    <x v="803"/>
    <d v="2026-02-02T00:00:00"/>
    <d v="2026-02-03T00:00:00"/>
    <d v="2026-02-02T00:00:00"/>
    <d v="2026-02-07T00:00:00"/>
    <x v="0"/>
    <x v="4"/>
    <x v="5"/>
    <x v="1"/>
    <n v="616.5"/>
    <n v="2726.6"/>
    <n v="8297000"/>
    <b v="1"/>
    <b v="0"/>
    <n v="5000"/>
    <b v="0"/>
    <b v="0"/>
    <b v="1"/>
    <x v="3"/>
    <x v="30"/>
    <n v="54.531999999999996"/>
    <n v="0"/>
    <n v="1"/>
    <m/>
    <x v="5"/>
    <m/>
  </r>
  <r>
    <x v="804"/>
    <d v="2026-01-26T00:00:00"/>
    <d v="2026-01-27T00:00:00"/>
    <d v="2026-01-29T00:00:00"/>
    <d v="2026-01-30T00:00:00"/>
    <x v="0"/>
    <x v="2"/>
    <x v="1"/>
    <x v="3"/>
    <n v="178.8"/>
    <n v="773.7"/>
    <n v="2405000"/>
    <b v="0"/>
    <b v="0"/>
    <n v="1000"/>
    <b v="0"/>
    <b v="0"/>
    <b v="0"/>
    <x v="1"/>
    <x v="23"/>
    <n v="77.37"/>
    <n v="0"/>
    <n v="0"/>
    <n v="3"/>
    <x v="3"/>
    <n v="1"/>
  </r>
  <r>
    <x v="805"/>
    <d v="2026-06-07T00:00:00"/>
    <d v="2026-06-08T00:00:00"/>
    <d v="2026-06-11T00:00:00"/>
    <d v="2026-06-11T00:00:00"/>
    <x v="0"/>
    <x v="11"/>
    <x v="3"/>
    <x v="1"/>
    <n v="496"/>
    <n v="675.9"/>
    <n v="7375000"/>
    <b v="0"/>
    <b v="0"/>
    <n v="5000"/>
    <b v="0"/>
    <b v="0"/>
    <b v="0"/>
    <x v="0"/>
    <x v="36"/>
    <n v="13.518000000000001"/>
    <n v="0"/>
    <n v="0"/>
    <n v="3"/>
    <x v="1"/>
    <m/>
  </r>
  <r>
    <x v="806"/>
    <d v="2026-01-18T00:00:00"/>
    <d v="2026-01-18T00:00:00"/>
    <d v="2026-01-19T00:00:00"/>
    <d v="2026-01-19T00:00:00"/>
    <x v="2"/>
    <x v="8"/>
    <x v="1"/>
    <x v="1"/>
    <n v="21.7"/>
    <n v="4327"/>
    <n v="2806000"/>
    <b v="0"/>
    <b v="0"/>
    <n v="5000"/>
    <b v="0"/>
    <b v="0"/>
    <b v="0"/>
    <x v="0"/>
    <x v="18"/>
    <n v="86.539999999999992"/>
    <n v="0"/>
    <n v="0"/>
    <n v="1"/>
    <x v="3"/>
    <m/>
  </r>
  <r>
    <x v="807"/>
    <d v="2026-02-21T00:00:00"/>
    <d v="2026-02-22T00:00:00"/>
    <d v="2026-02-26T00:00:00"/>
    <d v="2026-02-26T00:00:00"/>
    <x v="1"/>
    <x v="4"/>
    <x v="0"/>
    <x v="0"/>
    <n v="749.9"/>
    <n v="1317.6"/>
    <n v="7579000"/>
    <b v="0"/>
    <b v="0"/>
    <n v="1500"/>
    <b v="0"/>
    <b v="0"/>
    <b v="0"/>
    <x v="0"/>
    <x v="38"/>
    <n v="87.839999999999989"/>
    <n v="0"/>
    <n v="0"/>
    <n v="4"/>
    <x v="5"/>
    <m/>
  </r>
  <r>
    <x v="808"/>
    <d v="2026-03-23T00:00:00"/>
    <d v="2026-03-25T00:00:00"/>
    <d v="2026-03-27T00:00:00"/>
    <d v="2026-03-27T00:00:00"/>
    <x v="2"/>
    <x v="2"/>
    <x v="2"/>
    <x v="2"/>
    <n v="290.3"/>
    <n v="6230.5"/>
    <n v="9142000"/>
    <b v="0"/>
    <b v="0"/>
    <n v="16000"/>
    <b v="0"/>
    <b v="0"/>
    <b v="0"/>
    <x v="0"/>
    <x v="29"/>
    <n v="38.940624999999997"/>
    <n v="0"/>
    <n v="0"/>
    <n v="2"/>
    <x v="6"/>
    <m/>
  </r>
  <r>
    <x v="809"/>
    <d v="2026-03-28T00:00:00"/>
    <d v="2026-03-30T00:00:00"/>
    <d v="2026-04-02T00:00:00"/>
    <d v="2026-04-02T00:00:00"/>
    <x v="1"/>
    <x v="9"/>
    <x v="0"/>
    <x v="3"/>
    <n v="437"/>
    <n v="378"/>
    <n v="4220000"/>
    <b v="0"/>
    <b v="0"/>
    <n v="1000"/>
    <b v="0"/>
    <b v="0"/>
    <b v="0"/>
    <x v="0"/>
    <x v="24"/>
    <n v="37.799999999999997"/>
    <n v="0"/>
    <n v="0"/>
    <n v="3"/>
    <x v="6"/>
    <m/>
  </r>
  <r>
    <x v="810"/>
    <d v="2026-01-27T00:00:00"/>
    <d v="2026-01-28T00:00:00"/>
    <d v="2026-01-30T00:00:00"/>
    <d v="2026-01-29T00:00:00"/>
    <x v="3"/>
    <x v="4"/>
    <x v="0"/>
    <x v="1"/>
    <n v="147.5"/>
    <n v="3366.6"/>
    <n v="4175000"/>
    <b v="0"/>
    <b v="0"/>
    <n v="5000"/>
    <b v="0"/>
    <b v="0"/>
    <b v="0"/>
    <x v="0"/>
    <x v="46"/>
    <n v="67.332000000000008"/>
    <n v="0"/>
    <n v="0"/>
    <n v="1"/>
    <x v="3"/>
    <m/>
  </r>
  <r>
    <x v="811"/>
    <d v="2026-06-27T00:00:00"/>
    <d v="2026-06-28T00:00:00"/>
    <d v="2026-07-01T00:00:00"/>
    <d v="2026-07-01T00:00:00"/>
    <x v="1"/>
    <x v="1"/>
    <x v="5"/>
    <x v="3"/>
    <n v="319.39999999999998"/>
    <n v="857.6"/>
    <n v="3722000"/>
    <b v="0"/>
    <b v="0"/>
    <n v="1000"/>
    <b v="0"/>
    <b v="0"/>
    <b v="0"/>
    <x v="0"/>
    <x v="25"/>
    <n v="85.76"/>
    <n v="0"/>
    <n v="0"/>
    <n v="3"/>
    <x v="1"/>
    <m/>
  </r>
  <r>
    <x v="812"/>
    <d v="2026-01-28T00:00:00"/>
    <d v="2026-01-28T00:00:00"/>
    <d v="2026-01-30T00:00:00"/>
    <d v="2026-01-31T00:00:00"/>
    <x v="2"/>
    <x v="7"/>
    <x v="0"/>
    <x v="1"/>
    <n v="184.2"/>
    <n v="3233.1"/>
    <n v="4027000"/>
    <b v="0"/>
    <b v="0"/>
    <n v="5000"/>
    <b v="0"/>
    <b v="0"/>
    <b v="0"/>
    <x v="1"/>
    <x v="10"/>
    <n v="64.661999999999992"/>
    <n v="0"/>
    <n v="0"/>
    <n v="3"/>
    <x v="3"/>
    <n v="1"/>
  </r>
  <r>
    <x v="813"/>
    <d v="2026-06-29T00:00:00"/>
    <d v="2026-06-29T00:00:00"/>
    <d v="2026-07-02T00:00:00"/>
    <d v="2026-07-02T00:00:00"/>
    <x v="2"/>
    <x v="5"/>
    <x v="3"/>
    <x v="0"/>
    <n v="304.10000000000002"/>
    <n v="514.20000000000005"/>
    <n v="3750000"/>
    <b v="0"/>
    <b v="0"/>
    <n v="1500"/>
    <b v="0"/>
    <b v="0"/>
    <b v="0"/>
    <x v="0"/>
    <x v="17"/>
    <n v="34.280000000000008"/>
    <n v="0"/>
    <n v="0"/>
    <n v="3"/>
    <x v="1"/>
    <m/>
  </r>
  <r>
    <x v="814"/>
    <d v="2026-06-09T00:00:00"/>
    <d v="2026-06-10T00:00:00"/>
    <d v="2026-06-14T00:00:00"/>
    <d v="2026-06-14T00:00:00"/>
    <x v="1"/>
    <x v="11"/>
    <x v="0"/>
    <x v="3"/>
    <n v="634"/>
    <n v="869"/>
    <n v="6357000"/>
    <b v="0"/>
    <b v="0"/>
    <n v="1000"/>
    <b v="0"/>
    <b v="0"/>
    <b v="0"/>
    <x v="0"/>
    <x v="33"/>
    <n v="86.9"/>
    <n v="0"/>
    <n v="0"/>
    <n v="4"/>
    <x v="1"/>
    <m/>
  </r>
  <r>
    <x v="815"/>
    <d v="2026-06-08T00:00:00"/>
    <d v="2026-06-09T00:00:00"/>
    <d v="2026-06-11T00:00:00"/>
    <d v="2026-06-11T00:00:00"/>
    <x v="2"/>
    <x v="2"/>
    <x v="3"/>
    <x v="0"/>
    <n v="279"/>
    <n v="913.1"/>
    <n v="3465000"/>
    <b v="0"/>
    <b v="0"/>
    <n v="1500"/>
    <b v="0"/>
    <b v="0"/>
    <b v="0"/>
    <x v="0"/>
    <x v="29"/>
    <n v="60.873333333333328"/>
    <n v="0"/>
    <n v="0"/>
    <n v="2"/>
    <x v="1"/>
    <m/>
  </r>
  <r>
    <x v="816"/>
    <d v="2026-02-12T00:00:00"/>
    <d v="2026-02-13T00:00:00"/>
    <d v="2026-02-17T00:00:00"/>
    <d v="2026-02-18T00:00:00"/>
    <x v="1"/>
    <x v="4"/>
    <x v="5"/>
    <x v="2"/>
    <n v="774.7"/>
    <n v="5129.3"/>
    <n v="15719000"/>
    <b v="0"/>
    <b v="0"/>
    <n v="16000"/>
    <b v="0"/>
    <b v="0"/>
    <b v="0"/>
    <x v="1"/>
    <x v="38"/>
    <n v="32.058124999999997"/>
    <n v="0"/>
    <n v="0"/>
    <n v="5"/>
    <x v="5"/>
    <n v="1"/>
  </r>
  <r>
    <x v="817"/>
    <d v="2026-06-14T00:00:00"/>
    <d v="2026-06-15T00:00:00"/>
    <d v="2026-06-17T00:00:00"/>
    <d v="2026-06-17T00:00:00"/>
    <x v="1"/>
    <x v="7"/>
    <x v="1"/>
    <x v="2"/>
    <n v="137.30000000000001"/>
    <n v="13290.1"/>
    <n v="6694000"/>
    <b v="0"/>
    <b v="0"/>
    <n v="16000"/>
    <b v="0"/>
    <b v="0"/>
    <b v="0"/>
    <x v="0"/>
    <x v="26"/>
    <n v="83.063124999999999"/>
    <n v="0"/>
    <n v="0"/>
    <n v="2"/>
    <x v="1"/>
    <m/>
  </r>
  <r>
    <x v="818"/>
    <d v="2026-05-11T00:00:00"/>
    <d v="2026-05-13T00:00:00"/>
    <d v="2026-05-15T00:00:00"/>
    <d v="2026-05-15T00:00:00"/>
    <x v="1"/>
    <x v="6"/>
    <x v="5"/>
    <x v="1"/>
    <n v="152"/>
    <n v="1870.2"/>
    <n v="3586000"/>
    <b v="0"/>
    <b v="0"/>
    <n v="5000"/>
    <b v="0"/>
    <b v="0"/>
    <b v="0"/>
    <x v="0"/>
    <x v="9"/>
    <n v="37.404000000000003"/>
    <n v="0"/>
    <n v="0"/>
    <n v="2"/>
    <x v="2"/>
    <m/>
  </r>
  <r>
    <x v="819"/>
    <d v="2026-01-22T00:00:00"/>
    <d v="2026-01-22T00:00:00"/>
    <d v="2026-01-24T00:00:00"/>
    <d v="2026-01-24T00:00:00"/>
    <x v="0"/>
    <x v="10"/>
    <x v="3"/>
    <x v="1"/>
    <n v="149.30000000000001"/>
    <n v="3117.8"/>
    <n v="3877000"/>
    <b v="0"/>
    <b v="0"/>
    <n v="5000"/>
    <b v="0"/>
    <b v="0"/>
    <b v="0"/>
    <x v="0"/>
    <x v="42"/>
    <n v="62.356000000000002"/>
    <n v="0"/>
    <n v="0"/>
    <n v="2"/>
    <x v="3"/>
    <m/>
  </r>
  <r>
    <x v="820"/>
    <d v="2026-02-21T00:00:00"/>
    <d v="2026-02-22T00:00:00"/>
    <d v="2026-02-23T00:00:00"/>
    <d v="2026-02-23T00:00:00"/>
    <x v="1"/>
    <x v="8"/>
    <x v="2"/>
    <x v="1"/>
    <n v="59.7"/>
    <n v="1944.5"/>
    <n v="2329000"/>
    <b v="0"/>
    <b v="0"/>
    <n v="5000"/>
    <b v="0"/>
    <b v="0"/>
    <b v="0"/>
    <x v="0"/>
    <x v="28"/>
    <n v="38.89"/>
    <n v="0"/>
    <n v="0"/>
    <n v="1"/>
    <x v="5"/>
    <m/>
  </r>
  <r>
    <x v="821"/>
    <d v="2026-06-29T00:00:00"/>
    <d v="2026-06-30T00:00:00"/>
    <d v="2026-07-02T00:00:00"/>
    <d v="2026-07-02T00:00:00"/>
    <x v="2"/>
    <x v="1"/>
    <x v="3"/>
    <x v="0"/>
    <n v="295.89999999999998"/>
    <n v="326.7"/>
    <n v="3797000"/>
    <b v="0"/>
    <b v="0"/>
    <n v="1500"/>
    <b v="0"/>
    <b v="0"/>
    <b v="0"/>
    <x v="0"/>
    <x v="16"/>
    <n v="21.78"/>
    <n v="0"/>
    <n v="0"/>
    <n v="2"/>
    <x v="1"/>
    <m/>
  </r>
  <r>
    <x v="822"/>
    <d v="2026-04-28T00:00:00"/>
    <d v="2026-04-30T00:00:00"/>
    <d v="2026-05-02T00:00:00"/>
    <d v="2026-05-02T00:00:00"/>
    <x v="1"/>
    <x v="7"/>
    <x v="5"/>
    <x v="1"/>
    <n v="145.5"/>
    <n v="591"/>
    <n v="2584000"/>
    <b v="0"/>
    <b v="0"/>
    <n v="5000"/>
    <b v="0"/>
    <b v="0"/>
    <b v="0"/>
    <x v="0"/>
    <x v="26"/>
    <n v="11.82"/>
    <n v="0"/>
    <n v="0"/>
    <n v="2"/>
    <x v="4"/>
    <m/>
  </r>
  <r>
    <x v="823"/>
    <d v="2026-01-08T00:00:00"/>
    <d v="2026-01-09T00:00:00"/>
    <d v="2026-01-11T00:00:00"/>
    <d v="2026-01-11T00:00:00"/>
    <x v="1"/>
    <x v="7"/>
    <x v="0"/>
    <x v="2"/>
    <n v="153.6"/>
    <n v="12736.8"/>
    <n v="6226000"/>
    <b v="0"/>
    <b v="0"/>
    <n v="16000"/>
    <b v="0"/>
    <b v="0"/>
    <b v="0"/>
    <x v="0"/>
    <x v="26"/>
    <n v="79.60499999999999"/>
    <n v="0"/>
    <n v="0"/>
    <n v="2"/>
    <x v="3"/>
    <m/>
  </r>
  <r>
    <x v="824"/>
    <d v="2026-06-12T00:00:00"/>
    <d v="2026-06-13T00:00:00"/>
    <d v="2026-06-15T00:00:00"/>
    <d v="2026-06-14T00:00:00"/>
    <x v="2"/>
    <x v="7"/>
    <x v="5"/>
    <x v="0"/>
    <n v="187.5"/>
    <n v="810.1"/>
    <n v="2478000"/>
    <b v="0"/>
    <b v="0"/>
    <n v="1500"/>
    <b v="0"/>
    <b v="0"/>
    <b v="0"/>
    <x v="0"/>
    <x v="10"/>
    <n v="54.006666666666668"/>
    <n v="0"/>
    <n v="0"/>
    <n v="1"/>
    <x v="1"/>
    <m/>
  </r>
  <r>
    <x v="825"/>
    <d v="2026-03-11T00:00:00"/>
    <d v="2026-03-12T00:00:00"/>
    <d v="2026-03-15T00:00:00"/>
    <d v="2026-03-16T00:00:00"/>
    <x v="1"/>
    <x v="2"/>
    <x v="5"/>
    <x v="1"/>
    <n v="324.2"/>
    <n v="1838.8"/>
    <n v="4574000"/>
    <b v="0"/>
    <b v="0"/>
    <n v="5000"/>
    <b v="0"/>
    <b v="0"/>
    <b v="0"/>
    <x v="1"/>
    <x v="2"/>
    <n v="36.776000000000003"/>
    <n v="0"/>
    <n v="0"/>
    <n v="4"/>
    <x v="6"/>
    <n v="1"/>
  </r>
  <r>
    <x v="826"/>
    <d v="2026-03-17T00:00:00"/>
    <d v="2026-03-18T00:00:00"/>
    <d v="2026-03-19T00:00:00"/>
    <d v="2026-03-19T00:00:00"/>
    <x v="2"/>
    <x v="10"/>
    <x v="2"/>
    <x v="1"/>
    <n v="52.4"/>
    <n v="794.3"/>
    <n v="1763000"/>
    <b v="0"/>
    <b v="0"/>
    <n v="5000"/>
    <b v="0"/>
    <b v="0"/>
    <b v="0"/>
    <x v="0"/>
    <x v="34"/>
    <n v="15.885999999999999"/>
    <n v="0"/>
    <n v="0"/>
    <n v="1"/>
    <x v="6"/>
    <m/>
  </r>
  <r>
    <x v="827"/>
    <d v="2026-01-04T00:00:00"/>
    <d v="2026-01-05T00:00:00"/>
    <d v="2026-01-08T00:00:00"/>
    <d v="2026-01-08T00:00:00"/>
    <x v="1"/>
    <x v="2"/>
    <x v="2"/>
    <x v="1"/>
    <n v="347"/>
    <n v="3771"/>
    <n v="6427000"/>
    <b v="0"/>
    <b v="0"/>
    <n v="5000"/>
    <b v="0"/>
    <b v="0"/>
    <b v="0"/>
    <x v="0"/>
    <x v="2"/>
    <n v="75.42"/>
    <n v="0"/>
    <n v="0"/>
    <n v="3"/>
    <x v="3"/>
    <m/>
  </r>
  <r>
    <x v="828"/>
    <d v="2026-01-30T00:00:00"/>
    <d v="2026-01-31T00:00:00"/>
    <d v="2026-02-03T00:00:00"/>
    <d v="2026-02-03T00:00:00"/>
    <x v="0"/>
    <x v="11"/>
    <x v="3"/>
    <x v="2"/>
    <n v="484.6"/>
    <n v="9050.1"/>
    <n v="11809000"/>
    <b v="0"/>
    <b v="0"/>
    <n v="16000"/>
    <b v="0"/>
    <b v="0"/>
    <b v="0"/>
    <x v="0"/>
    <x v="36"/>
    <n v="56.563124999999999"/>
    <n v="0"/>
    <n v="0"/>
    <n v="3"/>
    <x v="3"/>
    <m/>
  </r>
  <r>
    <x v="829"/>
    <d v="2026-06-19T00:00:00"/>
    <d v="2026-06-21T00:00:00"/>
    <d v="2026-06-24T00:00:00"/>
    <d v="2026-06-25T00:00:00"/>
    <x v="0"/>
    <x v="5"/>
    <x v="0"/>
    <x v="1"/>
    <n v="175.5"/>
    <n v="744.9"/>
    <n v="2948000"/>
    <b v="0"/>
    <b v="0"/>
    <n v="5000"/>
    <b v="0"/>
    <b v="0"/>
    <b v="0"/>
    <x v="1"/>
    <x v="8"/>
    <n v="14.898"/>
    <n v="0"/>
    <n v="0"/>
    <n v="4"/>
    <x v="1"/>
    <n v="1"/>
  </r>
  <r>
    <x v="830"/>
    <d v="2026-04-17T00:00:00"/>
    <d v="2026-04-18T00:00:00"/>
    <d v="2026-04-22T00:00:00"/>
    <d v="2026-04-22T00:00:00"/>
    <x v="1"/>
    <x v="3"/>
    <x v="5"/>
    <x v="0"/>
    <n v="897.3"/>
    <n v="493.8"/>
    <n v="10042000"/>
    <b v="0"/>
    <b v="0"/>
    <n v="1500"/>
    <b v="0"/>
    <b v="0"/>
    <b v="0"/>
    <x v="0"/>
    <x v="35"/>
    <n v="32.92"/>
    <n v="0"/>
    <n v="0"/>
    <n v="4"/>
    <x v="4"/>
    <m/>
  </r>
  <r>
    <x v="831"/>
    <d v="2026-05-06T00:00:00"/>
    <d v="2026-05-07T00:00:00"/>
    <d v="2026-05-08T00:00:00"/>
    <d v="2026-05-08T00:00:00"/>
    <x v="0"/>
    <x v="6"/>
    <x v="3"/>
    <x v="2"/>
    <n v="17.399999999999999"/>
    <n v="5204.2"/>
    <n v="2842000"/>
    <b v="0"/>
    <b v="0"/>
    <n v="16000"/>
    <b v="0"/>
    <b v="0"/>
    <b v="0"/>
    <x v="0"/>
    <x v="19"/>
    <n v="32.526249999999997"/>
    <n v="0"/>
    <n v="0"/>
    <n v="1"/>
    <x v="2"/>
    <m/>
  </r>
  <r>
    <x v="832"/>
    <d v="2026-01-22T00:00:00"/>
    <d v="2026-01-24T00:00:00"/>
    <d v="2026-01-27T00:00:00"/>
    <d v="2026-01-27T00:00:00"/>
    <x v="1"/>
    <x v="9"/>
    <x v="1"/>
    <x v="3"/>
    <n v="436.1"/>
    <n v="733.3"/>
    <n v="4495000"/>
    <b v="0"/>
    <b v="0"/>
    <n v="1000"/>
    <b v="0"/>
    <b v="0"/>
    <b v="0"/>
    <x v="0"/>
    <x v="24"/>
    <n v="73.33"/>
    <n v="0"/>
    <n v="0"/>
    <n v="3"/>
    <x v="3"/>
    <m/>
  </r>
  <r>
    <x v="833"/>
    <d v="2026-03-22T00:00:00"/>
    <d v="2026-03-23T00:00:00"/>
    <d v="2026-03-25T00:00:00"/>
    <d v="2026-03-25T00:00:00"/>
    <x v="0"/>
    <x v="2"/>
    <x v="3"/>
    <x v="0"/>
    <n v="168.3"/>
    <n v="617.4"/>
    <n v="2224000"/>
    <b v="0"/>
    <b v="0"/>
    <n v="1500"/>
    <b v="0"/>
    <b v="0"/>
    <b v="0"/>
    <x v="0"/>
    <x v="23"/>
    <n v="41.16"/>
    <n v="0"/>
    <n v="0"/>
    <n v="2"/>
    <x v="6"/>
    <m/>
  </r>
  <r>
    <x v="834"/>
    <d v="2026-01-13T00:00:00"/>
    <d v="2026-01-12T00:00:00"/>
    <d v="2026-01-19T00:00:00"/>
    <d v="2026-01-19T00:00:00"/>
    <x v="3"/>
    <x v="10"/>
    <x v="3"/>
    <x v="0"/>
    <n v="681.4"/>
    <n v="981"/>
    <n v="7088000"/>
    <b v="1"/>
    <b v="0"/>
    <n v="1500"/>
    <b v="0"/>
    <b v="0"/>
    <b v="1"/>
    <x v="3"/>
    <x v="32"/>
    <n v="65.400000000000006"/>
    <n v="0"/>
    <n v="1"/>
    <m/>
    <x v="3"/>
    <m/>
  </r>
  <r>
    <x v="835"/>
    <d v="2026-05-07T00:00:00"/>
    <d v="2026-05-07T00:00:00"/>
    <d v="2026-05-09T00:00:00"/>
    <d v="2026-05-09T00:00:00"/>
    <x v="0"/>
    <x v="8"/>
    <x v="3"/>
    <x v="3"/>
    <n v="130.5"/>
    <n v="231.1"/>
    <n v="1564000"/>
    <b v="0"/>
    <b v="0"/>
    <n v="1000"/>
    <b v="0"/>
    <b v="0"/>
    <b v="0"/>
    <x v="0"/>
    <x v="22"/>
    <n v="23.11"/>
    <n v="0"/>
    <n v="0"/>
    <n v="2"/>
    <x v="2"/>
    <m/>
  </r>
  <r>
    <x v="836"/>
    <d v="2026-01-22T00:00:00"/>
    <d v="2026-01-22T00:00:00"/>
    <d v="2026-01-24T00:00:00"/>
    <d v="2026-01-24T00:00:00"/>
    <x v="1"/>
    <x v="6"/>
    <x v="0"/>
    <x v="2"/>
    <n v="161.5"/>
    <n v="12665.4"/>
    <n v="7866000"/>
    <b v="0"/>
    <b v="0"/>
    <n v="16000"/>
    <b v="0"/>
    <b v="0"/>
    <b v="0"/>
    <x v="0"/>
    <x v="9"/>
    <n v="79.158749999999998"/>
    <n v="0"/>
    <n v="0"/>
    <n v="2"/>
    <x v="3"/>
    <m/>
  </r>
  <r>
    <x v="837"/>
    <d v="2026-06-05T00:00:00"/>
    <d v="2026-06-06T00:00:00"/>
    <d v="2026-06-08T00:00:00"/>
    <d v="2026-06-09T00:00:00"/>
    <x v="0"/>
    <x v="10"/>
    <x v="0"/>
    <x v="3"/>
    <n v="153.19999999999999"/>
    <n v="845"/>
    <n v="2032000"/>
    <b v="0"/>
    <b v="0"/>
    <n v="1000"/>
    <b v="0"/>
    <b v="0"/>
    <b v="0"/>
    <x v="1"/>
    <x v="42"/>
    <n v="84.5"/>
    <n v="0"/>
    <n v="0"/>
    <n v="3"/>
    <x v="1"/>
    <n v="1"/>
  </r>
  <r>
    <x v="838"/>
    <d v="2026-04-16T00:00:00"/>
    <d v="2026-04-17T00:00:00"/>
    <d v="2026-04-21T00:00:00"/>
    <d v="2026-04-21T00:00:00"/>
    <x v="1"/>
    <x v="4"/>
    <x v="0"/>
    <x v="3"/>
    <n v="845"/>
    <n v="228.5"/>
    <n v="8556000"/>
    <b v="0"/>
    <b v="0"/>
    <n v="1000"/>
    <b v="0"/>
    <b v="0"/>
    <b v="0"/>
    <x v="0"/>
    <x v="38"/>
    <n v="22.85"/>
    <n v="0"/>
    <n v="0"/>
    <n v="4"/>
    <x v="4"/>
    <m/>
  </r>
  <r>
    <x v="839"/>
    <d v="2026-06-11T00:00:00"/>
    <d v="2026-06-12T00:00:00"/>
    <d v="2026-06-13T00:00:00"/>
    <d v="2026-06-13T00:00:00"/>
    <x v="1"/>
    <x v="10"/>
    <x v="2"/>
    <x v="1"/>
    <n v="33.6"/>
    <n v="3873"/>
    <n v="2583000"/>
    <b v="0"/>
    <b v="0"/>
    <n v="5000"/>
    <b v="0"/>
    <b v="0"/>
    <b v="0"/>
    <x v="0"/>
    <x v="27"/>
    <n v="77.459999999999994"/>
    <n v="0"/>
    <n v="0"/>
    <n v="1"/>
    <x v="1"/>
    <m/>
  </r>
  <r>
    <x v="840"/>
    <d v="2026-01-23T00:00:00"/>
    <d v="2026-01-24T00:00:00"/>
    <d v="2026-01-25T00:00:00"/>
    <d v="2026-01-27T00:00:00"/>
    <x v="1"/>
    <x v="8"/>
    <x v="2"/>
    <x v="1"/>
    <n v="46.7"/>
    <n v="4374.8"/>
    <n v="3289000"/>
    <b v="0"/>
    <b v="0"/>
    <n v="5000"/>
    <b v="0"/>
    <b v="0"/>
    <b v="0"/>
    <x v="1"/>
    <x v="28"/>
    <n v="87.496000000000009"/>
    <n v="0"/>
    <n v="0"/>
    <n v="3"/>
    <x v="3"/>
    <n v="2"/>
  </r>
  <r>
    <x v="841"/>
    <d v="2026-05-02T00:00:00"/>
    <d v="2026-05-02T00:00:00"/>
    <d v="2026-05-05T00:00:00"/>
    <d v="2026-05-05T00:00:00"/>
    <x v="0"/>
    <x v="4"/>
    <x v="1"/>
    <x v="2"/>
    <n v="557.70000000000005"/>
    <n v="12809.2"/>
    <n v="14539000"/>
    <b v="0"/>
    <b v="0"/>
    <n v="16000"/>
    <b v="0"/>
    <b v="0"/>
    <b v="0"/>
    <x v="0"/>
    <x v="30"/>
    <n v="80.057500000000005"/>
    <n v="0"/>
    <n v="0"/>
    <n v="3"/>
    <x v="2"/>
    <m/>
  </r>
  <r>
    <x v="842"/>
    <d v="2026-04-11T00:00:00"/>
    <d v="2026-04-12T00:00:00"/>
    <d v="2026-04-14T00:00:00"/>
    <d v="2026-04-14T00:00:00"/>
    <x v="1"/>
    <x v="7"/>
    <x v="5"/>
    <x v="1"/>
    <n v="133.69999999999999"/>
    <n v="2481.5"/>
    <n v="3549000"/>
    <b v="0"/>
    <b v="0"/>
    <n v="5000"/>
    <b v="0"/>
    <b v="0"/>
    <b v="0"/>
    <x v="0"/>
    <x v="26"/>
    <n v="49.63"/>
    <n v="0"/>
    <n v="0"/>
    <n v="2"/>
    <x v="4"/>
    <m/>
  </r>
  <r>
    <x v="843"/>
    <d v="2026-06-30T00:00:00"/>
    <d v="2026-07-01T00:00:00"/>
    <d v="2026-07-06T00:00:00"/>
    <d v="2026-07-06T00:00:00"/>
    <x v="3"/>
    <x v="7"/>
    <x v="5"/>
    <x v="2"/>
    <n v="643.20000000000005"/>
    <n v="8767.4"/>
    <n v="15165000"/>
    <b v="0"/>
    <b v="0"/>
    <n v="16000"/>
    <b v="0"/>
    <b v="0"/>
    <b v="0"/>
    <x v="0"/>
    <x v="40"/>
    <n v="54.796250000000001"/>
    <n v="0"/>
    <n v="0"/>
    <n v="5"/>
    <x v="0"/>
    <m/>
  </r>
  <r>
    <x v="844"/>
    <d v="2026-05-05T00:00:00"/>
    <d v="2026-05-06T00:00:00"/>
    <d v="2026-05-10T00:00:00"/>
    <d v="2026-05-10T00:00:00"/>
    <x v="3"/>
    <x v="7"/>
    <x v="5"/>
    <x v="1"/>
    <n v="714"/>
    <n v="1737.4"/>
    <n v="9842000"/>
    <b v="0"/>
    <b v="0"/>
    <n v="5000"/>
    <b v="0"/>
    <b v="0"/>
    <b v="0"/>
    <x v="0"/>
    <x v="40"/>
    <n v="34.747999999999998"/>
    <n v="0"/>
    <n v="0"/>
    <n v="4"/>
    <x v="2"/>
    <m/>
  </r>
  <r>
    <x v="845"/>
    <d v="2026-04-17T00:00:00"/>
    <d v="2026-04-16T00:00:00"/>
    <d v="2026-04-22T00:00:00"/>
    <d v="2026-04-24T00:00:00"/>
    <x v="2"/>
    <x v="11"/>
    <x v="1"/>
    <x v="0"/>
    <n v="603.79999999999995"/>
    <n v="162.6"/>
    <n v="6082000"/>
    <b v="1"/>
    <b v="0"/>
    <n v="1500"/>
    <b v="0"/>
    <b v="0"/>
    <b v="1"/>
    <x v="3"/>
    <x v="41"/>
    <n v="10.84"/>
    <n v="0"/>
    <n v="1"/>
    <m/>
    <x v="4"/>
    <m/>
  </r>
  <r>
    <x v="846"/>
    <d v="2026-02-01T00:00:00"/>
    <d v="2026-02-02T00:00:00"/>
    <d v="2026-02-05T00:00:00"/>
    <d v="2026-02-05T00:00:00"/>
    <x v="1"/>
    <x v="1"/>
    <x v="5"/>
    <x v="2"/>
    <n v="308.5"/>
    <n v="5019"/>
    <n v="6920000"/>
    <b v="0"/>
    <b v="0"/>
    <n v="16000"/>
    <b v="0"/>
    <b v="0"/>
    <b v="0"/>
    <x v="0"/>
    <x v="25"/>
    <n v="31.368749999999999"/>
    <n v="0"/>
    <n v="0"/>
    <n v="3"/>
    <x v="5"/>
    <m/>
  </r>
  <r>
    <x v="847"/>
    <d v="2026-03-03T00:00:00"/>
    <d v="2026-03-04T00:00:00"/>
    <d v="2026-03-07T00:00:00"/>
    <d v="2026-03-08T00:00:00"/>
    <x v="1"/>
    <x v="1"/>
    <x v="0"/>
    <x v="2"/>
    <n v="324.60000000000002"/>
    <n v="14955.4"/>
    <n v="10696000"/>
    <b v="0"/>
    <b v="0"/>
    <n v="16000"/>
    <b v="0"/>
    <b v="0"/>
    <b v="0"/>
    <x v="1"/>
    <x v="25"/>
    <n v="93.471249999999998"/>
    <n v="0"/>
    <n v="0"/>
    <n v="4"/>
    <x v="6"/>
    <n v="1"/>
  </r>
  <r>
    <x v="848"/>
    <d v="2026-03-16T00:00:00"/>
    <d v="2026-03-17T00:00:00"/>
    <d v="2026-03-19T00:00:00"/>
    <d v="2026-03-18T00:00:00"/>
    <x v="2"/>
    <x v="2"/>
    <x v="2"/>
    <x v="2"/>
    <n v="274.39999999999998"/>
    <n v="14721.4"/>
    <n v="10251000"/>
    <b v="0"/>
    <b v="0"/>
    <n v="16000"/>
    <b v="0"/>
    <b v="0"/>
    <b v="0"/>
    <x v="0"/>
    <x v="29"/>
    <n v="92.008750000000006"/>
    <n v="0"/>
    <n v="0"/>
    <n v="1"/>
    <x v="6"/>
    <m/>
  </r>
  <r>
    <x v="849"/>
    <d v="2026-01-28T00:00:00"/>
    <d v="2026-01-29T00:00:00"/>
    <d v="2026-02-02T00:00:00"/>
    <d v="2026-02-04T00:00:00"/>
    <x v="3"/>
    <x v="9"/>
    <x v="1"/>
    <x v="0"/>
    <n v="886.2"/>
    <n v="1392.9"/>
    <n v="9575000"/>
    <b v="0"/>
    <b v="0"/>
    <n v="1500"/>
    <b v="0"/>
    <b v="0"/>
    <b v="0"/>
    <x v="1"/>
    <x v="31"/>
    <n v="92.86"/>
    <n v="0"/>
    <n v="0"/>
    <n v="6"/>
    <x v="3"/>
    <n v="2"/>
  </r>
  <r>
    <x v="850"/>
    <d v="2026-06-21T00:00:00"/>
    <d v="2026-06-22T00:00:00"/>
    <d v="2026-06-23T00:00:00"/>
    <d v="2026-06-23T00:00:00"/>
    <x v="1"/>
    <x v="10"/>
    <x v="0"/>
    <x v="1"/>
    <n v="22.3"/>
    <n v="2678.4"/>
    <n v="1923000"/>
    <b v="0"/>
    <b v="0"/>
    <n v="5000"/>
    <b v="0"/>
    <b v="0"/>
    <b v="0"/>
    <x v="0"/>
    <x v="27"/>
    <n v="53.567999999999998"/>
    <n v="0"/>
    <n v="0"/>
    <n v="1"/>
    <x v="1"/>
    <m/>
  </r>
  <r>
    <x v="851"/>
    <d v="2026-02-20T00:00:00"/>
    <d v="2026-02-20T00:00:00"/>
    <d v="2026-02-22T00:00:00"/>
    <d v="2026-02-22T00:00:00"/>
    <x v="1"/>
    <x v="8"/>
    <x v="3"/>
    <x v="3"/>
    <n v="52.6"/>
    <n v="803.3"/>
    <n v="1343000"/>
    <b v="0"/>
    <b v="0"/>
    <n v="1000"/>
    <b v="0"/>
    <b v="0"/>
    <b v="0"/>
    <x v="0"/>
    <x v="28"/>
    <n v="80.329999999999984"/>
    <n v="0"/>
    <n v="0"/>
    <n v="2"/>
    <x v="5"/>
    <m/>
  </r>
  <r>
    <x v="852"/>
    <d v="2026-02-26T00:00:00"/>
    <d v="2026-02-27T00:00:00"/>
    <d v="2026-03-01T00:00:00"/>
    <d v="2026-03-01T00:00:00"/>
    <x v="1"/>
    <x v="0"/>
    <x v="3"/>
    <x v="3"/>
    <n v="296.5"/>
    <n v="874.3"/>
    <n v="3124000"/>
    <b v="0"/>
    <b v="0"/>
    <n v="1000"/>
    <b v="0"/>
    <b v="0"/>
    <b v="0"/>
    <x v="0"/>
    <x v="12"/>
    <n v="87.429999999999993"/>
    <n v="0"/>
    <n v="0"/>
    <n v="2"/>
    <x v="5"/>
    <m/>
  </r>
  <r>
    <x v="853"/>
    <d v="2026-05-15T00:00:00"/>
    <d v="2026-05-15T00:00:00"/>
    <d v="2026-05-16T00:00:00"/>
    <d v="2026-05-16T00:00:00"/>
    <x v="0"/>
    <x v="6"/>
    <x v="5"/>
    <x v="1"/>
    <n v="13.5"/>
    <n v="3828.1"/>
    <n v="2589000"/>
    <b v="0"/>
    <b v="0"/>
    <n v="5000"/>
    <b v="0"/>
    <b v="0"/>
    <b v="0"/>
    <x v="0"/>
    <x v="19"/>
    <n v="76.561999999999998"/>
    <n v="0"/>
    <n v="0"/>
    <n v="1"/>
    <x v="2"/>
    <m/>
  </r>
  <r>
    <x v="854"/>
    <d v="2026-04-02T00:00:00"/>
    <d v="2026-04-03T00:00:00"/>
    <d v="2026-04-05T00:00:00"/>
    <d v="2026-04-05T00:00:00"/>
    <x v="1"/>
    <x v="6"/>
    <x v="5"/>
    <x v="2"/>
    <n v="169.2"/>
    <n v="3688.2"/>
    <n v="4789000"/>
    <b v="0"/>
    <b v="0"/>
    <n v="16000"/>
    <b v="0"/>
    <b v="0"/>
    <b v="0"/>
    <x v="0"/>
    <x v="9"/>
    <n v="23.05125"/>
    <n v="0"/>
    <n v="0"/>
    <n v="2"/>
    <x v="4"/>
    <m/>
  </r>
  <r>
    <x v="855"/>
    <d v="2026-01-16T00:00:00"/>
    <d v="2026-01-18T00:00:00"/>
    <d v="2026-01-22T00:00:00"/>
    <d v="2026-01-21T00:00:00"/>
    <x v="1"/>
    <x v="3"/>
    <x v="3"/>
    <x v="2"/>
    <n v="908"/>
    <n v="9164.9"/>
    <n v="20090000"/>
    <b v="0"/>
    <b v="0"/>
    <n v="16000"/>
    <b v="0"/>
    <b v="0"/>
    <b v="0"/>
    <x v="0"/>
    <x v="35"/>
    <n v="57.280624999999993"/>
    <n v="0"/>
    <n v="0"/>
    <n v="3"/>
    <x v="3"/>
    <m/>
  </r>
  <r>
    <x v="856"/>
    <d v="2026-05-03T00:00:00"/>
    <d v="2026-05-04T00:00:00"/>
    <d v="2026-05-06T00:00:00"/>
    <d v="2026-05-06T00:00:00"/>
    <x v="2"/>
    <x v="6"/>
    <x v="1"/>
    <x v="1"/>
    <n v="128.9"/>
    <n v="3907.1"/>
    <n v="3582000"/>
    <b v="0"/>
    <b v="0"/>
    <n v="5000"/>
    <b v="0"/>
    <b v="0"/>
    <b v="0"/>
    <x v="0"/>
    <x v="6"/>
    <n v="78.141999999999996"/>
    <n v="0"/>
    <n v="0"/>
    <n v="2"/>
    <x v="2"/>
    <m/>
  </r>
  <r>
    <x v="857"/>
    <d v="2026-06-26T00:00:00"/>
    <d v="2026-06-27T00:00:00"/>
    <d v="2026-07-02T00:00:00"/>
    <d v="2026-07-03T00:00:00"/>
    <x v="3"/>
    <x v="3"/>
    <x v="0"/>
    <x v="0"/>
    <n v="1599.1"/>
    <n v="655.6"/>
    <n v="15775000"/>
    <b v="0"/>
    <b v="0"/>
    <n v="1500"/>
    <b v="0"/>
    <b v="0"/>
    <b v="0"/>
    <x v="1"/>
    <x v="43"/>
    <n v="43.706666666666663"/>
    <n v="0"/>
    <n v="0"/>
    <n v="6"/>
    <x v="1"/>
    <n v="1"/>
  </r>
  <r>
    <x v="858"/>
    <d v="2026-01-30T00:00:00"/>
    <d v="2026-01-31T00:00:00"/>
    <d v="2026-02-03T00:00:00"/>
    <d v="2026-02-05T00:00:00"/>
    <x v="1"/>
    <x v="5"/>
    <x v="2"/>
    <x v="3"/>
    <n v="320.10000000000002"/>
    <n v="221.1"/>
    <n v="3342000"/>
    <b v="0"/>
    <b v="0"/>
    <n v="1000"/>
    <b v="0"/>
    <b v="0"/>
    <b v="0"/>
    <x v="1"/>
    <x v="5"/>
    <n v="22.11"/>
    <n v="0"/>
    <n v="0"/>
    <n v="5"/>
    <x v="3"/>
    <n v="2"/>
  </r>
  <r>
    <x v="859"/>
    <d v="2026-03-28T00:00:00"/>
    <d v="2026-03-29T00:00:00"/>
    <d v="2026-03-31T00:00:00"/>
    <d v="2026-03-31T00:00:00"/>
    <x v="2"/>
    <x v="6"/>
    <x v="2"/>
    <x v="1"/>
    <n v="139"/>
    <n v="3321.8"/>
    <n v="2770000"/>
    <b v="0"/>
    <b v="0"/>
    <n v="5000"/>
    <b v="0"/>
    <b v="0"/>
    <b v="0"/>
    <x v="0"/>
    <x v="6"/>
    <n v="66.436000000000007"/>
    <n v="0"/>
    <n v="0"/>
    <n v="2"/>
    <x v="6"/>
    <m/>
  </r>
  <r>
    <x v="860"/>
    <d v="2026-05-27T00:00:00"/>
    <d v="2026-05-29T00:00:00"/>
    <d v="2026-06-02T00:00:00"/>
    <d v="2026-06-02T00:00:00"/>
    <x v="2"/>
    <x v="4"/>
    <x v="5"/>
    <x v="0"/>
    <n v="692.5"/>
    <n v="1076.5999999999999"/>
    <n v="7636000"/>
    <b v="0"/>
    <b v="0"/>
    <n v="1500"/>
    <b v="0"/>
    <b v="0"/>
    <b v="0"/>
    <x v="0"/>
    <x v="4"/>
    <n v="71.773333333333326"/>
    <n v="0"/>
    <n v="0"/>
    <n v="4"/>
    <x v="2"/>
    <m/>
  </r>
  <r>
    <x v="861"/>
    <d v="2026-06-13T00:00:00"/>
    <d v="2026-06-14T00:00:00"/>
    <d v="2026-06-17T00:00:00"/>
    <d v="2026-06-17T00:00:00"/>
    <x v="3"/>
    <x v="1"/>
    <x v="5"/>
    <x v="2"/>
    <n v="534.29999999999995"/>
    <n v="5317.3"/>
    <n v="11756000"/>
    <b v="0"/>
    <b v="0"/>
    <n v="16000"/>
    <b v="0"/>
    <b v="0"/>
    <b v="0"/>
    <x v="0"/>
    <x v="21"/>
    <n v="33.233125000000001"/>
    <n v="0"/>
    <n v="0"/>
    <n v="3"/>
    <x v="1"/>
    <m/>
  </r>
  <r>
    <x v="862"/>
    <d v="2026-04-09T00:00:00"/>
    <d v="2026-04-10T00:00:00"/>
    <d v="2026-04-12T00:00:00"/>
    <d v="2026-04-14T00:00:00"/>
    <x v="1"/>
    <x v="0"/>
    <x v="5"/>
    <x v="3"/>
    <n v="282.60000000000002"/>
    <n v="751.2"/>
    <n v="3086000"/>
    <b v="0"/>
    <b v="0"/>
    <n v="1000"/>
    <b v="0"/>
    <b v="0"/>
    <b v="0"/>
    <x v="1"/>
    <x v="12"/>
    <n v="75.12"/>
    <n v="0"/>
    <n v="0"/>
    <n v="4"/>
    <x v="4"/>
    <n v="2"/>
  </r>
  <r>
    <x v="863"/>
    <d v="2026-06-06T00:00:00"/>
    <d v="2026-06-06T00:00:00"/>
    <d v="2026-06-08T00:00:00"/>
    <d v="2026-06-08T00:00:00"/>
    <x v="2"/>
    <x v="6"/>
    <x v="4"/>
    <x v="2"/>
    <n v="126.7"/>
    <n v="14376.8"/>
    <n v="7135000"/>
    <b v="0"/>
    <b v="0"/>
    <n v="16000"/>
    <b v="0"/>
    <b v="0"/>
    <b v="0"/>
    <x v="0"/>
    <x v="6"/>
    <n v="89.85499999999999"/>
    <n v="0"/>
    <n v="0"/>
    <n v="2"/>
    <x v="1"/>
    <m/>
  </r>
  <r>
    <x v="864"/>
    <d v="2026-01-19T00:00:00"/>
    <d v="2026-01-20T00:00:00"/>
    <d v="2026-01-23T00:00:00"/>
    <d v="2026-01-24T00:00:00"/>
    <x v="2"/>
    <x v="1"/>
    <x v="2"/>
    <x v="0"/>
    <n v="335.6"/>
    <n v="680"/>
    <n v="4035000"/>
    <b v="0"/>
    <b v="0"/>
    <n v="1500"/>
    <b v="0"/>
    <b v="0"/>
    <b v="0"/>
    <x v="1"/>
    <x v="16"/>
    <n v="45.333333333333329"/>
    <n v="0"/>
    <n v="0"/>
    <n v="4"/>
    <x v="3"/>
    <n v="1"/>
  </r>
  <r>
    <x v="865"/>
    <d v="2026-05-23T00:00:00"/>
    <d v="2026-05-24T00:00:00"/>
    <d v="2026-05-28T00:00:00"/>
    <d v="2026-05-28T00:00:00"/>
    <x v="0"/>
    <x v="4"/>
    <x v="0"/>
    <x v="1"/>
    <n v="632.70000000000005"/>
    <n v="3928"/>
    <n v="9963000"/>
    <b v="0"/>
    <b v="0"/>
    <n v="5000"/>
    <b v="0"/>
    <b v="0"/>
    <b v="0"/>
    <x v="0"/>
    <x v="30"/>
    <n v="78.56"/>
    <n v="0"/>
    <n v="0"/>
    <n v="4"/>
    <x v="2"/>
    <m/>
  </r>
  <r>
    <x v="866"/>
    <d v="2026-05-02T00:00:00"/>
    <d v="2026-05-03T00:00:00"/>
    <d v="2026-05-06T00:00:00"/>
    <d v="2026-05-07T00:00:00"/>
    <x v="1"/>
    <x v="2"/>
    <x v="0"/>
    <x v="1"/>
    <n v="322.2"/>
    <n v="4351.2"/>
    <n v="5724000"/>
    <b v="0"/>
    <b v="0"/>
    <n v="5000"/>
    <b v="0"/>
    <b v="0"/>
    <b v="0"/>
    <x v="1"/>
    <x v="2"/>
    <n v="87.024000000000001"/>
    <n v="0"/>
    <n v="0"/>
    <n v="4"/>
    <x v="2"/>
    <n v="1"/>
  </r>
  <r>
    <x v="867"/>
    <d v="2026-05-29T00:00:00"/>
    <d v="2026-05-31T00:00:00"/>
    <d v="2026-06-04T00:00:00"/>
    <d v="2026-06-06T00:00:00"/>
    <x v="2"/>
    <x v="4"/>
    <x v="2"/>
    <x v="3"/>
    <n v="627.79999999999995"/>
    <n v="765.6"/>
    <n v="5829000"/>
    <b v="0"/>
    <b v="0"/>
    <n v="1000"/>
    <b v="0"/>
    <b v="0"/>
    <b v="0"/>
    <x v="1"/>
    <x v="4"/>
    <n v="76.56"/>
    <n v="0"/>
    <n v="0"/>
    <n v="6"/>
    <x v="2"/>
    <n v="2"/>
  </r>
  <r>
    <x v="868"/>
    <d v="2026-05-21T00:00:00"/>
    <d v="2026-05-22T00:00:00"/>
    <d v="2026-05-24T00:00:00"/>
    <d v="2026-05-26T00:00:00"/>
    <x v="1"/>
    <x v="7"/>
    <x v="2"/>
    <x v="1"/>
    <n v="149.5"/>
    <n v="1555.9"/>
    <n v="3373000"/>
    <b v="0"/>
    <b v="0"/>
    <n v="5000"/>
    <b v="0"/>
    <b v="0"/>
    <b v="0"/>
    <x v="1"/>
    <x v="26"/>
    <n v="31.117999999999999"/>
    <n v="0"/>
    <n v="0"/>
    <n v="4"/>
    <x v="2"/>
    <n v="2"/>
  </r>
  <r>
    <x v="869"/>
    <d v="2026-06-10T00:00:00"/>
    <d v="2026-06-10T00:00:00"/>
    <d v="2026-06-13T00:00:00"/>
    <d v="2026-06-13T00:00:00"/>
    <x v="1"/>
    <x v="2"/>
    <x v="2"/>
    <x v="1"/>
    <n v="315.7"/>
    <n v="4067"/>
    <n v="6095000"/>
    <b v="0"/>
    <b v="0"/>
    <n v="5000"/>
    <b v="0"/>
    <b v="0"/>
    <b v="0"/>
    <x v="0"/>
    <x v="2"/>
    <n v="81.34"/>
    <n v="0"/>
    <n v="0"/>
    <n v="3"/>
    <x v="1"/>
    <m/>
  </r>
  <r>
    <x v="870"/>
    <d v="2026-06-25T00:00:00"/>
    <d v="2026-06-27T00:00:00"/>
    <d v="2026-06-30T00:00:00"/>
    <d v="2026-07-01T00:00:00"/>
    <x v="3"/>
    <x v="0"/>
    <x v="5"/>
    <x v="2"/>
    <n v="585.1"/>
    <n v="11128.6"/>
    <n v="16716000"/>
    <b v="0"/>
    <b v="0"/>
    <n v="16000"/>
    <b v="0"/>
    <b v="0"/>
    <b v="0"/>
    <x v="1"/>
    <x v="11"/>
    <n v="69.553750000000008"/>
    <n v="0"/>
    <n v="0"/>
    <n v="4"/>
    <x v="1"/>
    <n v="1"/>
  </r>
  <r>
    <x v="871"/>
    <d v="2026-04-22T00:00:00"/>
    <d v="2026-04-23T00:00:00"/>
    <d v="2026-04-26T00:00:00"/>
    <d v="2026-04-26T00:00:00"/>
    <x v="0"/>
    <x v="7"/>
    <x v="0"/>
    <x v="1"/>
    <n v="288.7"/>
    <n v="1049.9000000000001"/>
    <n v="4889000"/>
    <b v="0"/>
    <b v="0"/>
    <n v="5000"/>
    <b v="0"/>
    <b v="0"/>
    <b v="0"/>
    <x v="0"/>
    <x v="45"/>
    <n v="20.998000000000001"/>
    <n v="0"/>
    <n v="0"/>
    <n v="3"/>
    <x v="4"/>
    <m/>
  </r>
  <r>
    <x v="872"/>
    <d v="2026-04-17T00:00:00"/>
    <d v="2026-04-18T00:00:00"/>
    <d v="2026-04-20T00:00:00"/>
    <d v="2026-04-21T00:00:00"/>
    <x v="1"/>
    <x v="0"/>
    <x v="0"/>
    <x v="0"/>
    <n v="283.3"/>
    <n v="195.8"/>
    <n v="2787000"/>
    <b v="0"/>
    <b v="0"/>
    <n v="1500"/>
    <b v="0"/>
    <b v="0"/>
    <b v="0"/>
    <x v="1"/>
    <x v="12"/>
    <n v="13.053333333333329"/>
    <n v="0"/>
    <n v="0"/>
    <n v="3"/>
    <x v="4"/>
    <n v="1"/>
  </r>
  <r>
    <x v="873"/>
    <d v="2026-04-02T00:00:00"/>
    <d v="2026-04-03T00:00:00"/>
    <d v="2026-04-04T00:00:00"/>
    <d v="2026-04-05T00:00:00"/>
    <x v="2"/>
    <x v="8"/>
    <x v="3"/>
    <x v="3"/>
    <n v="27.4"/>
    <n v="460.4"/>
    <n v="949000"/>
    <b v="0"/>
    <b v="0"/>
    <n v="1000"/>
    <b v="0"/>
    <b v="0"/>
    <b v="0"/>
    <x v="1"/>
    <x v="18"/>
    <n v="46.04"/>
    <n v="0"/>
    <n v="0"/>
    <n v="2"/>
    <x v="4"/>
    <n v="1"/>
  </r>
  <r>
    <x v="874"/>
    <d v="2026-02-01T00:00:00"/>
    <d v="2026-02-02T00:00:00"/>
    <d v="2026-02-03T00:00:00"/>
    <d v="2026-02-03T00:00:00"/>
    <x v="2"/>
    <x v="8"/>
    <x v="4"/>
    <x v="2"/>
    <n v="32.4"/>
    <n v="7980.2"/>
    <n v="3530000"/>
    <b v="0"/>
    <b v="0"/>
    <n v="16000"/>
    <b v="0"/>
    <b v="0"/>
    <b v="0"/>
    <x v="0"/>
    <x v="18"/>
    <n v="49.876249999999999"/>
    <n v="0"/>
    <n v="0"/>
    <n v="1"/>
    <x v="5"/>
    <m/>
  </r>
  <r>
    <x v="875"/>
    <d v="2026-04-12T00:00:00"/>
    <d v="2026-04-13T00:00:00"/>
    <d v="2026-04-16T00:00:00"/>
    <d v="2026-04-16T00:00:00"/>
    <x v="1"/>
    <x v="0"/>
    <x v="3"/>
    <x v="1"/>
    <n v="273.89999999999998"/>
    <n v="2778.2"/>
    <n v="6001000"/>
    <b v="0"/>
    <b v="0"/>
    <n v="5000"/>
    <b v="0"/>
    <b v="0"/>
    <b v="0"/>
    <x v="0"/>
    <x v="12"/>
    <n v="55.563999999999993"/>
    <n v="0"/>
    <n v="0"/>
    <n v="3"/>
    <x v="4"/>
    <m/>
  </r>
  <r>
    <x v="876"/>
    <d v="2026-06-20T00:00:00"/>
    <d v="2026-06-20T00:00:00"/>
    <d v="2026-06-23T00:00:00"/>
    <d v="2026-06-23T00:00:00"/>
    <x v="0"/>
    <x v="7"/>
    <x v="0"/>
    <x v="3"/>
    <n v="306"/>
    <n v="690.6"/>
    <n v="3302000"/>
    <b v="0"/>
    <b v="0"/>
    <n v="1000"/>
    <b v="0"/>
    <b v="0"/>
    <b v="0"/>
    <x v="0"/>
    <x v="45"/>
    <n v="69.06"/>
    <n v="0"/>
    <n v="0"/>
    <n v="3"/>
    <x v="1"/>
    <m/>
  </r>
  <r>
    <x v="877"/>
    <d v="2026-04-28T00:00:00"/>
    <d v="2026-04-28T00:00:00"/>
    <d v="2026-05-01T00:00:00"/>
    <d v="2026-05-01T00:00:00"/>
    <x v="3"/>
    <x v="6"/>
    <x v="0"/>
    <x v="1"/>
    <n v="458.1"/>
    <n v="4366.6000000000004"/>
    <n v="8843000"/>
    <b v="0"/>
    <b v="0"/>
    <n v="5000"/>
    <b v="0"/>
    <b v="0"/>
    <b v="0"/>
    <x v="0"/>
    <x v="13"/>
    <n v="87.332000000000008"/>
    <n v="0"/>
    <n v="0"/>
    <n v="3"/>
    <x v="4"/>
    <m/>
  </r>
  <r>
    <x v="878"/>
    <d v="2026-06-19T00:00:00"/>
    <d v="2026-06-20T00:00:00"/>
    <d v="2026-06-23T00:00:00"/>
    <d v="2026-06-23T00:00:00"/>
    <x v="0"/>
    <x v="7"/>
    <x v="3"/>
    <x v="1"/>
    <n v="316.3"/>
    <n v="2657.1"/>
    <n v="5775000"/>
    <b v="0"/>
    <b v="0"/>
    <n v="5000"/>
    <b v="0"/>
    <b v="0"/>
    <b v="0"/>
    <x v="0"/>
    <x v="45"/>
    <n v="53.142000000000003"/>
    <n v="0"/>
    <n v="0"/>
    <n v="3"/>
    <x v="1"/>
    <m/>
  </r>
  <r>
    <x v="879"/>
    <d v="2026-01-05T00:00:00"/>
    <d v="2026-01-06T00:00:00"/>
    <d v="2026-01-08T00:00:00"/>
    <d v="2026-01-10T00:00:00"/>
    <x v="0"/>
    <x v="8"/>
    <x v="2"/>
    <x v="0"/>
    <n v="123.7"/>
    <n v="1376.7"/>
    <n v="2074000"/>
    <b v="0"/>
    <b v="0"/>
    <n v="1500"/>
    <b v="0"/>
    <b v="0"/>
    <b v="0"/>
    <x v="1"/>
    <x v="22"/>
    <n v="91.78"/>
    <n v="0"/>
    <n v="0"/>
    <n v="4"/>
    <x v="3"/>
    <n v="2"/>
  </r>
  <r>
    <x v="880"/>
    <d v="2026-02-14T00:00:00"/>
    <d v="2026-02-14T00:00:00"/>
    <d v="2026-02-18T00:00:00"/>
    <d v="2026-02-18T00:00:00"/>
    <x v="1"/>
    <x v="11"/>
    <x v="3"/>
    <x v="1"/>
    <n v="606.4"/>
    <n v="1742.4"/>
    <n v="9374000"/>
    <b v="0"/>
    <b v="0"/>
    <n v="5000"/>
    <b v="0"/>
    <b v="0"/>
    <b v="0"/>
    <x v="0"/>
    <x v="33"/>
    <n v="34.847999999999999"/>
    <n v="0"/>
    <n v="0"/>
    <n v="4"/>
    <x v="5"/>
    <m/>
  </r>
  <r>
    <x v="881"/>
    <d v="2026-06-17T00:00:00"/>
    <d v="2026-06-17T00:00:00"/>
    <d v="2026-06-21T00:00:00"/>
    <d v="2026-06-21T00:00:00"/>
    <x v="3"/>
    <x v="7"/>
    <x v="3"/>
    <x v="2"/>
    <n v="646.29999999999995"/>
    <n v="10630.7"/>
    <n v="15211000"/>
    <b v="0"/>
    <b v="0"/>
    <n v="16000"/>
    <b v="0"/>
    <b v="0"/>
    <b v="0"/>
    <x v="0"/>
    <x v="40"/>
    <n v="66.44187500000001"/>
    <n v="0"/>
    <n v="0"/>
    <n v="4"/>
    <x v="1"/>
    <m/>
  </r>
  <r>
    <x v="882"/>
    <d v="2026-02-19T00:00:00"/>
    <d v="2026-02-19T00:00:00"/>
    <d v="2026-02-23T00:00:00"/>
    <d v="2026-02-23T00:00:00"/>
    <x v="1"/>
    <x v="4"/>
    <x v="1"/>
    <x v="0"/>
    <n v="752.2"/>
    <n v="583.79999999999995"/>
    <n v="6954000"/>
    <b v="0"/>
    <b v="0"/>
    <n v="1500"/>
    <b v="0"/>
    <b v="0"/>
    <b v="0"/>
    <x v="0"/>
    <x v="38"/>
    <n v="38.92"/>
    <n v="0"/>
    <n v="0"/>
    <n v="4"/>
    <x v="5"/>
    <m/>
  </r>
  <r>
    <x v="883"/>
    <d v="2026-06-19T00:00:00"/>
    <d v="2026-06-20T00:00:00"/>
    <d v="2026-06-22T00:00:00"/>
    <d v="2026-06-22T00:00:00"/>
    <x v="0"/>
    <x v="8"/>
    <x v="0"/>
    <x v="2"/>
    <n v="120.2"/>
    <n v="4326.7"/>
    <n v="3767000"/>
    <b v="0"/>
    <b v="0"/>
    <n v="16000"/>
    <b v="0"/>
    <b v="0"/>
    <b v="0"/>
    <x v="0"/>
    <x v="22"/>
    <n v="27.041875000000001"/>
    <n v="0"/>
    <n v="0"/>
    <n v="2"/>
    <x v="1"/>
    <m/>
  </r>
  <r>
    <x v="884"/>
    <d v="2026-01-13T00:00:00"/>
    <d v="2026-01-13T00:00:00"/>
    <d v="2026-01-15T00:00:00"/>
    <d v="2026-01-17T00:00:00"/>
    <x v="1"/>
    <x v="7"/>
    <x v="0"/>
    <x v="0"/>
    <n v="146.4"/>
    <n v="295"/>
    <n v="1798000"/>
    <b v="0"/>
    <b v="0"/>
    <n v="1500"/>
    <b v="0"/>
    <b v="0"/>
    <b v="0"/>
    <x v="1"/>
    <x v="26"/>
    <n v="19.666666666666661"/>
    <n v="0"/>
    <n v="0"/>
    <n v="4"/>
    <x v="3"/>
    <n v="2"/>
  </r>
  <r>
    <x v="885"/>
    <d v="2026-01-17T00:00:00"/>
    <d v="2026-01-18T00:00:00"/>
    <d v="2026-01-22T00:00:00"/>
    <d v="2026-01-23T00:00:00"/>
    <x v="3"/>
    <x v="8"/>
    <x v="1"/>
    <x v="0"/>
    <n v="579.9"/>
    <n v="1146.7"/>
    <n v="6299000"/>
    <b v="0"/>
    <b v="0"/>
    <n v="1500"/>
    <b v="0"/>
    <b v="0"/>
    <b v="0"/>
    <x v="1"/>
    <x v="15"/>
    <n v="76.446666666666673"/>
    <n v="0"/>
    <n v="0"/>
    <n v="5"/>
    <x v="3"/>
    <n v="1"/>
  </r>
  <r>
    <x v="886"/>
    <d v="2026-06-03T00:00:00"/>
    <d v="2026-06-04T00:00:00"/>
    <d v="2026-06-07T00:00:00"/>
    <d v="2026-06-07T00:00:00"/>
    <x v="2"/>
    <x v="11"/>
    <x v="1"/>
    <x v="1"/>
    <n v="545.79999999999995"/>
    <n v="1482.1"/>
    <n v="8487000"/>
    <b v="0"/>
    <b v="0"/>
    <n v="5000"/>
    <b v="0"/>
    <b v="0"/>
    <b v="0"/>
    <x v="0"/>
    <x v="41"/>
    <n v="29.641999999999999"/>
    <n v="0"/>
    <n v="0"/>
    <n v="3"/>
    <x v="1"/>
    <m/>
  </r>
  <r>
    <x v="887"/>
    <d v="2026-05-16T00:00:00"/>
    <d v="2026-05-17T00:00:00"/>
    <d v="2026-05-19T00:00:00"/>
    <d v="2026-05-18T00:00:00"/>
    <x v="2"/>
    <x v="6"/>
    <x v="0"/>
    <x v="3"/>
    <n v="132.80000000000001"/>
    <n v="552.5"/>
    <n v="1638000"/>
    <b v="0"/>
    <b v="0"/>
    <n v="1000"/>
    <b v="0"/>
    <b v="0"/>
    <b v="0"/>
    <x v="0"/>
    <x v="6"/>
    <n v="55.25"/>
    <n v="0"/>
    <n v="0"/>
    <n v="1"/>
    <x v="2"/>
    <m/>
  </r>
  <r>
    <x v="888"/>
    <d v="2026-06-06T00:00:00"/>
    <d v="2026-06-07T00:00:00"/>
    <d v="2026-06-10T00:00:00"/>
    <d v="2026-06-10T00:00:00"/>
    <x v="0"/>
    <x v="9"/>
    <x v="3"/>
    <x v="1"/>
    <n v="579.5"/>
    <n v="2862.5"/>
    <n v="8555000"/>
    <b v="0"/>
    <b v="0"/>
    <n v="5000"/>
    <b v="0"/>
    <b v="0"/>
    <b v="0"/>
    <x v="0"/>
    <x v="44"/>
    <n v="57.25"/>
    <n v="0"/>
    <n v="0"/>
    <n v="3"/>
    <x v="1"/>
    <m/>
  </r>
  <r>
    <x v="889"/>
    <d v="2026-05-22T00:00:00"/>
    <d v="2026-05-24T00:00:00"/>
    <d v="2026-05-28T00:00:00"/>
    <d v="2026-05-28T00:00:00"/>
    <x v="3"/>
    <x v="7"/>
    <x v="3"/>
    <x v="3"/>
    <n v="665.3"/>
    <n v="279.5"/>
    <n v="5463000"/>
    <b v="0"/>
    <b v="0"/>
    <n v="1000"/>
    <b v="0"/>
    <b v="0"/>
    <b v="0"/>
    <x v="0"/>
    <x v="40"/>
    <n v="27.95"/>
    <n v="0"/>
    <n v="0"/>
    <n v="4"/>
    <x v="2"/>
    <m/>
  </r>
  <r>
    <x v="890"/>
    <d v="2026-05-23T00:00:00"/>
    <d v="2026-05-24T00:00:00"/>
    <d v="2026-05-28T00:00:00"/>
    <d v="2026-05-28T00:00:00"/>
    <x v="3"/>
    <x v="6"/>
    <x v="0"/>
    <x v="2"/>
    <n v="502.3"/>
    <n v="10977.4"/>
    <n v="14430000"/>
    <b v="0"/>
    <b v="0"/>
    <n v="16000"/>
    <b v="0"/>
    <b v="0"/>
    <b v="0"/>
    <x v="0"/>
    <x v="13"/>
    <n v="68.608750000000001"/>
    <n v="0"/>
    <n v="0"/>
    <n v="4"/>
    <x v="2"/>
    <m/>
  </r>
  <r>
    <x v="891"/>
    <d v="2026-05-14T00:00:00"/>
    <d v="2026-05-15T00:00:00"/>
    <d v="2026-05-17T00:00:00"/>
    <d v="2026-05-16T00:00:00"/>
    <x v="2"/>
    <x v="2"/>
    <x v="5"/>
    <x v="1"/>
    <n v="279.8"/>
    <n v="995.3"/>
    <n v="4454000"/>
    <b v="0"/>
    <b v="0"/>
    <n v="5000"/>
    <b v="0"/>
    <b v="0"/>
    <b v="0"/>
    <x v="0"/>
    <x v="29"/>
    <n v="19.905999999999999"/>
    <n v="0"/>
    <n v="0"/>
    <n v="1"/>
    <x v="2"/>
    <m/>
  </r>
  <r>
    <x v="892"/>
    <d v="2026-01-28T00:00:00"/>
    <d v="2026-01-29T00:00:00"/>
    <d v="2026-02-02T00:00:00"/>
    <d v="2026-02-02T00:00:00"/>
    <x v="1"/>
    <x v="3"/>
    <x v="5"/>
    <x v="1"/>
    <n v="941.3"/>
    <n v="1455.7"/>
    <n v="13174000"/>
    <b v="0"/>
    <b v="0"/>
    <n v="5000"/>
    <b v="0"/>
    <b v="0"/>
    <b v="0"/>
    <x v="0"/>
    <x v="35"/>
    <n v="29.114000000000001"/>
    <n v="0"/>
    <n v="0"/>
    <n v="4"/>
    <x v="3"/>
    <m/>
  </r>
  <r>
    <x v="893"/>
    <d v="2026-02-23T00:00:00"/>
    <d v="2026-02-24T00:00:00"/>
    <d v="2026-02-28T00:00:00"/>
    <d v="2026-02-27T00:00:00"/>
    <x v="2"/>
    <x v="0"/>
    <x v="0"/>
    <x v="2"/>
    <n v="305.7"/>
    <n v="5652.1"/>
    <n v="8816000"/>
    <b v="0"/>
    <b v="0"/>
    <n v="16000"/>
    <b v="0"/>
    <b v="0"/>
    <b v="0"/>
    <x v="0"/>
    <x v="7"/>
    <n v="35.325625000000002"/>
    <n v="0"/>
    <n v="0"/>
    <n v="3"/>
    <x v="5"/>
    <m/>
  </r>
  <r>
    <x v="894"/>
    <d v="2026-03-23T00:00:00"/>
    <d v="2026-03-24T00:00:00"/>
    <d v="2026-03-27T00:00:00"/>
    <d v="2026-03-28T00:00:00"/>
    <x v="0"/>
    <x v="4"/>
    <x v="1"/>
    <x v="1"/>
    <n v="577.4"/>
    <n v="1572.5"/>
    <n v="9721000"/>
    <b v="0"/>
    <b v="0"/>
    <n v="5000"/>
    <b v="0"/>
    <b v="0"/>
    <b v="0"/>
    <x v="1"/>
    <x v="30"/>
    <n v="31.45"/>
    <n v="0"/>
    <n v="0"/>
    <n v="4"/>
    <x v="6"/>
    <n v="1"/>
  </r>
  <r>
    <x v="895"/>
    <d v="2026-06-23T00:00:00"/>
    <d v="2026-06-24T00:00:00"/>
    <d v="2026-06-27T00:00:00"/>
    <d v="2026-06-27T00:00:00"/>
    <x v="0"/>
    <x v="11"/>
    <x v="0"/>
    <x v="1"/>
    <n v="460.1"/>
    <n v="1308.4000000000001"/>
    <n v="7062000"/>
    <b v="0"/>
    <b v="0"/>
    <n v="5000"/>
    <b v="0"/>
    <b v="0"/>
    <b v="0"/>
    <x v="0"/>
    <x v="36"/>
    <n v="26.167999999999999"/>
    <n v="0"/>
    <n v="0"/>
    <n v="3"/>
    <x v="1"/>
    <m/>
  </r>
  <r>
    <x v="896"/>
    <d v="2026-06-09T00:00:00"/>
    <d v="2026-06-10T00:00:00"/>
    <d v="2026-06-13T00:00:00"/>
    <d v="2026-06-15T00:00:00"/>
    <x v="3"/>
    <x v="6"/>
    <x v="2"/>
    <x v="2"/>
    <n v="463.9"/>
    <n v="3243"/>
    <n v="9872000"/>
    <b v="0"/>
    <b v="0"/>
    <n v="16000"/>
    <b v="0"/>
    <b v="0"/>
    <b v="0"/>
    <x v="1"/>
    <x v="13"/>
    <n v="20.268750000000001"/>
    <n v="0"/>
    <n v="0"/>
    <n v="5"/>
    <x v="1"/>
    <n v="2"/>
  </r>
  <r>
    <x v="897"/>
    <d v="2026-05-20T00:00:00"/>
    <d v="2026-05-21T00:00:00"/>
    <d v="2026-05-22T00:00:00"/>
    <d v="2026-05-22T00:00:00"/>
    <x v="1"/>
    <x v="8"/>
    <x v="3"/>
    <x v="2"/>
    <n v="57.8"/>
    <n v="6291.2"/>
    <n v="3076000"/>
    <b v="0"/>
    <b v="0"/>
    <n v="16000"/>
    <b v="0"/>
    <b v="0"/>
    <b v="0"/>
    <x v="0"/>
    <x v="28"/>
    <n v="39.32"/>
    <n v="0"/>
    <n v="0"/>
    <n v="1"/>
    <x v="2"/>
    <m/>
  </r>
  <r>
    <x v="898"/>
    <d v="2026-06-23T00:00:00"/>
    <d v="2026-06-24T00:00:00"/>
    <d v="2026-06-23T00:00:00"/>
    <d v="2026-06-28T00:00:00"/>
    <x v="0"/>
    <x v="10"/>
    <x v="5"/>
    <x v="1"/>
    <n v="153.69999999999999"/>
    <n v="3109.2"/>
    <n v="3290000"/>
    <b v="1"/>
    <b v="0"/>
    <n v="5000"/>
    <b v="0"/>
    <b v="0"/>
    <b v="1"/>
    <x v="3"/>
    <x v="42"/>
    <n v="62.183999999999997"/>
    <n v="0"/>
    <n v="1"/>
    <m/>
    <x v="1"/>
    <m/>
  </r>
  <r>
    <x v="899"/>
    <d v="2026-04-13T00:00:00"/>
    <d v="2026-04-14T00:00:00"/>
    <d v="2026-04-18T00:00:00"/>
    <d v="2026-04-18T00:00:00"/>
    <x v="3"/>
    <x v="7"/>
    <x v="2"/>
    <x v="3"/>
    <n v="681.5"/>
    <n v="126.4"/>
    <n v="6907000"/>
    <b v="0"/>
    <b v="0"/>
    <n v="1000"/>
    <b v="0"/>
    <b v="0"/>
    <b v="0"/>
    <x v="0"/>
    <x v="40"/>
    <n v="12.64"/>
    <n v="0"/>
    <n v="0"/>
    <n v="4"/>
    <x v="4"/>
    <m/>
  </r>
  <r>
    <x v="900"/>
    <d v="2026-01-05T00:00:00"/>
    <d v="2026-01-06T00:00:00"/>
    <d v="2026-01-10T00:00:00"/>
    <d v="2026-01-10T00:00:00"/>
    <x v="1"/>
    <x v="9"/>
    <x v="2"/>
    <x v="1"/>
    <n v="442.5"/>
    <n v="1147.7"/>
    <n v="6408000"/>
    <b v="0"/>
    <b v="0"/>
    <n v="5000"/>
    <b v="0"/>
    <b v="0"/>
    <b v="0"/>
    <x v="0"/>
    <x v="24"/>
    <n v="22.954000000000001"/>
    <n v="0"/>
    <n v="0"/>
    <n v="4"/>
    <x v="3"/>
    <m/>
  </r>
  <r>
    <x v="901"/>
    <d v="2026-04-19T00:00:00"/>
    <d v="2026-04-19T00:00:00"/>
    <d v="2026-04-22T00:00:00"/>
    <d v="2026-04-22T00:00:00"/>
    <x v="3"/>
    <x v="1"/>
    <x v="2"/>
    <x v="2"/>
    <n v="492.2"/>
    <n v="6694.5"/>
    <n v="11455000"/>
    <b v="0"/>
    <b v="0"/>
    <n v="16000"/>
    <b v="0"/>
    <b v="0"/>
    <b v="0"/>
    <x v="0"/>
    <x v="21"/>
    <n v="41.840625000000003"/>
    <n v="0"/>
    <n v="0"/>
    <n v="3"/>
    <x v="4"/>
    <m/>
  </r>
  <r>
    <x v="902"/>
    <d v="2026-01-11T00:00:00"/>
    <d v="2026-01-12T00:00:00"/>
    <d v="2026-01-15T00:00:00"/>
    <d v="2026-01-16T00:00:00"/>
    <x v="0"/>
    <x v="0"/>
    <x v="3"/>
    <x v="2"/>
    <n v="332.2"/>
    <n v="4088.8"/>
    <n v="7756000"/>
    <b v="0"/>
    <b v="0"/>
    <n v="16000"/>
    <b v="0"/>
    <b v="0"/>
    <b v="0"/>
    <x v="1"/>
    <x v="0"/>
    <n v="25.555"/>
    <n v="0"/>
    <n v="0"/>
    <n v="4"/>
    <x v="3"/>
    <n v="1"/>
  </r>
  <r>
    <x v="903"/>
    <d v="2026-05-19T00:00:00"/>
    <d v="2026-05-20T00:00:00"/>
    <d v="2026-05-23T00:00:00"/>
    <d v="2026-05-23T00:00:00"/>
    <x v="3"/>
    <x v="1"/>
    <x v="5"/>
    <x v="1"/>
    <n v="518.70000000000005"/>
    <n v="1060.7"/>
    <n v="7654000"/>
    <b v="0"/>
    <b v="0"/>
    <n v="5000"/>
    <b v="0"/>
    <b v="0"/>
    <b v="0"/>
    <x v="0"/>
    <x v="21"/>
    <n v="21.213999999999999"/>
    <n v="0"/>
    <n v="0"/>
    <n v="3"/>
    <x v="2"/>
    <m/>
  </r>
  <r>
    <x v="904"/>
    <d v="2026-03-20T00:00:00"/>
    <d v="2026-03-21T00:00:00"/>
    <d v="2026-03-24T00:00:00"/>
    <d v="2026-03-23T00:00:00"/>
    <x v="1"/>
    <x v="1"/>
    <x v="3"/>
    <x v="3"/>
    <n v="338.1"/>
    <n v="438.6"/>
    <n v="3963000"/>
    <b v="0"/>
    <b v="0"/>
    <n v="1000"/>
    <b v="0"/>
    <b v="0"/>
    <b v="0"/>
    <x v="0"/>
    <x v="25"/>
    <n v="43.860000000000007"/>
    <n v="0"/>
    <n v="0"/>
    <n v="2"/>
    <x v="6"/>
    <m/>
  </r>
  <r>
    <x v="905"/>
    <d v="2026-02-23T00:00:00"/>
    <d v="2026-02-24T00:00:00"/>
    <d v="2026-02-26T00:00:00"/>
    <d v="2026-02-26T00:00:00"/>
    <x v="1"/>
    <x v="7"/>
    <x v="5"/>
    <x v="1"/>
    <n v="148.6"/>
    <n v="2832.4"/>
    <n v="4092000"/>
    <b v="0"/>
    <b v="0"/>
    <n v="5000"/>
    <b v="0"/>
    <b v="0"/>
    <b v="0"/>
    <x v="0"/>
    <x v="26"/>
    <n v="56.648000000000003"/>
    <n v="0"/>
    <n v="0"/>
    <n v="2"/>
    <x v="5"/>
    <m/>
  </r>
  <r>
    <x v="906"/>
    <d v="2026-01-28T00:00:00"/>
    <d v="2026-01-29T00:00:00"/>
    <d v="2026-01-30T00:00:00"/>
    <d v="2026-01-30T00:00:00"/>
    <x v="1"/>
    <x v="10"/>
    <x v="0"/>
    <x v="1"/>
    <n v="25.3"/>
    <n v="816.5"/>
    <n v="1400000"/>
    <b v="0"/>
    <b v="0"/>
    <n v="5000"/>
    <b v="0"/>
    <b v="0"/>
    <b v="0"/>
    <x v="0"/>
    <x v="27"/>
    <n v="16.329999999999998"/>
    <n v="0"/>
    <n v="0"/>
    <n v="1"/>
    <x v="3"/>
    <m/>
  </r>
  <r>
    <x v="907"/>
    <d v="2026-04-02T00:00:00"/>
    <d v="2026-04-02T00:00:00"/>
    <d v="2026-04-04T00:00:00"/>
    <d v="2026-04-05T00:00:00"/>
    <x v="1"/>
    <x v="7"/>
    <x v="0"/>
    <x v="3"/>
    <n v="142.69999999999999"/>
    <n v="384.4"/>
    <n v="1927000"/>
    <b v="0"/>
    <b v="0"/>
    <n v="1000"/>
    <b v="0"/>
    <b v="0"/>
    <b v="0"/>
    <x v="1"/>
    <x v="26"/>
    <n v="38.44"/>
    <n v="0"/>
    <n v="0"/>
    <n v="3"/>
    <x v="4"/>
    <n v="1"/>
  </r>
  <r>
    <x v="908"/>
    <d v="2026-03-30T00:00:00"/>
    <d v="2026-03-31T00:00:00"/>
    <d v="2026-04-02T00:00:00"/>
    <d v="2026-04-02T00:00:00"/>
    <x v="1"/>
    <x v="7"/>
    <x v="1"/>
    <x v="3"/>
    <n v="153.69999999999999"/>
    <n v="223.7"/>
    <n v="1721000"/>
    <b v="0"/>
    <b v="0"/>
    <n v="1000"/>
    <b v="0"/>
    <b v="0"/>
    <b v="0"/>
    <x v="0"/>
    <x v="26"/>
    <n v="22.37"/>
    <n v="0"/>
    <n v="0"/>
    <n v="2"/>
    <x v="6"/>
    <m/>
  </r>
  <r>
    <x v="909"/>
    <d v="2026-01-06T00:00:00"/>
    <d v="2026-01-07T00:00:00"/>
    <d v="2026-01-11T00:00:00"/>
    <d v="2026-01-12T00:00:00"/>
    <x v="2"/>
    <x v="3"/>
    <x v="1"/>
    <x v="1"/>
    <n v="971.8"/>
    <n v="3079.2"/>
    <n v="12645000"/>
    <b v="0"/>
    <b v="0"/>
    <n v="5000"/>
    <b v="0"/>
    <b v="0"/>
    <b v="0"/>
    <x v="1"/>
    <x v="3"/>
    <n v="61.584000000000003"/>
    <n v="0"/>
    <n v="0"/>
    <n v="5"/>
    <x v="3"/>
    <n v="1"/>
  </r>
  <r>
    <x v="910"/>
    <d v="2026-01-04T00:00:00"/>
    <d v="2026-01-04T00:00:00"/>
    <d v="2026-01-06T00:00:00"/>
    <d v="2026-01-07T00:00:00"/>
    <x v="0"/>
    <x v="5"/>
    <x v="2"/>
    <x v="1"/>
    <n v="181.3"/>
    <n v="3322.4"/>
    <n v="3911000"/>
    <b v="0"/>
    <b v="0"/>
    <n v="5000"/>
    <b v="0"/>
    <b v="0"/>
    <b v="0"/>
    <x v="1"/>
    <x v="8"/>
    <n v="66.448000000000008"/>
    <n v="0"/>
    <n v="0"/>
    <n v="3"/>
    <x v="3"/>
    <n v="1"/>
  </r>
  <r>
    <x v="911"/>
    <d v="2026-03-31T00:00:00"/>
    <d v="2026-04-01T00:00:00"/>
    <d v="2026-04-04T00:00:00"/>
    <d v="2026-04-04T00:00:00"/>
    <x v="1"/>
    <x v="7"/>
    <x v="5"/>
    <x v="2"/>
    <n v="151.5"/>
    <n v="14626.4"/>
    <n v="7322000"/>
    <b v="0"/>
    <b v="0"/>
    <n v="16000"/>
    <b v="0"/>
    <b v="0"/>
    <b v="0"/>
    <x v="0"/>
    <x v="26"/>
    <n v="91.415000000000006"/>
    <n v="0"/>
    <n v="0"/>
    <n v="3"/>
    <x v="4"/>
    <m/>
  </r>
  <r>
    <x v="912"/>
    <d v="2026-03-26T00:00:00"/>
    <d v="2026-03-27T00:00:00"/>
    <d v="2026-03-29T00:00:00"/>
    <d v="2026-03-29T00:00:00"/>
    <x v="1"/>
    <x v="7"/>
    <x v="3"/>
    <x v="2"/>
    <n v="142.9"/>
    <n v="5243.2"/>
    <n v="5146000"/>
    <b v="0"/>
    <b v="0"/>
    <n v="16000"/>
    <b v="0"/>
    <b v="0"/>
    <b v="0"/>
    <x v="0"/>
    <x v="26"/>
    <n v="32.770000000000003"/>
    <n v="0"/>
    <n v="0"/>
    <n v="2"/>
    <x v="6"/>
    <m/>
  </r>
  <r>
    <x v="913"/>
    <d v="2026-06-16T00:00:00"/>
    <d v="2026-06-17T00:00:00"/>
    <d v="2026-06-21T00:00:00"/>
    <d v="2026-06-23T00:00:00"/>
    <x v="3"/>
    <x v="0"/>
    <x v="2"/>
    <x v="2"/>
    <n v="606"/>
    <n v="12511.9"/>
    <n v="16783000"/>
    <b v="0"/>
    <b v="0"/>
    <n v="16000"/>
    <b v="0"/>
    <b v="0"/>
    <b v="0"/>
    <x v="1"/>
    <x v="11"/>
    <n v="78.199374999999989"/>
    <n v="0"/>
    <n v="0"/>
    <n v="6"/>
    <x v="1"/>
    <n v="2"/>
  </r>
  <r>
    <x v="914"/>
    <d v="2026-04-11T00:00:00"/>
    <d v="2026-04-12T00:00:00"/>
    <d v="2026-04-15T00:00:00"/>
    <d v="2026-04-15T00:00:00"/>
    <x v="0"/>
    <x v="0"/>
    <x v="1"/>
    <x v="3"/>
    <n v="328"/>
    <n v="592.6"/>
    <n v="3389000"/>
    <b v="0"/>
    <b v="0"/>
    <n v="1000"/>
    <b v="0"/>
    <b v="0"/>
    <b v="0"/>
    <x v="0"/>
    <x v="0"/>
    <n v="59.260000000000012"/>
    <n v="0"/>
    <n v="0"/>
    <n v="3"/>
    <x v="4"/>
    <m/>
  </r>
  <r>
    <x v="915"/>
    <d v="2026-03-07T00:00:00"/>
    <d v="2026-03-07T00:00:00"/>
    <d v="2026-03-09T00:00:00"/>
    <d v="2026-03-09T00:00:00"/>
    <x v="3"/>
    <x v="11"/>
    <x v="1"/>
    <x v="2"/>
    <n v="21.8"/>
    <n v="7096.9"/>
    <n v="3774000"/>
    <b v="0"/>
    <b v="0"/>
    <n v="16000"/>
    <b v="0"/>
    <b v="0"/>
    <b v="0"/>
    <x v="0"/>
    <x v="39"/>
    <n v="44.355625000000003"/>
    <n v="0"/>
    <n v="0"/>
    <n v="2"/>
    <x v="6"/>
    <m/>
  </r>
  <r>
    <x v="916"/>
    <d v="2026-05-23T00:00:00"/>
    <d v="2026-05-24T00:00:00"/>
    <d v="2026-05-26T00:00:00"/>
    <d v="2026-05-26T00:00:00"/>
    <x v="0"/>
    <x v="1"/>
    <x v="2"/>
    <x v="0"/>
    <n v="281.2"/>
    <n v="736.4"/>
    <n v="2973000"/>
    <b v="0"/>
    <b v="0"/>
    <n v="1500"/>
    <b v="0"/>
    <b v="0"/>
    <b v="0"/>
    <x v="0"/>
    <x v="1"/>
    <n v="49.093333333333327"/>
    <n v="0"/>
    <n v="0"/>
    <n v="2"/>
    <x v="2"/>
    <m/>
  </r>
  <r>
    <x v="917"/>
    <d v="2026-02-12T00:00:00"/>
    <d v="2026-02-13T00:00:00"/>
    <d v="2026-02-14T00:00:00"/>
    <d v="2026-02-14T00:00:00"/>
    <x v="2"/>
    <x v="10"/>
    <x v="5"/>
    <x v="1"/>
    <n v="52.4"/>
    <n v="4110.3999999999996"/>
    <n v="2834000"/>
    <b v="0"/>
    <b v="0"/>
    <n v="5000"/>
    <b v="0"/>
    <b v="0"/>
    <b v="0"/>
    <x v="0"/>
    <x v="34"/>
    <n v="82.207999999999998"/>
    <n v="0"/>
    <n v="0"/>
    <n v="1"/>
    <x v="5"/>
    <m/>
  </r>
  <r>
    <x v="918"/>
    <d v="2026-06-04T00:00:00"/>
    <d v="2026-06-05T00:00:00"/>
    <d v="2026-06-08T00:00:00"/>
    <d v="2026-06-08T00:00:00"/>
    <x v="3"/>
    <x v="1"/>
    <x v="2"/>
    <x v="3"/>
    <n v="566.1"/>
    <n v="549.4"/>
    <n v="5024000"/>
    <b v="0"/>
    <b v="0"/>
    <n v="1000"/>
    <b v="0"/>
    <b v="0"/>
    <b v="0"/>
    <x v="0"/>
    <x v="21"/>
    <n v="54.94"/>
    <n v="0"/>
    <n v="0"/>
    <n v="3"/>
    <x v="1"/>
    <m/>
  </r>
  <r>
    <x v="919"/>
    <d v="2026-02-22T00:00:00"/>
    <d v="2026-02-23T00:00:00"/>
    <d v="2026-02-27T00:00:00"/>
    <d v="2026-02-28T00:00:00"/>
    <x v="2"/>
    <x v="3"/>
    <x v="2"/>
    <x v="1"/>
    <n v="979.5"/>
    <n v="2301.9"/>
    <n v="12847000"/>
    <b v="0"/>
    <b v="0"/>
    <n v="5000"/>
    <b v="0"/>
    <b v="0"/>
    <b v="0"/>
    <x v="1"/>
    <x v="3"/>
    <n v="46.037999999999997"/>
    <n v="0"/>
    <n v="0"/>
    <n v="5"/>
    <x v="5"/>
    <n v="1"/>
  </r>
  <r>
    <x v="920"/>
    <d v="2026-03-19T00:00:00"/>
    <d v="2026-03-20T00:00:00"/>
    <d v="2026-03-22T00:00:00"/>
    <d v="2026-03-23T00:00:00"/>
    <x v="1"/>
    <x v="0"/>
    <x v="2"/>
    <x v="0"/>
    <n v="297.3"/>
    <n v="1191.9000000000001"/>
    <n v="3876000"/>
    <b v="0"/>
    <b v="0"/>
    <n v="1500"/>
    <b v="0"/>
    <b v="0"/>
    <b v="0"/>
    <x v="1"/>
    <x v="12"/>
    <n v="79.460000000000008"/>
    <n v="0"/>
    <n v="0"/>
    <n v="3"/>
    <x v="6"/>
    <n v="1"/>
  </r>
  <r>
    <x v="921"/>
    <d v="2026-05-17T00:00:00"/>
    <d v="2026-05-19T00:00:00"/>
    <d v="2026-05-22T00:00:00"/>
    <d v="2026-05-22T00:00:00"/>
    <x v="1"/>
    <x v="0"/>
    <x v="3"/>
    <x v="2"/>
    <n v="305.5"/>
    <n v="11554.7"/>
    <n v="9186000"/>
    <b v="0"/>
    <b v="0"/>
    <n v="16000"/>
    <b v="0"/>
    <b v="0"/>
    <b v="0"/>
    <x v="0"/>
    <x v="12"/>
    <n v="72.216875000000002"/>
    <n v="0"/>
    <n v="0"/>
    <n v="3"/>
    <x v="2"/>
    <m/>
  </r>
  <r>
    <x v="922"/>
    <d v="2026-03-24T00:00:00"/>
    <d v="2026-03-25T00:00:00"/>
    <d v="2026-03-28T00:00:00"/>
    <d v="2026-03-28T00:00:00"/>
    <x v="1"/>
    <x v="9"/>
    <x v="3"/>
    <x v="0"/>
    <n v="454.4"/>
    <n v="866.6"/>
    <n v="5089000"/>
    <b v="0"/>
    <b v="0"/>
    <n v="1500"/>
    <b v="0"/>
    <b v="0"/>
    <b v="0"/>
    <x v="0"/>
    <x v="24"/>
    <n v="57.773333333333333"/>
    <n v="0"/>
    <n v="0"/>
    <n v="3"/>
    <x v="6"/>
    <m/>
  </r>
  <r>
    <x v="923"/>
    <d v="2026-01-21T00:00:00"/>
    <d v="2026-01-21T00:00:00"/>
    <d v="2026-01-25T00:00:00"/>
    <d v="2026-01-25T00:00:00"/>
    <x v="1"/>
    <x v="11"/>
    <x v="3"/>
    <x v="3"/>
    <n v="728.2"/>
    <n v="190.6"/>
    <n v="6738000"/>
    <b v="0"/>
    <b v="0"/>
    <n v="1000"/>
    <b v="0"/>
    <b v="0"/>
    <b v="0"/>
    <x v="0"/>
    <x v="33"/>
    <n v="19.059999999999999"/>
    <n v="0"/>
    <n v="0"/>
    <n v="4"/>
    <x v="3"/>
    <m/>
  </r>
  <r>
    <x v="924"/>
    <d v="2026-03-16T00:00:00"/>
    <d v="2026-03-17T00:00:00"/>
    <d v="2026-03-19T00:00:00"/>
    <d v="2026-03-19T00:00:00"/>
    <x v="1"/>
    <x v="0"/>
    <x v="2"/>
    <x v="1"/>
    <n v="270.3"/>
    <n v="1300.9000000000001"/>
    <n v="4922000"/>
    <b v="0"/>
    <b v="0"/>
    <n v="5000"/>
    <b v="0"/>
    <b v="0"/>
    <b v="0"/>
    <x v="0"/>
    <x v="12"/>
    <n v="26.018000000000001"/>
    <n v="0"/>
    <n v="0"/>
    <n v="2"/>
    <x v="6"/>
    <m/>
  </r>
  <r>
    <x v="925"/>
    <d v="2026-02-09T00:00:00"/>
    <d v="2026-02-10T00:00:00"/>
    <d v="2026-02-14T00:00:00"/>
    <d v="2026-02-14T00:00:00"/>
    <x v="1"/>
    <x v="11"/>
    <x v="1"/>
    <x v="1"/>
    <n v="633.9"/>
    <n v="1442"/>
    <n v="8856000"/>
    <b v="0"/>
    <b v="0"/>
    <n v="5000"/>
    <b v="0"/>
    <b v="0"/>
    <b v="0"/>
    <x v="0"/>
    <x v="33"/>
    <n v="28.84"/>
    <n v="0"/>
    <n v="0"/>
    <n v="4"/>
    <x v="5"/>
    <m/>
  </r>
  <r>
    <x v="926"/>
    <d v="2026-02-06T00:00:00"/>
    <d v="2026-02-07T00:00:00"/>
    <d v="2026-02-10T00:00:00"/>
    <d v="2026-02-10T00:00:00"/>
    <x v="0"/>
    <x v="9"/>
    <x v="0"/>
    <x v="2"/>
    <n v="597.6"/>
    <n v="11825.6"/>
    <n v="15360000"/>
    <b v="0"/>
    <b v="0"/>
    <n v="16000"/>
    <b v="0"/>
    <b v="0"/>
    <b v="0"/>
    <x v="0"/>
    <x v="44"/>
    <n v="73.91"/>
    <n v="0"/>
    <n v="0"/>
    <n v="3"/>
    <x v="5"/>
    <m/>
  </r>
  <r>
    <x v="927"/>
    <d v="2026-05-06T00:00:00"/>
    <d v="2026-05-07T00:00:00"/>
    <d v="2026-05-08T00:00:00"/>
    <d v="2026-05-08T00:00:00"/>
    <x v="1"/>
    <x v="8"/>
    <x v="0"/>
    <x v="0"/>
    <n v="52.9"/>
    <n v="1240.5999999999999"/>
    <n v="1758000"/>
    <b v="0"/>
    <b v="0"/>
    <n v="1500"/>
    <b v="0"/>
    <b v="0"/>
    <b v="0"/>
    <x v="0"/>
    <x v="28"/>
    <n v="82.706666666666663"/>
    <n v="0"/>
    <n v="0"/>
    <n v="1"/>
    <x v="2"/>
    <m/>
  </r>
  <r>
    <x v="928"/>
    <d v="2026-03-17T00:00:00"/>
    <d v="2026-03-18T00:00:00"/>
    <d v="2026-03-21T00:00:00"/>
    <d v="2026-03-20T00:00:00"/>
    <x v="2"/>
    <x v="1"/>
    <x v="3"/>
    <x v="2"/>
    <n v="341.7"/>
    <n v="13621.6"/>
    <n v="11429000"/>
    <b v="0"/>
    <b v="0"/>
    <n v="16000"/>
    <b v="0"/>
    <b v="0"/>
    <b v="0"/>
    <x v="0"/>
    <x v="16"/>
    <n v="85.135000000000005"/>
    <n v="0"/>
    <n v="0"/>
    <n v="2"/>
    <x v="6"/>
    <m/>
  </r>
  <r>
    <x v="929"/>
    <d v="2026-04-09T00:00:00"/>
    <d v="2026-04-10T00:00:00"/>
    <d v="2026-04-13T00:00:00"/>
    <d v="2026-04-14T00:00:00"/>
    <x v="1"/>
    <x v="2"/>
    <x v="2"/>
    <x v="0"/>
    <n v="344"/>
    <n v="1249.5999999999999"/>
    <n v="4027000"/>
    <b v="0"/>
    <b v="0"/>
    <n v="1500"/>
    <b v="0"/>
    <b v="0"/>
    <b v="0"/>
    <x v="1"/>
    <x v="2"/>
    <n v="83.306666666666658"/>
    <n v="0"/>
    <n v="0"/>
    <n v="4"/>
    <x v="4"/>
    <n v="1"/>
  </r>
  <r>
    <x v="930"/>
    <d v="2026-06-09T00:00:00"/>
    <d v="2026-06-10T00:00:00"/>
    <d v="2026-06-13T00:00:00"/>
    <d v="2026-06-14T00:00:00"/>
    <x v="1"/>
    <x v="2"/>
    <x v="1"/>
    <x v="0"/>
    <n v="334.2"/>
    <n v="1103.8"/>
    <n v="3984000"/>
    <b v="0"/>
    <b v="0"/>
    <n v="1500"/>
    <b v="0"/>
    <b v="0"/>
    <b v="0"/>
    <x v="1"/>
    <x v="2"/>
    <n v="73.586666666666673"/>
    <n v="0"/>
    <n v="0"/>
    <n v="4"/>
    <x v="1"/>
    <n v="1"/>
  </r>
  <r>
    <x v="931"/>
    <d v="2026-03-07T00:00:00"/>
    <d v="2026-03-08T00:00:00"/>
    <d v="2026-03-12T00:00:00"/>
    <d v="2026-03-12T00:00:00"/>
    <x v="2"/>
    <x v="4"/>
    <x v="5"/>
    <x v="1"/>
    <n v="722.8"/>
    <n v="1057.2"/>
    <n v="9914000"/>
    <b v="0"/>
    <b v="0"/>
    <n v="5000"/>
    <b v="0"/>
    <b v="0"/>
    <b v="0"/>
    <x v="0"/>
    <x v="4"/>
    <n v="21.143999999999998"/>
    <n v="0"/>
    <n v="0"/>
    <n v="4"/>
    <x v="6"/>
    <m/>
  </r>
  <r>
    <x v="932"/>
    <d v="2026-01-16T00:00:00"/>
    <d v="2026-01-16T00:00:00"/>
    <d v="2026-01-20T00:00:00"/>
    <d v="2026-01-20T00:00:00"/>
    <x v="2"/>
    <x v="3"/>
    <x v="3"/>
    <x v="1"/>
    <n v="977.8"/>
    <n v="3246.9"/>
    <n v="14505000"/>
    <b v="0"/>
    <b v="0"/>
    <n v="5000"/>
    <b v="0"/>
    <b v="0"/>
    <b v="0"/>
    <x v="0"/>
    <x v="3"/>
    <n v="64.938000000000002"/>
    <n v="0"/>
    <n v="0"/>
    <n v="4"/>
    <x v="3"/>
    <m/>
  </r>
  <r>
    <x v="933"/>
    <d v="2026-01-13T00:00:00"/>
    <d v="2026-01-14T00:00:00"/>
    <d v="2026-01-16T00:00:00"/>
    <d v="2026-01-16T00:00:00"/>
    <x v="1"/>
    <x v="6"/>
    <x v="3"/>
    <x v="2"/>
    <n v="156.5"/>
    <n v="6981.2"/>
    <n v="5260000"/>
    <b v="0"/>
    <b v="0"/>
    <n v="16000"/>
    <b v="0"/>
    <b v="0"/>
    <b v="0"/>
    <x v="0"/>
    <x v="9"/>
    <n v="43.632499999999993"/>
    <n v="0"/>
    <n v="0"/>
    <n v="2"/>
    <x v="3"/>
    <m/>
  </r>
  <r>
    <x v="934"/>
    <d v="2026-01-22T00:00:00"/>
    <d v="2026-01-23T00:00:00"/>
    <d v="2026-01-25T00:00:00"/>
    <d v="2026-01-26T00:00:00"/>
    <x v="3"/>
    <x v="4"/>
    <x v="5"/>
    <x v="2"/>
    <n v="141.69999999999999"/>
    <n v="3061.9"/>
    <n v="4032000"/>
    <b v="0"/>
    <b v="0"/>
    <n v="16000"/>
    <b v="0"/>
    <b v="0"/>
    <b v="0"/>
    <x v="1"/>
    <x v="46"/>
    <n v="19.136875"/>
    <n v="0"/>
    <n v="0"/>
    <n v="3"/>
    <x v="3"/>
    <n v="1"/>
  </r>
  <r>
    <x v="935"/>
    <d v="2026-01-15T00:00:00"/>
    <d v="2026-01-16T00:00:00"/>
    <d v="2026-01-20T00:00:00"/>
    <d v="2026-01-20T00:00:00"/>
    <x v="1"/>
    <x v="11"/>
    <x v="2"/>
    <x v="2"/>
    <n v="639.1"/>
    <n v="5726.4"/>
    <n v="13704000"/>
    <b v="0"/>
    <b v="0"/>
    <n v="16000"/>
    <b v="0"/>
    <b v="0"/>
    <b v="0"/>
    <x v="0"/>
    <x v="33"/>
    <n v="35.79"/>
    <n v="0"/>
    <n v="0"/>
    <n v="4"/>
    <x v="3"/>
    <m/>
  </r>
  <r>
    <x v="936"/>
    <d v="2026-01-05T00:00:00"/>
    <d v="2026-01-06T00:00:00"/>
    <d v="2026-01-09T00:00:00"/>
    <d v="2026-01-09T00:00:00"/>
    <x v="0"/>
    <x v="11"/>
    <x v="1"/>
    <x v="3"/>
    <n v="485.7"/>
    <n v="401.4"/>
    <n v="4218000"/>
    <b v="0"/>
    <b v="0"/>
    <n v="1000"/>
    <b v="0"/>
    <b v="0"/>
    <b v="0"/>
    <x v="0"/>
    <x v="36"/>
    <n v="40.14"/>
    <n v="0"/>
    <n v="0"/>
    <n v="3"/>
    <x v="3"/>
    <m/>
  </r>
  <r>
    <x v="937"/>
    <d v="2026-01-31T00:00:00"/>
    <d v="2026-01-31T00:00:00"/>
    <d v="2026-02-02T00:00:00"/>
    <d v="2026-02-02T00:00:00"/>
    <x v="1"/>
    <x v="6"/>
    <x v="3"/>
    <x v="3"/>
    <n v="147"/>
    <n v="772.5"/>
    <n v="1685000"/>
    <b v="0"/>
    <b v="0"/>
    <n v="1000"/>
    <b v="0"/>
    <b v="0"/>
    <b v="0"/>
    <x v="0"/>
    <x v="9"/>
    <n v="77.25"/>
    <n v="0"/>
    <n v="0"/>
    <n v="2"/>
    <x v="3"/>
    <m/>
  </r>
  <r>
    <x v="938"/>
    <d v="2026-02-06T00:00:00"/>
    <d v="2026-02-07T00:00:00"/>
    <d v="2026-02-09T00:00:00"/>
    <d v="2026-02-09T00:00:00"/>
    <x v="1"/>
    <x v="0"/>
    <x v="3"/>
    <x v="0"/>
    <n v="265.10000000000002"/>
    <n v="1013.6"/>
    <n v="3628000"/>
    <b v="0"/>
    <b v="0"/>
    <n v="1500"/>
    <b v="0"/>
    <b v="0"/>
    <b v="0"/>
    <x v="0"/>
    <x v="12"/>
    <n v="67.573333333333323"/>
    <n v="0"/>
    <n v="0"/>
    <n v="2"/>
    <x v="5"/>
    <m/>
  </r>
  <r>
    <x v="939"/>
    <d v="2026-05-11T00:00:00"/>
    <d v="2026-05-12T00:00:00"/>
    <d v="2026-05-14T00:00:00"/>
    <d v="2026-05-14T00:00:00"/>
    <x v="1"/>
    <x v="1"/>
    <x v="3"/>
    <x v="2"/>
    <n v="290.3"/>
    <n v="14910.4"/>
    <n v="10155000"/>
    <b v="0"/>
    <b v="0"/>
    <n v="16000"/>
    <b v="0"/>
    <b v="0"/>
    <b v="0"/>
    <x v="0"/>
    <x v="25"/>
    <n v="93.19"/>
    <n v="0"/>
    <n v="0"/>
    <n v="2"/>
    <x v="2"/>
    <m/>
  </r>
  <r>
    <x v="940"/>
    <d v="2026-06-06T00:00:00"/>
    <d v="2026-06-07T00:00:00"/>
    <d v="2026-06-10T00:00:00"/>
    <d v="2026-06-11T00:00:00"/>
    <x v="1"/>
    <x v="9"/>
    <x v="2"/>
    <x v="1"/>
    <n v="457.5"/>
    <n v="2436.3000000000002"/>
    <n v="7539000"/>
    <b v="0"/>
    <b v="0"/>
    <n v="5000"/>
    <b v="0"/>
    <b v="0"/>
    <b v="0"/>
    <x v="1"/>
    <x v="24"/>
    <n v="48.725999999999999"/>
    <n v="0"/>
    <n v="0"/>
    <n v="4"/>
    <x v="1"/>
    <n v="1"/>
  </r>
  <r>
    <x v="941"/>
    <d v="2026-06-04T00:00:00"/>
    <d v="2026-06-05T00:00:00"/>
    <d v="2026-06-07T00:00:00"/>
    <d v="2026-06-06T00:00:00"/>
    <x v="2"/>
    <x v="1"/>
    <x v="5"/>
    <x v="1"/>
    <n v="284"/>
    <n v="650.1"/>
    <n v="4309000"/>
    <b v="0"/>
    <b v="0"/>
    <n v="5000"/>
    <b v="0"/>
    <b v="0"/>
    <b v="0"/>
    <x v="0"/>
    <x v="16"/>
    <n v="13.002000000000001"/>
    <n v="0"/>
    <n v="0"/>
    <n v="1"/>
    <x v="1"/>
    <m/>
  </r>
  <r>
    <x v="942"/>
    <d v="2026-03-10T00:00:00"/>
    <d v="2026-03-11T00:00:00"/>
    <d v="2026-03-14T00:00:00"/>
    <d v="2026-03-14T00:00:00"/>
    <x v="3"/>
    <x v="1"/>
    <x v="0"/>
    <x v="2"/>
    <n v="554.5"/>
    <n v="13531.5"/>
    <n v="14514000"/>
    <b v="0"/>
    <b v="0"/>
    <n v="16000"/>
    <b v="0"/>
    <b v="0"/>
    <b v="0"/>
    <x v="0"/>
    <x v="21"/>
    <n v="84.571874999999991"/>
    <n v="0"/>
    <n v="0"/>
    <n v="3"/>
    <x v="6"/>
    <m/>
  </r>
  <r>
    <x v="943"/>
    <d v="2026-06-07T00:00:00"/>
    <d v="2026-06-07T00:00:00"/>
    <d v="2026-06-10T00:00:00"/>
    <d v="2026-06-11T00:00:00"/>
    <x v="2"/>
    <x v="0"/>
    <x v="2"/>
    <x v="0"/>
    <n v="287"/>
    <n v="540.1"/>
    <n v="3561000"/>
    <b v="0"/>
    <b v="0"/>
    <n v="1500"/>
    <b v="0"/>
    <b v="0"/>
    <b v="0"/>
    <x v="1"/>
    <x v="7"/>
    <n v="36.006666666666668"/>
    <n v="0"/>
    <n v="0"/>
    <n v="4"/>
    <x v="1"/>
    <n v="1"/>
  </r>
  <r>
    <x v="944"/>
    <d v="2026-03-19T00:00:00"/>
    <d v="2026-03-21T00:00:00"/>
    <d v="2026-03-24T00:00:00"/>
    <d v="2026-03-24T00:00:00"/>
    <x v="2"/>
    <x v="9"/>
    <x v="2"/>
    <x v="2"/>
    <n v="443.4"/>
    <n v="10094.299999999999"/>
    <n v="10144000"/>
    <b v="0"/>
    <b v="0"/>
    <n v="16000"/>
    <b v="0"/>
    <b v="0"/>
    <b v="0"/>
    <x v="0"/>
    <x v="20"/>
    <n v="63.08937499999999"/>
    <n v="0"/>
    <n v="0"/>
    <n v="3"/>
    <x v="6"/>
    <m/>
  </r>
  <r>
    <x v="945"/>
    <d v="2026-01-24T00:00:00"/>
    <d v="2026-01-24T00:00:00"/>
    <d v="2026-01-26T00:00:00"/>
    <d v="2026-01-27T00:00:00"/>
    <x v="2"/>
    <x v="10"/>
    <x v="3"/>
    <x v="0"/>
    <n v="57.3"/>
    <n v="1084"/>
    <n v="1818000"/>
    <b v="0"/>
    <b v="0"/>
    <n v="1500"/>
    <b v="0"/>
    <b v="0"/>
    <b v="0"/>
    <x v="1"/>
    <x v="34"/>
    <n v="72.266666666666666"/>
    <n v="0"/>
    <n v="0"/>
    <n v="3"/>
    <x v="3"/>
    <n v="1"/>
  </r>
  <r>
    <x v="946"/>
    <d v="2026-01-14T00:00:00"/>
    <d v="2026-01-14T00:00:00"/>
    <d v="2026-01-18T00:00:00"/>
    <d v="2026-01-21T00:00:00"/>
    <x v="3"/>
    <x v="9"/>
    <x v="2"/>
    <x v="1"/>
    <n v="897.6"/>
    <n v="4399.8999999999996"/>
    <n v="13321000"/>
    <b v="0"/>
    <b v="0"/>
    <n v="5000"/>
    <b v="0"/>
    <b v="0"/>
    <b v="0"/>
    <x v="1"/>
    <x v="31"/>
    <n v="87.99799999999999"/>
    <n v="0"/>
    <n v="0"/>
    <n v="7"/>
    <x v="3"/>
    <n v="3"/>
  </r>
  <r>
    <x v="947"/>
    <d v="2026-01-18T00:00:00"/>
    <d v="2026-01-19T00:00:00"/>
    <d v="2026-01-23T00:00:00"/>
    <d v="2026-01-23T00:00:00"/>
    <x v="1"/>
    <x v="4"/>
    <x v="5"/>
    <x v="1"/>
    <n v="686.4"/>
    <n v="2722.3"/>
    <n v="9763000"/>
    <b v="0"/>
    <b v="0"/>
    <n v="5000"/>
    <b v="0"/>
    <b v="0"/>
    <b v="0"/>
    <x v="0"/>
    <x v="38"/>
    <n v="54.446000000000012"/>
    <n v="0"/>
    <n v="0"/>
    <n v="4"/>
    <x v="3"/>
    <m/>
  </r>
  <r>
    <x v="948"/>
    <d v="2026-06-23T00:00:00"/>
    <d v="2026-06-24T00:00:00"/>
    <d v="2026-06-27T00:00:00"/>
    <d v="2026-06-28T00:00:00"/>
    <x v="1"/>
    <x v="2"/>
    <x v="5"/>
    <x v="2"/>
    <n v="316.3"/>
    <n v="11589"/>
    <n v="8798000"/>
    <b v="0"/>
    <b v="0"/>
    <n v="16000"/>
    <b v="0"/>
    <b v="0"/>
    <b v="0"/>
    <x v="1"/>
    <x v="2"/>
    <n v="72.431250000000006"/>
    <n v="0"/>
    <n v="0"/>
    <n v="4"/>
    <x v="1"/>
    <n v="1"/>
  </r>
  <r>
    <x v="949"/>
    <d v="2026-04-25T00:00:00"/>
    <d v="2026-04-26T00:00:00"/>
    <d v="2026-04-27T00:00:00"/>
    <d v="2026-04-27T00:00:00"/>
    <x v="1"/>
    <x v="10"/>
    <x v="1"/>
    <x v="0"/>
    <n v="22.8"/>
    <n v="931.9"/>
    <n v="1219000"/>
    <b v="0"/>
    <b v="0"/>
    <n v="1500"/>
    <b v="0"/>
    <b v="0"/>
    <b v="0"/>
    <x v="0"/>
    <x v="27"/>
    <n v="62.126666666666672"/>
    <n v="0"/>
    <n v="0"/>
    <n v="1"/>
    <x v="4"/>
    <m/>
  </r>
  <r>
    <x v="950"/>
    <d v="2026-06-14T00:00:00"/>
    <d v="2026-06-15T00:00:00"/>
    <d v="2026-06-17T00:00:00"/>
    <d v="2026-06-17T00:00:00"/>
    <x v="0"/>
    <x v="1"/>
    <x v="1"/>
    <x v="0"/>
    <n v="258.5"/>
    <n v="709.9"/>
    <n v="3399000"/>
    <b v="0"/>
    <b v="0"/>
    <n v="1500"/>
    <b v="0"/>
    <b v="0"/>
    <b v="0"/>
    <x v="0"/>
    <x v="1"/>
    <n v="47.326666666666668"/>
    <n v="0"/>
    <n v="0"/>
    <n v="2"/>
    <x v="1"/>
    <m/>
  </r>
  <r>
    <x v="951"/>
    <d v="2026-03-31T00:00:00"/>
    <d v="2026-04-01T00:00:00"/>
    <d v="2026-04-03T00:00:00"/>
    <d v="2026-04-03T00:00:00"/>
    <x v="1"/>
    <x v="10"/>
    <x v="3"/>
    <x v="0"/>
    <n v="15.5"/>
    <n v="296.8"/>
    <n v="745000"/>
    <b v="0"/>
    <b v="0"/>
    <n v="1500"/>
    <b v="0"/>
    <b v="0"/>
    <b v="0"/>
    <x v="0"/>
    <x v="27"/>
    <n v="19.786666666666669"/>
    <n v="0"/>
    <n v="0"/>
    <n v="2"/>
    <x v="4"/>
    <m/>
  </r>
  <r>
    <x v="952"/>
    <d v="2026-06-16T00:00:00"/>
    <d v="2026-06-17T00:00:00"/>
    <d v="2026-06-19T00:00:00"/>
    <d v="2026-06-19T00:00:00"/>
    <x v="1"/>
    <x v="0"/>
    <x v="0"/>
    <x v="0"/>
    <n v="269.60000000000002"/>
    <n v="1041.4000000000001"/>
    <n v="3054000"/>
    <b v="0"/>
    <b v="0"/>
    <n v="1500"/>
    <b v="0"/>
    <b v="0"/>
    <b v="0"/>
    <x v="0"/>
    <x v="12"/>
    <n v="69.426666666666677"/>
    <n v="0"/>
    <n v="0"/>
    <n v="2"/>
    <x v="1"/>
    <m/>
  </r>
  <r>
    <x v="953"/>
    <d v="2026-05-14T00:00:00"/>
    <d v="2026-05-16T00:00:00"/>
    <d v="2026-05-19T00:00:00"/>
    <d v="2026-05-18T00:00:00"/>
    <x v="1"/>
    <x v="2"/>
    <x v="5"/>
    <x v="3"/>
    <n v="341.5"/>
    <n v="472.1"/>
    <n v="3536000"/>
    <b v="0"/>
    <b v="0"/>
    <n v="1000"/>
    <b v="0"/>
    <b v="0"/>
    <b v="0"/>
    <x v="0"/>
    <x v="2"/>
    <n v="47.21"/>
    <n v="0"/>
    <n v="0"/>
    <n v="2"/>
    <x v="2"/>
    <m/>
  </r>
  <r>
    <x v="954"/>
    <d v="2026-03-16T00:00:00"/>
    <d v="2026-03-17T00:00:00"/>
    <d v="2026-03-21T00:00:00"/>
    <d v="2026-03-23T00:00:00"/>
    <x v="1"/>
    <x v="5"/>
    <x v="1"/>
    <x v="3"/>
    <n v="322.5"/>
    <n v="448"/>
    <n v="3711000"/>
    <b v="0"/>
    <b v="0"/>
    <n v="1000"/>
    <b v="0"/>
    <b v="0"/>
    <b v="0"/>
    <x v="1"/>
    <x v="5"/>
    <n v="44.8"/>
    <n v="0"/>
    <n v="0"/>
    <n v="6"/>
    <x v="6"/>
    <n v="2"/>
  </r>
  <r>
    <x v="955"/>
    <d v="2026-01-17T00:00:00"/>
    <d v="2026-01-17T00:00:00"/>
    <d v="2026-01-21T00:00:00"/>
    <d v="2026-01-21T00:00:00"/>
    <x v="3"/>
    <x v="3"/>
    <x v="3"/>
    <x v="2"/>
    <n v="1506.6"/>
    <n v="9156.2000000000007"/>
    <n v="30698000"/>
    <b v="0"/>
    <b v="0"/>
    <n v="16000"/>
    <b v="0"/>
    <b v="0"/>
    <b v="0"/>
    <x v="0"/>
    <x v="43"/>
    <n v="57.22625"/>
    <n v="0"/>
    <n v="0"/>
    <n v="4"/>
    <x v="3"/>
    <m/>
  </r>
  <r>
    <x v="956"/>
    <d v="2026-03-04T00:00:00"/>
    <d v="2026-03-05T00:00:00"/>
    <d v="2026-03-08T00:00:00"/>
    <d v="2026-03-08T00:00:00"/>
    <x v="2"/>
    <x v="2"/>
    <x v="5"/>
    <x v="3"/>
    <n v="311.8"/>
    <n v="690.5"/>
    <n v="3723000"/>
    <b v="0"/>
    <b v="0"/>
    <n v="1000"/>
    <b v="0"/>
    <b v="0"/>
    <b v="0"/>
    <x v="0"/>
    <x v="29"/>
    <n v="69.05"/>
    <n v="0"/>
    <n v="0"/>
    <n v="3"/>
    <x v="6"/>
    <m/>
  </r>
  <r>
    <x v="957"/>
    <d v="2026-05-08T00:00:00"/>
    <d v="2026-05-09T00:00:00"/>
    <d v="2026-05-13T00:00:00"/>
    <d v="2026-05-15T00:00:00"/>
    <x v="2"/>
    <x v="11"/>
    <x v="5"/>
    <x v="0"/>
    <n v="550.4"/>
    <n v="420.3"/>
    <n v="5529000"/>
    <b v="0"/>
    <b v="0"/>
    <n v="1500"/>
    <b v="0"/>
    <b v="0"/>
    <b v="0"/>
    <x v="1"/>
    <x v="41"/>
    <n v="28.02"/>
    <n v="0"/>
    <n v="0"/>
    <n v="6"/>
    <x v="2"/>
    <n v="2"/>
  </r>
  <r>
    <x v="958"/>
    <d v="2026-06-28T00:00:00"/>
    <d v="2026-06-29T00:00:00"/>
    <d v="2026-07-02T00:00:00"/>
    <d v="2026-07-02T00:00:00"/>
    <x v="2"/>
    <x v="5"/>
    <x v="0"/>
    <x v="1"/>
    <n v="311.60000000000002"/>
    <n v="3482.3"/>
    <n v="5890000"/>
    <b v="0"/>
    <b v="0"/>
    <n v="5000"/>
    <b v="0"/>
    <b v="0"/>
    <b v="0"/>
    <x v="0"/>
    <x v="17"/>
    <n v="69.646000000000015"/>
    <n v="0"/>
    <n v="0"/>
    <n v="3"/>
    <x v="1"/>
    <m/>
  </r>
  <r>
    <x v="959"/>
    <d v="2026-03-22T00:00:00"/>
    <d v="2026-03-23T00:00:00"/>
    <d v="2026-03-26T00:00:00"/>
    <d v="2026-03-25T00:00:00"/>
    <x v="0"/>
    <x v="11"/>
    <x v="1"/>
    <x v="0"/>
    <n v="486.7"/>
    <n v="976"/>
    <n v="5654000"/>
    <b v="0"/>
    <b v="0"/>
    <n v="1500"/>
    <b v="0"/>
    <b v="0"/>
    <b v="0"/>
    <x v="0"/>
    <x v="36"/>
    <n v="65.066666666666663"/>
    <n v="0"/>
    <n v="0"/>
    <n v="2"/>
    <x v="6"/>
    <m/>
  </r>
  <r>
    <x v="960"/>
    <d v="2026-03-22T00:00:00"/>
    <d v="2026-03-21T00:00:00"/>
    <d v="2026-03-25T00:00:00"/>
    <d v="2026-03-25T00:00:00"/>
    <x v="1"/>
    <x v="10"/>
    <x v="5"/>
    <x v="2"/>
    <n v="23.2"/>
    <n v="13593.9"/>
    <n v="5201000"/>
    <b v="1"/>
    <b v="0"/>
    <n v="16000"/>
    <b v="0"/>
    <b v="0"/>
    <b v="1"/>
    <x v="3"/>
    <x v="27"/>
    <n v="84.961874999999992"/>
    <n v="0"/>
    <n v="1"/>
    <m/>
    <x v="6"/>
    <m/>
  </r>
  <r>
    <x v="961"/>
    <d v="2026-05-18T00:00:00"/>
    <d v="2026-05-18T00:00:00"/>
    <d v="2026-05-21T00:00:00"/>
    <d v="2026-05-21T00:00:00"/>
    <x v="2"/>
    <x v="11"/>
    <x v="0"/>
    <x v="2"/>
    <n v="577.70000000000005"/>
    <n v="2950.8"/>
    <n v="13551000"/>
    <b v="0"/>
    <b v="0"/>
    <n v="16000"/>
    <b v="0"/>
    <b v="0"/>
    <b v="0"/>
    <x v="0"/>
    <x v="41"/>
    <n v="18.442499999999999"/>
    <n v="0"/>
    <n v="0"/>
    <n v="3"/>
    <x v="2"/>
    <m/>
  </r>
  <r>
    <x v="962"/>
    <d v="2026-06-18T00:00:00"/>
    <d v="2026-06-19T00:00:00"/>
    <d v="2026-06-21T00:00:00"/>
    <d v="2026-06-23T00:00:00"/>
    <x v="1"/>
    <x v="6"/>
    <x v="2"/>
    <x v="3"/>
    <n v="145.5"/>
    <n v="888.6"/>
    <n v="2047000"/>
    <b v="0"/>
    <b v="0"/>
    <n v="1000"/>
    <b v="0"/>
    <b v="0"/>
    <b v="0"/>
    <x v="1"/>
    <x v="9"/>
    <n v="88.86"/>
    <n v="0"/>
    <n v="0"/>
    <n v="4"/>
    <x v="1"/>
    <n v="2"/>
  </r>
  <r>
    <x v="963"/>
    <d v="2026-03-27T00:00:00"/>
    <d v="2026-03-29T00:00:00"/>
    <d v="2026-04-01T00:00:00"/>
    <d v="2026-04-01T00:00:00"/>
    <x v="2"/>
    <x v="1"/>
    <x v="1"/>
    <x v="1"/>
    <n v="300.10000000000002"/>
    <n v="3192.7"/>
    <n v="5596000"/>
    <b v="0"/>
    <b v="0"/>
    <n v="5000"/>
    <b v="0"/>
    <b v="0"/>
    <b v="0"/>
    <x v="0"/>
    <x v="16"/>
    <n v="63.853999999999999"/>
    <n v="0"/>
    <n v="0"/>
    <n v="3"/>
    <x v="6"/>
    <m/>
  </r>
  <r>
    <x v="964"/>
    <d v="2026-02-20T00:00:00"/>
    <d v="2026-02-22T00:00:00"/>
    <d v="2026-02-24T00:00:00"/>
    <d v="2026-02-24T00:00:00"/>
    <x v="0"/>
    <x v="7"/>
    <x v="3"/>
    <x v="1"/>
    <n v="295.5"/>
    <n v="691.1"/>
    <n v="4524000"/>
    <b v="0"/>
    <b v="0"/>
    <n v="5000"/>
    <b v="0"/>
    <b v="0"/>
    <b v="0"/>
    <x v="0"/>
    <x v="45"/>
    <n v="13.821999999999999"/>
    <n v="0"/>
    <n v="0"/>
    <n v="2"/>
    <x v="5"/>
    <m/>
  </r>
  <r>
    <x v="965"/>
    <d v="2026-04-06T00:00:00"/>
    <d v="2026-04-07T00:00:00"/>
    <d v="2026-04-08T00:00:00"/>
    <d v="2026-04-08T00:00:00"/>
    <x v="2"/>
    <x v="10"/>
    <x v="2"/>
    <x v="1"/>
    <n v="54.8"/>
    <n v="1238.3"/>
    <n v="1674000"/>
    <b v="0"/>
    <b v="0"/>
    <n v="5000"/>
    <b v="0"/>
    <b v="0"/>
    <b v="0"/>
    <x v="0"/>
    <x v="34"/>
    <n v="24.765999999999998"/>
    <n v="0"/>
    <n v="0"/>
    <n v="1"/>
    <x v="4"/>
    <m/>
  </r>
  <r>
    <x v="966"/>
    <d v="2026-01-22T00:00:00"/>
    <d v="2026-01-23T00:00:00"/>
    <d v="2026-01-24T00:00:00"/>
    <d v="2026-01-25T00:00:00"/>
    <x v="1"/>
    <x v="8"/>
    <x v="2"/>
    <x v="1"/>
    <n v="59.6"/>
    <n v="4294.3"/>
    <n v="3220000"/>
    <b v="0"/>
    <b v="0"/>
    <n v="5000"/>
    <b v="0"/>
    <b v="0"/>
    <b v="0"/>
    <x v="1"/>
    <x v="28"/>
    <n v="85.88600000000001"/>
    <n v="0"/>
    <n v="0"/>
    <n v="2"/>
    <x v="3"/>
    <n v="1"/>
  </r>
  <r>
    <x v="967"/>
    <d v="2026-05-25T00:00:00"/>
    <d v="2026-05-25T00:00:00"/>
    <d v="2026-05-29T00:00:00"/>
    <d v="2026-05-29T00:00:00"/>
    <x v="3"/>
    <x v="10"/>
    <x v="0"/>
    <x v="0"/>
    <n v="612.70000000000005"/>
    <n v="209"/>
    <n v="6833000"/>
    <b v="0"/>
    <b v="0"/>
    <n v="1500"/>
    <b v="0"/>
    <b v="0"/>
    <b v="0"/>
    <x v="0"/>
    <x v="32"/>
    <n v="13.93333333333333"/>
    <n v="0"/>
    <n v="0"/>
    <n v="4"/>
    <x v="2"/>
    <m/>
  </r>
  <r>
    <x v="968"/>
    <d v="2026-02-02T00:00:00"/>
    <d v="2026-02-03T00:00:00"/>
    <d v="2026-02-06T00:00:00"/>
    <d v="2026-02-07T00:00:00"/>
    <x v="3"/>
    <x v="1"/>
    <x v="2"/>
    <x v="0"/>
    <n v="550.1"/>
    <n v="1258.5999999999999"/>
    <n v="7531000"/>
    <b v="0"/>
    <b v="0"/>
    <n v="1500"/>
    <b v="0"/>
    <b v="0"/>
    <b v="0"/>
    <x v="1"/>
    <x v="21"/>
    <n v="83.906666666666666"/>
    <n v="0"/>
    <n v="0"/>
    <n v="4"/>
    <x v="5"/>
    <n v="1"/>
  </r>
  <r>
    <x v="969"/>
    <d v="2026-01-19T00:00:00"/>
    <d v="2026-01-20T00:00:00"/>
    <d v="2026-01-24T00:00:00"/>
    <d v="2026-01-24T00:00:00"/>
    <x v="3"/>
    <x v="10"/>
    <x v="2"/>
    <x v="1"/>
    <n v="670.2"/>
    <n v="2988.8"/>
    <n v="11503000"/>
    <b v="0"/>
    <b v="0"/>
    <n v="5000"/>
    <b v="0"/>
    <b v="0"/>
    <b v="0"/>
    <x v="0"/>
    <x v="32"/>
    <n v="59.77600000000001"/>
    <n v="0"/>
    <n v="0"/>
    <n v="4"/>
    <x v="3"/>
    <m/>
  </r>
  <r>
    <x v="970"/>
    <d v="2026-01-25T00:00:00"/>
    <d v="2026-01-27T00:00:00"/>
    <d v="2026-01-30T00:00:00"/>
    <d v="2026-02-02T00:00:00"/>
    <x v="3"/>
    <x v="1"/>
    <x v="1"/>
    <x v="1"/>
    <n v="581.1"/>
    <n v="2932.8"/>
    <n v="8993000"/>
    <b v="0"/>
    <b v="0"/>
    <n v="5000"/>
    <b v="0"/>
    <b v="0"/>
    <b v="0"/>
    <x v="1"/>
    <x v="21"/>
    <n v="58.656000000000013"/>
    <n v="0"/>
    <n v="0"/>
    <n v="6"/>
    <x v="3"/>
    <n v="3"/>
  </r>
  <r>
    <x v="971"/>
    <d v="2026-05-22T00:00:00"/>
    <d v="2026-05-23T00:00:00"/>
    <d v="2026-05-25T00:00:00"/>
    <d v="2026-05-27T00:00:00"/>
    <x v="2"/>
    <x v="0"/>
    <x v="0"/>
    <x v="1"/>
    <n v="291.39999999999998"/>
    <n v="565.1"/>
    <n v="4000000"/>
    <b v="0"/>
    <b v="0"/>
    <n v="5000"/>
    <b v="0"/>
    <b v="0"/>
    <b v="0"/>
    <x v="1"/>
    <x v="7"/>
    <n v="11.302"/>
    <n v="0"/>
    <n v="0"/>
    <n v="4"/>
    <x v="2"/>
    <n v="2"/>
  </r>
  <r>
    <x v="972"/>
    <d v="2026-04-05T00:00:00"/>
    <d v="2026-04-06T00:00:00"/>
    <d v="2026-04-09T00:00:00"/>
    <d v="2026-04-08T00:00:00"/>
    <x v="3"/>
    <x v="0"/>
    <x v="0"/>
    <x v="0"/>
    <n v="560.79999999999995"/>
    <n v="915.8"/>
    <n v="6147000"/>
    <b v="0"/>
    <b v="0"/>
    <n v="1500"/>
    <b v="0"/>
    <b v="0"/>
    <b v="0"/>
    <x v="0"/>
    <x v="11"/>
    <n v="61.053333333333327"/>
    <n v="0"/>
    <n v="0"/>
    <n v="2"/>
    <x v="4"/>
    <m/>
  </r>
  <r>
    <x v="973"/>
    <d v="2026-01-31T00:00:00"/>
    <d v="2026-02-01T00:00:00"/>
    <d v="2026-02-05T00:00:00"/>
    <d v="2026-02-05T00:00:00"/>
    <x v="3"/>
    <x v="10"/>
    <x v="0"/>
    <x v="2"/>
    <n v="637.5"/>
    <n v="2686.7"/>
    <n v="10443000"/>
    <b v="0"/>
    <b v="0"/>
    <n v="16000"/>
    <b v="0"/>
    <b v="0"/>
    <b v="0"/>
    <x v="0"/>
    <x v="32"/>
    <n v="16.791875000000001"/>
    <n v="0"/>
    <n v="0"/>
    <n v="4"/>
    <x v="5"/>
    <m/>
  </r>
  <r>
    <x v="974"/>
    <d v="2026-01-14T00:00:00"/>
    <d v="2026-01-15T00:00:00"/>
    <d v="2026-01-18T00:00:00"/>
    <d v="2026-01-18T00:00:00"/>
    <x v="2"/>
    <x v="9"/>
    <x v="5"/>
    <x v="2"/>
    <n v="506.4"/>
    <n v="8730.1500000000015"/>
    <n v="12669000"/>
    <b v="0"/>
    <b v="0"/>
    <n v="16000"/>
    <b v="0"/>
    <b v="0"/>
    <b v="0"/>
    <x v="0"/>
    <x v="20"/>
    <n v="54.563437500000013"/>
    <n v="0"/>
    <n v="0"/>
    <n v="3"/>
    <x v="3"/>
    <m/>
  </r>
  <r>
    <x v="975"/>
    <d v="2026-05-28T00:00:00"/>
    <d v="2026-05-29T00:00:00"/>
    <d v="2026-06-02T00:00:00"/>
    <d v="2026-06-02T00:00:00"/>
    <x v="1"/>
    <x v="3"/>
    <x v="3"/>
    <x v="1"/>
    <n v="871.5"/>
    <n v="4473.3"/>
    <n v="15590000"/>
    <b v="0"/>
    <b v="0"/>
    <n v="5000"/>
    <b v="0"/>
    <b v="0"/>
    <b v="0"/>
    <x v="0"/>
    <x v="35"/>
    <n v="89.466000000000008"/>
    <n v="0"/>
    <n v="0"/>
    <n v="4"/>
    <x v="2"/>
    <m/>
  </r>
  <r>
    <x v="976"/>
    <d v="2026-02-09T00:00:00"/>
    <d v="2026-02-10T00:00:00"/>
    <d v="2026-02-13T00:00:00"/>
    <d v="2026-02-13T00:00:00"/>
    <x v="2"/>
    <x v="11"/>
    <x v="3"/>
    <x v="1"/>
    <n v="588.4"/>
    <n v="2185"/>
    <n v="7644000"/>
    <b v="0"/>
    <b v="0"/>
    <n v="5000"/>
    <b v="0"/>
    <b v="0"/>
    <b v="0"/>
    <x v="0"/>
    <x v="41"/>
    <n v="43.7"/>
    <n v="0"/>
    <n v="0"/>
    <n v="3"/>
    <x v="5"/>
    <m/>
  </r>
  <r>
    <x v="977"/>
    <d v="2026-03-26T00:00:00"/>
    <d v="2026-03-28T00:00:00"/>
    <d v="2026-03-31T00:00:00"/>
    <d v="2026-03-31T00:00:00"/>
    <x v="1"/>
    <x v="2"/>
    <x v="5"/>
    <x v="1"/>
    <n v="308.5"/>
    <n v="525.4"/>
    <n v="4826000"/>
    <b v="0"/>
    <b v="0"/>
    <n v="5000"/>
    <b v="0"/>
    <b v="0"/>
    <b v="0"/>
    <x v="0"/>
    <x v="2"/>
    <n v="10.507999999999999"/>
    <n v="0"/>
    <n v="0"/>
    <n v="3"/>
    <x v="6"/>
    <m/>
  </r>
  <r>
    <x v="978"/>
    <d v="2026-03-24T00:00:00"/>
    <d v="2026-03-26T00:00:00"/>
    <d v="2026-03-28T00:00:00"/>
    <d v="2026-03-28T00:00:00"/>
    <x v="0"/>
    <x v="8"/>
    <x v="0"/>
    <x v="2"/>
    <n v="125.9"/>
    <n v="11586.1"/>
    <n v="6498000"/>
    <b v="0"/>
    <b v="0"/>
    <n v="16000"/>
    <b v="0"/>
    <b v="0"/>
    <b v="0"/>
    <x v="0"/>
    <x v="22"/>
    <n v="72.413124999999994"/>
    <n v="0"/>
    <n v="0"/>
    <n v="2"/>
    <x v="6"/>
    <m/>
  </r>
  <r>
    <x v="979"/>
    <d v="2026-06-27T00:00:00"/>
    <d v="2026-06-28T00:00:00"/>
    <d v="2026-07-02T00:00:00"/>
    <d v="2026-07-02T00:00:00"/>
    <x v="0"/>
    <x v="3"/>
    <x v="0"/>
    <x v="1"/>
    <n v="1089.2"/>
    <n v="1112.5999999999999"/>
    <n v="12156000"/>
    <b v="0"/>
    <b v="0"/>
    <n v="5000"/>
    <b v="0"/>
    <b v="0"/>
    <b v="0"/>
    <x v="0"/>
    <x v="47"/>
    <n v="22.251999999999999"/>
    <n v="0"/>
    <n v="0"/>
    <n v="4"/>
    <x v="1"/>
    <m/>
  </r>
  <r>
    <x v="980"/>
    <d v="2026-02-24T00:00:00"/>
    <d v="2026-02-26T00:00:00"/>
    <d v="2026-03-01T00:00:00"/>
    <d v="2026-03-01T00:00:00"/>
    <x v="1"/>
    <x v="11"/>
    <x v="5"/>
    <x v="2"/>
    <n v="461.8"/>
    <n v="9240.1"/>
    <n v="11293000"/>
    <b v="0"/>
    <b v="0"/>
    <n v="16000"/>
    <b v="0"/>
    <b v="0"/>
    <b v="0"/>
    <x v="0"/>
    <x v="33"/>
    <n v="57.750624999999999"/>
    <n v="0"/>
    <n v="0"/>
    <n v="3"/>
    <x v="5"/>
    <m/>
  </r>
  <r>
    <x v="981"/>
    <d v="2026-02-13T00:00:00"/>
    <d v="2026-02-14T00:00:00"/>
    <d v="2026-02-18T00:00:00"/>
    <d v="2026-02-18T00:00:00"/>
    <x v="1"/>
    <x v="11"/>
    <x v="3"/>
    <x v="2"/>
    <n v="635.1"/>
    <n v="12408.3"/>
    <n v="17736000"/>
    <b v="0"/>
    <b v="0"/>
    <n v="16000"/>
    <b v="0"/>
    <b v="0"/>
    <b v="0"/>
    <x v="0"/>
    <x v="33"/>
    <n v="77.551874999999995"/>
    <n v="0"/>
    <n v="0"/>
    <n v="4"/>
    <x v="5"/>
    <m/>
  </r>
  <r>
    <x v="982"/>
    <d v="2026-02-07T00:00:00"/>
    <d v="2026-02-09T00:00:00"/>
    <d v="2026-02-11T00:00:00"/>
    <d v="2026-02-12T00:00:00"/>
    <x v="1"/>
    <x v="0"/>
    <x v="3"/>
    <x v="0"/>
    <n v="288"/>
    <n v="430.7"/>
    <n v="3353000"/>
    <b v="0"/>
    <b v="0"/>
    <n v="1500"/>
    <b v="0"/>
    <b v="0"/>
    <b v="0"/>
    <x v="1"/>
    <x v="12"/>
    <n v="28.713333333333331"/>
    <n v="0"/>
    <n v="0"/>
    <n v="3"/>
    <x v="5"/>
    <n v="1"/>
  </r>
  <r>
    <x v="983"/>
    <d v="2026-03-31T00:00:00"/>
    <d v="2026-04-01T00:00:00"/>
    <d v="2026-04-05T00:00:00"/>
    <d v="2026-04-04T00:00:00"/>
    <x v="0"/>
    <x v="7"/>
    <x v="0"/>
    <x v="0"/>
    <n v="309.3"/>
    <n v="845.9"/>
    <n v="3224000"/>
    <b v="0"/>
    <b v="0"/>
    <n v="1500"/>
    <b v="0"/>
    <b v="0"/>
    <b v="0"/>
    <x v="0"/>
    <x v="45"/>
    <n v="56.393333333333331"/>
    <n v="0"/>
    <n v="0"/>
    <n v="3"/>
    <x v="4"/>
    <m/>
  </r>
  <r>
    <x v="984"/>
    <d v="2026-06-30T00:00:00"/>
    <d v="2026-06-30T00:00:00"/>
    <d v="2026-07-02T00:00:00"/>
    <d v="2026-07-03T00:00:00"/>
    <x v="0"/>
    <x v="10"/>
    <x v="5"/>
    <x v="3"/>
    <n v="143.6"/>
    <n v="120.3"/>
    <n v="1595000"/>
    <b v="0"/>
    <b v="0"/>
    <n v="1000"/>
    <b v="0"/>
    <b v="0"/>
    <b v="0"/>
    <x v="1"/>
    <x v="42"/>
    <n v="12.03"/>
    <n v="0"/>
    <n v="0"/>
    <n v="3"/>
    <x v="1"/>
    <n v="1"/>
  </r>
  <r>
    <x v="985"/>
    <d v="2026-04-19T00:00:00"/>
    <d v="2026-04-20T00:00:00"/>
    <d v="2026-04-24T00:00:00"/>
    <d v="2026-04-24T00:00:00"/>
    <x v="3"/>
    <x v="9"/>
    <x v="3"/>
    <x v="1"/>
    <n v="913.9"/>
    <n v="1479.5"/>
    <n v="12438000"/>
    <b v="0"/>
    <b v="0"/>
    <n v="5000"/>
    <b v="0"/>
    <b v="0"/>
    <b v="0"/>
    <x v="0"/>
    <x v="31"/>
    <n v="29.59"/>
    <n v="0"/>
    <n v="0"/>
    <n v="4"/>
    <x v="4"/>
    <m/>
  </r>
  <r>
    <x v="986"/>
    <d v="2026-06-29T00:00:00"/>
    <d v="2026-06-30T00:00:00"/>
    <d v="2026-07-04T00:00:00"/>
    <d v="2026-07-04T00:00:00"/>
    <x v="1"/>
    <x v="4"/>
    <x v="1"/>
    <x v="1"/>
    <n v="801"/>
    <n v="2490.6999999999998"/>
    <n v="13160000"/>
    <b v="0"/>
    <b v="0"/>
    <n v="5000"/>
    <b v="0"/>
    <b v="0"/>
    <b v="0"/>
    <x v="0"/>
    <x v="38"/>
    <n v="49.814"/>
    <n v="0"/>
    <n v="0"/>
    <n v="4"/>
    <x v="1"/>
    <m/>
  </r>
  <r>
    <x v="987"/>
    <d v="2026-03-28T00:00:00"/>
    <d v="2026-03-29T00:00:00"/>
    <d v="2026-04-01T00:00:00"/>
    <d v="2026-04-01T00:00:00"/>
    <x v="1"/>
    <x v="2"/>
    <x v="3"/>
    <x v="0"/>
    <n v="337"/>
    <n v="580.6"/>
    <n v="3572000"/>
    <b v="0"/>
    <b v="0"/>
    <n v="1500"/>
    <b v="0"/>
    <b v="0"/>
    <b v="0"/>
    <x v="0"/>
    <x v="2"/>
    <n v="38.706666666666663"/>
    <n v="0"/>
    <n v="0"/>
    <n v="3"/>
    <x v="6"/>
    <m/>
  </r>
  <r>
    <x v="988"/>
    <d v="2026-04-18T00:00:00"/>
    <d v="2026-04-19T00:00:00"/>
    <d v="2026-04-23T00:00:00"/>
    <d v="2026-04-24T00:00:00"/>
    <x v="3"/>
    <x v="9"/>
    <x v="2"/>
    <x v="3"/>
    <n v="946.6"/>
    <n v="684.1"/>
    <n v="8818000"/>
    <b v="0"/>
    <b v="0"/>
    <n v="1000"/>
    <b v="0"/>
    <b v="0"/>
    <b v="0"/>
    <x v="1"/>
    <x v="31"/>
    <n v="68.410000000000011"/>
    <n v="0"/>
    <n v="0"/>
    <n v="5"/>
    <x v="4"/>
    <n v="1"/>
  </r>
  <r>
    <x v="989"/>
    <d v="2026-01-04T00:00:00"/>
    <d v="2026-01-05T00:00:00"/>
    <d v="2026-01-10T00:00:00"/>
    <d v="2026-01-10T00:00:00"/>
    <x v="1"/>
    <x v="3"/>
    <x v="3"/>
    <x v="1"/>
    <n v="1026.2"/>
    <n v="2366.8000000000002"/>
    <n v="13630000"/>
    <b v="0"/>
    <b v="0"/>
    <n v="5000"/>
    <b v="0"/>
    <b v="0"/>
    <b v="0"/>
    <x v="0"/>
    <x v="35"/>
    <n v="47.336000000000013"/>
    <n v="0"/>
    <n v="0"/>
    <n v="5"/>
    <x v="3"/>
    <m/>
  </r>
  <r>
    <x v="990"/>
    <d v="2026-04-03T00:00:00"/>
    <d v="2026-04-04T00:00:00"/>
    <d v="2026-04-05T00:00:00"/>
    <d v="2026-04-05T00:00:00"/>
    <x v="1"/>
    <x v="10"/>
    <x v="5"/>
    <x v="3"/>
    <n v="31.6"/>
    <n v="656.8"/>
    <n v="983000"/>
    <b v="0"/>
    <b v="0"/>
    <n v="1000"/>
    <b v="0"/>
    <b v="0"/>
    <b v="0"/>
    <x v="0"/>
    <x v="27"/>
    <n v="65.679999999999993"/>
    <n v="0"/>
    <n v="0"/>
    <n v="1"/>
    <x v="4"/>
    <m/>
  </r>
  <r>
    <x v="991"/>
    <d v="2026-06-08T00:00:00"/>
    <d v="2026-06-09T00:00:00"/>
    <d v="2026-06-13T00:00:00"/>
    <d v="2026-06-13T00:00:00"/>
    <x v="0"/>
    <x v="4"/>
    <x v="0"/>
    <x v="1"/>
    <n v="608"/>
    <n v="1512"/>
    <n v="8891000"/>
    <b v="0"/>
    <b v="0"/>
    <n v="5000"/>
    <b v="0"/>
    <b v="0"/>
    <b v="0"/>
    <x v="0"/>
    <x v="30"/>
    <n v="30.24"/>
    <n v="0"/>
    <n v="0"/>
    <n v="4"/>
    <x v="1"/>
    <m/>
  </r>
  <r>
    <x v="992"/>
    <d v="2026-03-25T00:00:00"/>
    <d v="2026-03-26T00:00:00"/>
    <d v="2026-03-28T00:00:00"/>
    <d v="2026-03-29T00:00:00"/>
    <x v="2"/>
    <x v="5"/>
    <x v="2"/>
    <x v="2"/>
    <n v="296.5"/>
    <n v="14667.3"/>
    <n v="10617000"/>
    <b v="0"/>
    <b v="0"/>
    <n v="16000"/>
    <b v="0"/>
    <b v="0"/>
    <b v="0"/>
    <x v="1"/>
    <x v="17"/>
    <n v="91.670625000000001"/>
    <n v="0"/>
    <n v="0"/>
    <n v="3"/>
    <x v="6"/>
    <n v="1"/>
  </r>
  <r>
    <x v="993"/>
    <d v="2026-05-10T00:00:00"/>
    <d v="2026-05-10T00:00:00"/>
    <d v="2026-05-12T00:00:00"/>
    <d v="2026-05-12T00:00:00"/>
    <x v="0"/>
    <x v="6"/>
    <x v="5"/>
    <x v="1"/>
    <n v="22.7"/>
    <n v="3391.3"/>
    <n v="2333000"/>
    <b v="0"/>
    <b v="0"/>
    <n v="5000"/>
    <b v="0"/>
    <b v="0"/>
    <b v="0"/>
    <x v="0"/>
    <x v="19"/>
    <n v="67.826000000000008"/>
    <n v="0"/>
    <n v="0"/>
    <n v="2"/>
    <x v="2"/>
    <m/>
  </r>
  <r>
    <x v="994"/>
    <d v="2026-06-01T00:00:00"/>
    <d v="2026-06-02T00:00:00"/>
    <d v="2026-06-06T00:00:00"/>
    <d v="2026-06-06T00:00:00"/>
    <x v="2"/>
    <x v="4"/>
    <x v="4"/>
    <x v="0"/>
    <n v="701"/>
    <n v="262.89999999999998"/>
    <n v="7481000"/>
    <b v="0"/>
    <b v="0"/>
    <n v="1500"/>
    <b v="0"/>
    <b v="0"/>
    <b v="0"/>
    <x v="0"/>
    <x v="4"/>
    <n v="17.52666666666666"/>
    <n v="0"/>
    <n v="0"/>
    <n v="4"/>
    <x v="1"/>
    <m/>
  </r>
  <r>
    <x v="995"/>
    <d v="2026-04-05T00:00:00"/>
    <d v="2026-04-06T00:00:00"/>
    <d v="2026-04-10T00:00:00"/>
    <d v="2026-04-11T00:00:00"/>
    <x v="1"/>
    <x v="3"/>
    <x v="0"/>
    <x v="1"/>
    <n v="908.7"/>
    <n v="1771.5"/>
    <n v="12635000"/>
    <b v="0"/>
    <b v="0"/>
    <n v="5000"/>
    <b v="0"/>
    <b v="0"/>
    <b v="0"/>
    <x v="1"/>
    <x v="35"/>
    <n v="35.43"/>
    <n v="0"/>
    <n v="0"/>
    <n v="5"/>
    <x v="4"/>
    <n v="1"/>
  </r>
  <r>
    <x v="996"/>
    <d v="2026-04-11T00:00:00"/>
    <d v="2026-04-12T00:00:00"/>
    <d v="2026-04-14T00:00:00"/>
    <d v="2026-04-14T00:00:00"/>
    <x v="2"/>
    <x v="7"/>
    <x v="0"/>
    <x v="3"/>
    <n v="179"/>
    <n v="166.6"/>
    <n v="2037000"/>
    <b v="0"/>
    <b v="0"/>
    <n v="1000"/>
    <b v="0"/>
    <b v="0"/>
    <b v="0"/>
    <x v="0"/>
    <x v="10"/>
    <n v="16.66"/>
    <n v="0"/>
    <n v="0"/>
    <n v="2"/>
    <x v="4"/>
    <m/>
  </r>
  <r>
    <x v="997"/>
    <d v="2026-02-22T00:00:00"/>
    <d v="2026-02-23T00:00:00"/>
    <d v="2026-02-24T00:00:00"/>
    <d v="2026-02-25T00:00:00"/>
    <x v="2"/>
    <x v="8"/>
    <x v="5"/>
    <x v="1"/>
    <n v="20.8"/>
    <n v="3136.4"/>
    <n v="1968000"/>
    <b v="0"/>
    <b v="0"/>
    <n v="5000"/>
    <b v="0"/>
    <b v="0"/>
    <b v="0"/>
    <x v="1"/>
    <x v="18"/>
    <n v="62.728000000000009"/>
    <n v="0"/>
    <n v="0"/>
    <n v="2"/>
    <x v="5"/>
    <n v="1"/>
  </r>
  <r>
    <x v="998"/>
    <d v="2026-05-07T00:00:00"/>
    <d v="2026-05-08T00:00:00"/>
    <d v="2026-05-12T00:00:00"/>
    <d v="2026-05-13T00:00:00"/>
    <x v="3"/>
    <x v="7"/>
    <x v="5"/>
    <x v="1"/>
    <n v="703.9"/>
    <n v="4183.8"/>
    <n v="9653000"/>
    <b v="0"/>
    <b v="0"/>
    <n v="5000"/>
    <b v="0"/>
    <b v="0"/>
    <b v="0"/>
    <x v="1"/>
    <x v="40"/>
    <n v="83.676000000000002"/>
    <n v="0"/>
    <n v="0"/>
    <n v="5"/>
    <x v="2"/>
    <n v="1"/>
  </r>
  <r>
    <x v="999"/>
    <d v="2026-04-25T00:00:00"/>
    <d v="2026-04-26T00:00:00"/>
    <d v="2026-04-29T00:00:00"/>
    <d v="2026-04-30T00:00:00"/>
    <x v="0"/>
    <x v="11"/>
    <x v="1"/>
    <x v="1"/>
    <n v="490.7"/>
    <n v="1502.8"/>
    <n v="7379000"/>
    <b v="0"/>
    <b v="0"/>
    <n v="5000"/>
    <b v="0"/>
    <b v="0"/>
    <b v="0"/>
    <x v="1"/>
    <x v="36"/>
    <n v="30.056000000000001"/>
    <n v="0"/>
    <n v="0"/>
    <n v="4"/>
    <x v="4"/>
    <n v="1"/>
  </r>
  <r>
    <x v="1000"/>
    <d v="2026-05-26T00:00:00"/>
    <d v="2026-05-26T00:00:00"/>
    <d v="2026-05-30T00:00:00"/>
    <d v="2026-05-30T00:00:00"/>
    <x v="3"/>
    <x v="3"/>
    <x v="3"/>
    <x v="1"/>
    <n v="1400.9"/>
    <n v="1695.2"/>
    <n v="18776000"/>
    <b v="0"/>
    <b v="0"/>
    <n v="5000"/>
    <b v="0"/>
    <b v="0"/>
    <b v="0"/>
    <x v="0"/>
    <x v="43"/>
    <n v="33.904000000000003"/>
    <n v="0"/>
    <n v="0"/>
    <n v="4"/>
    <x v="2"/>
    <m/>
  </r>
  <r>
    <x v="1001"/>
    <d v="2026-05-15T00:00:00"/>
    <d v="2026-05-16T00:00:00"/>
    <d v="2026-05-19T00:00:00"/>
    <d v="2026-05-19T00:00:00"/>
    <x v="1"/>
    <x v="9"/>
    <x v="2"/>
    <x v="0"/>
    <n v="434.8"/>
    <n v="443.3"/>
    <n v="4918000"/>
    <b v="0"/>
    <b v="0"/>
    <n v="1500"/>
    <b v="0"/>
    <b v="0"/>
    <b v="0"/>
    <x v="0"/>
    <x v="24"/>
    <n v="29.553333333333331"/>
    <n v="0"/>
    <n v="0"/>
    <n v="3"/>
    <x v="2"/>
    <m/>
  </r>
  <r>
    <x v="1002"/>
    <d v="2026-02-18T00:00:00"/>
    <d v="2026-02-19T00:00:00"/>
    <d v="2026-02-21T00:00:00"/>
    <d v="2026-02-23T00:00:00"/>
    <x v="3"/>
    <x v="2"/>
    <x v="5"/>
    <x v="1"/>
    <n v="289.5"/>
    <n v="3942.5"/>
    <n v="5942000"/>
    <b v="0"/>
    <b v="0"/>
    <n v="5000"/>
    <b v="0"/>
    <b v="0"/>
    <b v="0"/>
    <x v="1"/>
    <x v="14"/>
    <n v="78.849999999999994"/>
    <n v="0"/>
    <n v="0"/>
    <n v="4"/>
    <x v="5"/>
    <n v="2"/>
  </r>
  <r>
    <x v="1003"/>
    <d v="2026-01-28T00:00:00"/>
    <d v="2026-01-29T00:00:00"/>
    <d v="2026-02-01T00:00:00"/>
    <d v="2026-02-01T00:00:00"/>
    <x v="1"/>
    <x v="1"/>
    <x v="3"/>
    <x v="1"/>
    <n v="318.2"/>
    <n v="2936.8"/>
    <n v="6170000"/>
    <b v="0"/>
    <b v="0"/>
    <n v="5000"/>
    <b v="0"/>
    <b v="0"/>
    <b v="0"/>
    <x v="0"/>
    <x v="25"/>
    <n v="58.735999999999997"/>
    <n v="0"/>
    <n v="0"/>
    <n v="3"/>
    <x v="3"/>
    <m/>
  </r>
  <r>
    <x v="1004"/>
    <d v="2026-02-21T00:00:00"/>
    <d v="2026-02-22T00:00:00"/>
    <d v="2026-02-25T00:00:00"/>
    <d v="2026-02-27T00:00:00"/>
    <x v="1"/>
    <x v="9"/>
    <x v="2"/>
    <x v="1"/>
    <n v="405.9"/>
    <n v="555.29999999999995"/>
    <n v="6392000"/>
    <b v="0"/>
    <b v="0"/>
    <n v="5000"/>
    <b v="0"/>
    <b v="0"/>
    <b v="0"/>
    <x v="1"/>
    <x v="24"/>
    <n v="11.106"/>
    <n v="0"/>
    <n v="0"/>
    <n v="5"/>
    <x v="5"/>
    <n v="2"/>
  </r>
  <r>
    <x v="1005"/>
    <d v="2026-01-21T00:00:00"/>
    <d v="2026-01-22T00:00:00"/>
    <d v="2026-01-26T00:00:00"/>
    <d v="2026-01-28T00:00:00"/>
    <x v="1"/>
    <x v="4"/>
    <x v="2"/>
    <x v="2"/>
    <n v="740.2"/>
    <n v="11627"/>
    <n v="16487000"/>
    <b v="0"/>
    <b v="0"/>
    <n v="16000"/>
    <b v="0"/>
    <b v="0"/>
    <b v="0"/>
    <x v="1"/>
    <x v="38"/>
    <n v="72.668750000000003"/>
    <n v="0"/>
    <n v="0"/>
    <n v="6"/>
    <x v="3"/>
    <n v="2"/>
  </r>
  <r>
    <x v="1006"/>
    <d v="2026-01-03T00:00:00"/>
    <d v="2026-01-04T00:00:00"/>
    <d v="2026-01-07T00:00:00"/>
    <d v="2026-01-07T00:00:00"/>
    <x v="0"/>
    <x v="0"/>
    <x v="1"/>
    <x v="0"/>
    <n v="323.10000000000002"/>
    <n v="374.6"/>
    <n v="4322000"/>
    <b v="0"/>
    <b v="0"/>
    <n v="1500"/>
    <b v="0"/>
    <b v="0"/>
    <b v="0"/>
    <x v="0"/>
    <x v="0"/>
    <n v="24.973333333333329"/>
    <n v="0"/>
    <n v="0"/>
    <n v="3"/>
    <x v="3"/>
    <m/>
  </r>
  <r>
    <x v="1007"/>
    <d v="2026-03-04T00:00:00"/>
    <d v="2026-03-05T00:00:00"/>
    <d v="2026-03-08T00:00:00"/>
    <d v="2026-03-08T00:00:00"/>
    <x v="2"/>
    <x v="2"/>
    <x v="3"/>
    <x v="0"/>
    <n v="319.2"/>
    <n v="1014.5"/>
    <n v="4117000"/>
    <b v="0"/>
    <b v="0"/>
    <n v="1500"/>
    <b v="0"/>
    <b v="0"/>
    <b v="0"/>
    <x v="0"/>
    <x v="29"/>
    <n v="67.63333333333334"/>
    <n v="0"/>
    <n v="0"/>
    <n v="3"/>
    <x v="6"/>
    <m/>
  </r>
  <r>
    <x v="1008"/>
    <d v="2026-01-12T00:00:00"/>
    <d v="2026-01-12T00:00:00"/>
    <d v="2026-01-14T00:00:00"/>
    <d v="2026-01-14T00:00:00"/>
    <x v="0"/>
    <x v="10"/>
    <x v="0"/>
    <x v="2"/>
    <n v="136.9"/>
    <n v="5715"/>
    <n v="4620000"/>
    <b v="0"/>
    <b v="0"/>
    <n v="16000"/>
    <b v="0"/>
    <b v="0"/>
    <b v="0"/>
    <x v="0"/>
    <x v="42"/>
    <n v="35.71875"/>
    <n v="0"/>
    <n v="0"/>
    <n v="2"/>
    <x v="3"/>
    <m/>
  </r>
  <r>
    <x v="1009"/>
    <d v="2026-06-05T00:00:00"/>
    <d v="2026-06-06T00:00:00"/>
    <d v="2026-06-09T00:00:00"/>
    <d v="2026-06-09T00:00:00"/>
    <x v="2"/>
    <x v="11"/>
    <x v="3"/>
    <x v="0"/>
    <n v="569.5"/>
    <n v="774.6"/>
    <n v="6067000"/>
    <b v="0"/>
    <b v="0"/>
    <n v="1500"/>
    <b v="0"/>
    <b v="0"/>
    <b v="0"/>
    <x v="0"/>
    <x v="41"/>
    <n v="51.64"/>
    <n v="0"/>
    <n v="0"/>
    <n v="3"/>
    <x v="1"/>
    <m/>
  </r>
  <r>
    <x v="1010"/>
    <d v="2026-01-07T00:00:00"/>
    <d v="2026-01-09T00:00:00"/>
    <d v="2026-01-10T00:00:00"/>
    <d v="2026-01-10T00:00:00"/>
    <x v="0"/>
    <x v="6"/>
    <x v="2"/>
    <x v="1"/>
    <n v="26"/>
    <n v="2864.8"/>
    <n v="1866000"/>
    <b v="0"/>
    <b v="0"/>
    <n v="5000"/>
    <b v="0"/>
    <b v="0"/>
    <b v="0"/>
    <x v="0"/>
    <x v="19"/>
    <n v="57.295999999999999"/>
    <n v="0"/>
    <n v="0"/>
    <n v="1"/>
    <x v="3"/>
    <m/>
  </r>
  <r>
    <x v="1011"/>
    <d v="2026-03-13T00:00:00"/>
    <d v="2026-03-14T00:00:00"/>
    <d v="2026-03-15T00:00:00"/>
    <d v="2026-03-16T00:00:00"/>
    <x v="1"/>
    <x v="8"/>
    <x v="5"/>
    <x v="2"/>
    <n v="52.8"/>
    <n v="12613.3"/>
    <n v="6476000"/>
    <b v="0"/>
    <b v="0"/>
    <n v="16000"/>
    <b v="0"/>
    <b v="0"/>
    <b v="0"/>
    <x v="1"/>
    <x v="28"/>
    <n v="78.833124999999995"/>
    <n v="0"/>
    <n v="0"/>
    <n v="2"/>
    <x v="6"/>
    <n v="1"/>
  </r>
  <r>
    <x v="1012"/>
    <d v="2026-01-26T00:00:00"/>
    <d v="2026-01-27T00:00:00"/>
    <d v="2026-01-31T00:00:00"/>
    <d v="2026-01-31T00:00:00"/>
    <x v="3"/>
    <x v="10"/>
    <x v="1"/>
    <x v="0"/>
    <n v="638"/>
    <n v="491"/>
    <n v="6380000"/>
    <b v="0"/>
    <b v="0"/>
    <n v="1500"/>
    <b v="0"/>
    <b v="0"/>
    <b v="0"/>
    <x v="0"/>
    <x v="32"/>
    <n v="32.733333333333327"/>
    <n v="0"/>
    <n v="0"/>
    <n v="4"/>
    <x v="3"/>
    <m/>
  </r>
  <r>
    <x v="1013"/>
    <d v="2026-04-14T00:00:00"/>
    <d v="2026-04-15T00:00:00"/>
    <d v="2026-04-19T00:00:00"/>
    <d v="2026-04-19T00:00:00"/>
    <x v="0"/>
    <x v="3"/>
    <x v="2"/>
    <x v="0"/>
    <n v="1083.3"/>
    <n v="208"/>
    <n v="10304000"/>
    <b v="0"/>
    <b v="0"/>
    <n v="1500"/>
    <b v="0"/>
    <b v="0"/>
    <b v="0"/>
    <x v="0"/>
    <x v="47"/>
    <n v="13.866666666666671"/>
    <n v="0"/>
    <n v="0"/>
    <n v="4"/>
    <x v="4"/>
    <m/>
  </r>
  <r>
    <x v="1014"/>
    <d v="2026-05-14T00:00:00"/>
    <d v="2026-05-15T00:00:00"/>
    <d v="2026-05-18T00:00:00"/>
    <d v="2026-05-19T00:00:00"/>
    <x v="2"/>
    <x v="2"/>
    <x v="0"/>
    <x v="2"/>
    <n v="303.8"/>
    <n v="6576.2"/>
    <n v="8958000"/>
    <b v="0"/>
    <b v="0"/>
    <n v="16000"/>
    <b v="0"/>
    <b v="0"/>
    <b v="0"/>
    <x v="1"/>
    <x v="29"/>
    <n v="41.10125"/>
    <n v="0"/>
    <n v="0"/>
    <n v="4"/>
    <x v="2"/>
    <n v="1"/>
  </r>
  <r>
    <x v="1015"/>
    <d v="2026-04-25T00:00:00"/>
    <d v="2026-04-25T00:00:00"/>
    <d v="2026-04-29T00:00:00"/>
    <d v="2026-05-01T00:00:00"/>
    <x v="1"/>
    <x v="3"/>
    <x v="1"/>
    <x v="2"/>
    <n v="955.6"/>
    <n v="3055.1"/>
    <n v="21412000"/>
    <b v="0"/>
    <b v="0"/>
    <n v="16000"/>
    <b v="0"/>
    <b v="0"/>
    <b v="0"/>
    <x v="1"/>
    <x v="35"/>
    <n v="19.094374999999999"/>
    <n v="0"/>
    <n v="0"/>
    <n v="6"/>
    <x v="4"/>
    <n v="2"/>
  </r>
  <r>
    <x v="1016"/>
    <d v="2026-04-26T00:00:00"/>
    <d v="2026-04-26T00:00:00"/>
    <d v="2026-04-28T00:00:00"/>
    <d v="2026-04-28T00:00:00"/>
    <x v="0"/>
    <x v="5"/>
    <x v="5"/>
    <x v="0"/>
    <n v="210.2"/>
    <n v="965"/>
    <n v="2839000"/>
    <b v="0"/>
    <b v="0"/>
    <n v="1500"/>
    <b v="0"/>
    <b v="0"/>
    <b v="0"/>
    <x v="0"/>
    <x v="8"/>
    <n v="64.333333333333329"/>
    <n v="0"/>
    <n v="0"/>
    <n v="2"/>
    <x v="4"/>
    <m/>
  </r>
  <r>
    <x v="1017"/>
    <d v="2026-01-27T00:00:00"/>
    <d v="2026-01-28T00:00:00"/>
    <d v="2026-01-30T00:00:00"/>
    <d v="2026-01-31T00:00:00"/>
    <x v="2"/>
    <x v="5"/>
    <x v="5"/>
    <x v="0"/>
    <n v="297.2"/>
    <n v="166.7"/>
    <n v="3181000"/>
    <b v="0"/>
    <b v="0"/>
    <n v="1500"/>
    <b v="0"/>
    <b v="0"/>
    <b v="0"/>
    <x v="1"/>
    <x v="17"/>
    <n v="11.11333333333333"/>
    <n v="0"/>
    <n v="0"/>
    <n v="3"/>
    <x v="3"/>
    <n v="1"/>
  </r>
  <r>
    <x v="1018"/>
    <d v="2026-05-12T00:00:00"/>
    <d v="2026-05-13T00:00:00"/>
    <d v="2026-05-15T00:00:00"/>
    <d v="2026-05-14T00:00:00"/>
    <x v="0"/>
    <x v="2"/>
    <x v="3"/>
    <x v="1"/>
    <n v="183.6"/>
    <n v="2544"/>
    <n v="3976000"/>
    <b v="0"/>
    <b v="0"/>
    <n v="5000"/>
    <b v="0"/>
    <b v="0"/>
    <b v="0"/>
    <x v="0"/>
    <x v="23"/>
    <n v="50.88"/>
    <n v="0"/>
    <n v="0"/>
    <n v="1"/>
    <x v="2"/>
    <m/>
  </r>
  <r>
    <x v="1019"/>
    <d v="2026-02-01T00:00:00"/>
    <d v="2026-02-01T00:00:00"/>
    <d v="2026-02-05T00:00:00"/>
    <d v="2026-02-05T00:00:00"/>
    <x v="3"/>
    <x v="0"/>
    <x v="1"/>
    <x v="1"/>
    <n v="637.4"/>
    <n v="4425.5"/>
    <n v="9286000"/>
    <b v="0"/>
    <b v="0"/>
    <n v="5000"/>
    <b v="0"/>
    <b v="0"/>
    <b v="0"/>
    <x v="0"/>
    <x v="11"/>
    <n v="88.51"/>
    <n v="0"/>
    <n v="0"/>
    <n v="4"/>
    <x v="5"/>
    <m/>
  </r>
  <r>
    <x v="1020"/>
    <d v="2026-03-31T00:00:00"/>
    <d v="2026-04-01T00:00:00"/>
    <d v="2026-04-03T00:00:00"/>
    <d v="2026-04-03T00:00:00"/>
    <x v="1"/>
    <x v="6"/>
    <x v="5"/>
    <x v="1"/>
    <n v="167"/>
    <n v="3105.6"/>
    <n v="4252000"/>
    <b v="0"/>
    <b v="0"/>
    <n v="5000"/>
    <b v="0"/>
    <b v="0"/>
    <b v="0"/>
    <x v="0"/>
    <x v="9"/>
    <n v="62.112000000000002"/>
    <n v="0"/>
    <n v="0"/>
    <n v="2"/>
    <x v="4"/>
    <m/>
  </r>
  <r>
    <x v="1021"/>
    <d v="2026-03-30T00:00:00"/>
    <d v="2026-03-30T00:00:00"/>
    <d v="2026-04-01T00:00:00"/>
    <d v="2026-04-01T00:00:00"/>
    <x v="1"/>
    <x v="10"/>
    <x v="0"/>
    <x v="0"/>
    <n v="22.4"/>
    <n v="331.1"/>
    <n v="835000"/>
    <b v="0"/>
    <b v="0"/>
    <n v="1500"/>
    <b v="0"/>
    <b v="0"/>
    <b v="0"/>
    <x v="0"/>
    <x v="27"/>
    <n v="22.073333333333331"/>
    <n v="0"/>
    <n v="0"/>
    <n v="2"/>
    <x v="6"/>
    <m/>
  </r>
  <r>
    <x v="1022"/>
    <d v="2026-02-20T00:00:00"/>
    <d v="2026-02-22T00:00:00"/>
    <d v="2026-02-26T00:00:00"/>
    <d v="2026-02-27T00:00:00"/>
    <x v="3"/>
    <x v="9"/>
    <x v="5"/>
    <x v="1"/>
    <n v="950.2"/>
    <n v="4439.3"/>
    <n v="14494000"/>
    <b v="0"/>
    <b v="0"/>
    <n v="5000"/>
    <b v="0"/>
    <b v="0"/>
    <b v="0"/>
    <x v="1"/>
    <x v="31"/>
    <n v="88.786000000000001"/>
    <n v="0"/>
    <n v="0"/>
    <n v="5"/>
    <x v="5"/>
    <n v="1"/>
  </r>
  <r>
    <x v="1023"/>
    <d v="2026-01-17T00:00:00"/>
    <d v="2026-01-18T00:00:00"/>
    <d v="2026-01-21T00:00:00"/>
    <d v="2026-01-21T00:00:00"/>
    <x v="0"/>
    <x v="9"/>
    <x v="3"/>
    <x v="1"/>
    <n v="532.4"/>
    <n v="2637.5"/>
    <n v="9947000"/>
    <b v="0"/>
    <b v="0"/>
    <n v="5000"/>
    <b v="0"/>
    <b v="0"/>
    <b v="0"/>
    <x v="0"/>
    <x v="44"/>
    <n v="52.75"/>
    <n v="0"/>
    <n v="0"/>
    <n v="3"/>
    <x v="3"/>
    <m/>
  </r>
  <r>
    <x v="1024"/>
    <d v="2026-02-15T00:00:00"/>
    <d v="2026-02-16T00:00:00"/>
    <d v="2026-02-19T00:00:00"/>
    <d v="2026-02-21T00:00:00"/>
    <x v="0"/>
    <x v="11"/>
    <x v="2"/>
    <x v="1"/>
    <n v="462.1"/>
    <n v="4402.7"/>
    <n v="8391000"/>
    <b v="0"/>
    <b v="0"/>
    <n v="5000"/>
    <b v="0"/>
    <b v="0"/>
    <b v="0"/>
    <x v="1"/>
    <x v="36"/>
    <n v="88.054000000000002"/>
    <n v="0"/>
    <n v="0"/>
    <n v="5"/>
    <x v="5"/>
    <n v="2"/>
  </r>
  <r>
    <x v="1025"/>
    <d v="2026-04-02T00:00:00"/>
    <d v="2026-04-03T00:00:00"/>
    <d v="2026-04-06T00:00:00"/>
    <d v="2026-04-06T00:00:00"/>
    <x v="0"/>
    <x v="4"/>
    <x v="2"/>
    <x v="1"/>
    <n v="588.1"/>
    <n v="3325.4"/>
    <n v="8754000"/>
    <b v="0"/>
    <b v="0"/>
    <n v="5000"/>
    <b v="0"/>
    <b v="0"/>
    <b v="0"/>
    <x v="0"/>
    <x v="30"/>
    <n v="66.507999999999996"/>
    <n v="0"/>
    <n v="0"/>
    <n v="3"/>
    <x v="4"/>
    <m/>
  </r>
  <r>
    <x v="1026"/>
    <d v="2026-01-23T00:00:00"/>
    <d v="2026-01-24T00:00:00"/>
    <d v="2026-01-26T00:00:00"/>
    <d v="2026-01-27T00:00:00"/>
    <x v="1"/>
    <x v="7"/>
    <x v="2"/>
    <x v="1"/>
    <n v="164.8"/>
    <n v="3357.8"/>
    <n v="4101000"/>
    <b v="0"/>
    <b v="0"/>
    <n v="5000"/>
    <b v="0"/>
    <b v="0"/>
    <b v="0"/>
    <x v="1"/>
    <x v="26"/>
    <n v="67.156000000000006"/>
    <n v="0"/>
    <n v="0"/>
    <n v="3"/>
    <x v="3"/>
    <n v="1"/>
  </r>
  <r>
    <x v="1027"/>
    <d v="2026-02-18T00:00:00"/>
    <d v="2026-02-18T00:00:00"/>
    <d v="2026-02-22T00:00:00"/>
    <d v="2026-02-23T00:00:00"/>
    <x v="2"/>
    <x v="11"/>
    <x v="5"/>
    <x v="1"/>
    <n v="601.9"/>
    <n v="3476.7"/>
    <n v="11612000"/>
    <b v="0"/>
    <b v="0"/>
    <n v="5000"/>
    <b v="0"/>
    <b v="0"/>
    <b v="0"/>
    <x v="1"/>
    <x v="41"/>
    <n v="69.533999999999992"/>
    <n v="0"/>
    <n v="0"/>
    <n v="5"/>
    <x v="5"/>
    <n v="1"/>
  </r>
  <r>
    <x v="1028"/>
    <d v="2026-01-07T00:00:00"/>
    <d v="2026-01-09T00:00:00"/>
    <d v="2026-01-12T00:00:00"/>
    <d v="2026-01-12T00:00:00"/>
    <x v="2"/>
    <x v="7"/>
    <x v="3"/>
    <x v="2"/>
    <n v="200.1"/>
    <n v="2566.5"/>
    <n v="5137000"/>
    <b v="0"/>
    <b v="0"/>
    <n v="16000"/>
    <b v="0"/>
    <b v="0"/>
    <b v="0"/>
    <x v="0"/>
    <x v="10"/>
    <n v="16.040624999999999"/>
    <n v="0"/>
    <n v="0"/>
    <n v="3"/>
    <x v="3"/>
    <m/>
  </r>
  <r>
    <x v="1029"/>
    <d v="2026-02-27T00:00:00"/>
    <d v="2026-02-28T00:00:00"/>
    <d v="2026-03-03T00:00:00"/>
    <d v="2026-03-04T00:00:00"/>
    <x v="2"/>
    <x v="9"/>
    <x v="2"/>
    <x v="1"/>
    <n v="523.29999999999995"/>
    <n v="2252.8000000000002"/>
    <n v="6775000"/>
    <b v="0"/>
    <b v="0"/>
    <n v="5000"/>
    <b v="0"/>
    <b v="0"/>
    <b v="0"/>
    <x v="1"/>
    <x v="20"/>
    <n v="45.055999999999997"/>
    <n v="0"/>
    <n v="0"/>
    <n v="4"/>
    <x v="5"/>
    <n v="1"/>
  </r>
  <r>
    <x v="1030"/>
    <d v="2026-05-29T00:00:00"/>
    <d v="2026-05-30T00:00:00"/>
    <d v="2026-06-02T00:00:00"/>
    <d v="2026-06-01T00:00:00"/>
    <x v="1"/>
    <x v="1"/>
    <x v="0"/>
    <x v="1"/>
    <m/>
    <n v="2359.8000000000002"/>
    <n v="7389000"/>
    <b v="0"/>
    <b v="1"/>
    <n v="5000"/>
    <b v="0"/>
    <b v="0"/>
    <b v="1"/>
    <x v="0"/>
    <x v="25"/>
    <n v="47.196000000000012"/>
    <n v="0"/>
    <n v="1"/>
    <n v="2"/>
    <x v="2"/>
    <m/>
  </r>
  <r>
    <x v="1031"/>
    <d v="2026-03-29T00:00:00"/>
    <d v="2026-03-30T00:00:00"/>
    <d v="2026-04-01T00:00:00"/>
    <d v="2026-04-02T00:00:00"/>
    <x v="2"/>
    <x v="7"/>
    <x v="1"/>
    <x v="2"/>
    <n v="166.9"/>
    <n v="4250"/>
    <n v="4534000"/>
    <b v="0"/>
    <b v="0"/>
    <n v="16000"/>
    <b v="0"/>
    <b v="0"/>
    <b v="0"/>
    <x v="1"/>
    <x v="10"/>
    <n v="26.5625"/>
    <n v="0"/>
    <n v="0"/>
    <n v="3"/>
    <x v="6"/>
    <n v="1"/>
  </r>
  <r>
    <x v="1032"/>
    <d v="2026-04-12T00:00:00"/>
    <d v="2026-04-13T00:00:00"/>
    <d v="2026-04-14T00:00:00"/>
    <d v="2026-04-14T00:00:00"/>
    <x v="1"/>
    <x v="10"/>
    <x v="5"/>
    <x v="1"/>
    <n v="19.5"/>
    <n v="3876.7"/>
    <n v="2512000"/>
    <b v="0"/>
    <b v="0"/>
    <n v="5000"/>
    <b v="0"/>
    <b v="0"/>
    <b v="0"/>
    <x v="0"/>
    <x v="27"/>
    <n v="77.533999999999992"/>
    <n v="0"/>
    <n v="0"/>
    <n v="1"/>
    <x v="4"/>
    <m/>
  </r>
  <r>
    <x v="1033"/>
    <d v="2026-06-19T00:00:00"/>
    <d v="2026-06-20T00:00:00"/>
    <d v="2026-06-23T00:00:00"/>
    <d v="2026-06-23T00:00:00"/>
    <x v="0"/>
    <x v="9"/>
    <x v="2"/>
    <x v="1"/>
    <n v="524.5"/>
    <n v="1281"/>
    <n v="7146000"/>
    <b v="0"/>
    <b v="0"/>
    <n v="5000"/>
    <b v="0"/>
    <b v="0"/>
    <b v="0"/>
    <x v="0"/>
    <x v="44"/>
    <n v="25.62"/>
    <n v="0"/>
    <n v="0"/>
    <n v="3"/>
    <x v="1"/>
    <m/>
  </r>
  <r>
    <x v="1034"/>
    <d v="2026-06-17T00:00:00"/>
    <d v="2026-06-18T00:00:00"/>
    <d v="2026-06-20T00:00:00"/>
    <d v="2026-06-20T00:00:00"/>
    <x v="3"/>
    <x v="4"/>
    <x v="5"/>
    <x v="1"/>
    <n v="151.6"/>
    <n v="2098.5"/>
    <n v="3483000"/>
    <b v="0"/>
    <b v="0"/>
    <n v="5000"/>
    <b v="0"/>
    <b v="0"/>
    <b v="0"/>
    <x v="0"/>
    <x v="46"/>
    <n v="41.97"/>
    <n v="0"/>
    <n v="0"/>
    <n v="2"/>
    <x v="1"/>
    <m/>
  </r>
  <r>
    <x v="1035"/>
    <d v="2026-06-26T00:00:00"/>
    <d v="2026-06-27T00:00:00"/>
    <d v="2026-07-02T00:00:00"/>
    <d v="2026-07-02T00:00:00"/>
    <x v="1"/>
    <x v="3"/>
    <x v="3"/>
    <x v="0"/>
    <n v="911.4"/>
    <n v="408.6"/>
    <n v="8964000"/>
    <b v="0"/>
    <b v="0"/>
    <n v="1500"/>
    <b v="0"/>
    <b v="0"/>
    <b v="0"/>
    <x v="0"/>
    <x v="35"/>
    <n v="27.24"/>
    <n v="0"/>
    <n v="0"/>
    <n v="5"/>
    <x v="1"/>
    <m/>
  </r>
  <r>
    <x v="1036"/>
    <d v="2026-01-09T00:00:00"/>
    <d v="2026-01-10T00:00:00"/>
    <d v="2026-01-13T00:00:00"/>
    <d v="2026-01-14T00:00:00"/>
    <x v="2"/>
    <x v="5"/>
    <x v="2"/>
    <x v="1"/>
    <n v="319"/>
    <n v="1996"/>
    <n v="5990000"/>
    <b v="0"/>
    <b v="0"/>
    <n v="5000"/>
    <b v="0"/>
    <b v="0"/>
    <b v="0"/>
    <x v="1"/>
    <x v="17"/>
    <n v="39.92"/>
    <n v="0"/>
    <n v="0"/>
    <n v="4"/>
    <x v="3"/>
    <n v="1"/>
  </r>
  <r>
    <x v="1037"/>
    <d v="2026-03-21T00:00:00"/>
    <d v="2026-03-23T00:00:00"/>
    <d v="2026-03-26T00:00:00"/>
    <d v="2026-03-26T00:00:00"/>
    <x v="2"/>
    <x v="1"/>
    <x v="5"/>
    <x v="0"/>
    <n v="338.1"/>
    <n v="674.8"/>
    <n v="4175000"/>
    <b v="0"/>
    <b v="0"/>
    <n v="1500"/>
    <b v="0"/>
    <b v="0"/>
    <b v="0"/>
    <x v="0"/>
    <x v="16"/>
    <n v="44.986666666666657"/>
    <n v="0"/>
    <n v="0"/>
    <n v="3"/>
    <x v="6"/>
    <m/>
  </r>
  <r>
    <x v="1038"/>
    <d v="2026-06-30T00:00:00"/>
    <d v="2026-07-01T00:00:00"/>
    <d v="2026-07-03T00:00:00"/>
    <d v="2026-07-05T00:00:00"/>
    <x v="2"/>
    <x v="7"/>
    <x v="5"/>
    <x v="1"/>
    <n v="180.3"/>
    <n v="3329.9"/>
    <n v="4021000"/>
    <b v="0"/>
    <b v="0"/>
    <n v="5000"/>
    <b v="0"/>
    <b v="0"/>
    <b v="0"/>
    <x v="1"/>
    <x v="10"/>
    <n v="66.597999999999999"/>
    <n v="0"/>
    <n v="0"/>
    <n v="4"/>
    <x v="0"/>
    <n v="2"/>
  </r>
  <r>
    <x v="1039"/>
    <d v="2026-05-29T00:00:00"/>
    <d v="2026-05-31T00:00:00"/>
    <d v="2026-06-04T00:00:00"/>
    <d v="2026-06-04T00:00:00"/>
    <x v="1"/>
    <x v="4"/>
    <x v="1"/>
    <x v="0"/>
    <n v="745.1"/>
    <n v="1047.5999999999999"/>
    <n v="7327000"/>
    <b v="0"/>
    <b v="0"/>
    <n v="1500"/>
    <b v="0"/>
    <b v="0"/>
    <b v="0"/>
    <x v="0"/>
    <x v="38"/>
    <n v="69.839999999999989"/>
    <n v="0"/>
    <n v="0"/>
    <n v="4"/>
    <x v="2"/>
    <m/>
  </r>
  <r>
    <x v="1040"/>
    <d v="2026-02-28T00:00:00"/>
    <d v="2026-02-28T00:00:00"/>
    <d v="2026-03-04T00:00:00"/>
    <d v="2026-03-06T00:00:00"/>
    <x v="3"/>
    <x v="3"/>
    <x v="0"/>
    <x v="1"/>
    <n v="1541.6"/>
    <n v="4428.6000000000004"/>
    <n v="20830000"/>
    <b v="0"/>
    <b v="0"/>
    <n v="5000"/>
    <b v="0"/>
    <b v="0"/>
    <b v="0"/>
    <x v="1"/>
    <x v="43"/>
    <n v="88.572000000000003"/>
    <n v="0"/>
    <n v="0"/>
    <n v="6"/>
    <x v="5"/>
    <n v="2"/>
  </r>
  <r>
    <x v="1041"/>
    <d v="2026-05-22T00:00:00"/>
    <d v="2026-05-24T00:00:00"/>
    <d v="2026-05-27T00:00:00"/>
    <d v="2026-05-27T00:00:00"/>
    <x v="1"/>
    <x v="11"/>
    <x v="5"/>
    <x v="2"/>
    <n v="597.20000000000005"/>
    <n v="5447.8"/>
    <n v="12403000"/>
    <b v="0"/>
    <b v="0"/>
    <n v="16000"/>
    <b v="0"/>
    <b v="0"/>
    <b v="0"/>
    <x v="0"/>
    <x v="33"/>
    <n v="34.048749999999998"/>
    <n v="0"/>
    <n v="0"/>
    <n v="3"/>
    <x v="2"/>
    <m/>
  </r>
  <r>
    <x v="1042"/>
    <d v="2026-05-26T00:00:00"/>
    <d v="2026-05-27T00:00:00"/>
    <d v="2026-05-28T00:00:00"/>
    <d v="2026-05-28T00:00:00"/>
    <x v="1"/>
    <x v="10"/>
    <x v="0"/>
    <x v="1"/>
    <n v="22.5"/>
    <n v="1381.1"/>
    <n v="1519000"/>
    <b v="0"/>
    <b v="0"/>
    <n v="5000"/>
    <b v="0"/>
    <b v="0"/>
    <b v="0"/>
    <x v="0"/>
    <x v="27"/>
    <n v="27.622"/>
    <n v="0"/>
    <n v="0"/>
    <n v="1"/>
    <x v="2"/>
    <m/>
  </r>
  <r>
    <x v="1043"/>
    <d v="2026-05-22T00:00:00"/>
    <d v="2026-05-23T00:00:00"/>
    <d v="2026-05-26T00:00:00"/>
    <d v="2026-05-26T00:00:00"/>
    <x v="3"/>
    <x v="6"/>
    <x v="5"/>
    <x v="1"/>
    <n v="528.6"/>
    <n v="2691.2"/>
    <n v="8816000"/>
    <b v="0"/>
    <b v="0"/>
    <n v="5000"/>
    <b v="0"/>
    <b v="0"/>
    <b v="0"/>
    <x v="0"/>
    <x v="13"/>
    <n v="53.823999999999991"/>
    <n v="0"/>
    <n v="0"/>
    <n v="3"/>
    <x v="2"/>
    <m/>
  </r>
  <r>
    <x v="1044"/>
    <d v="2026-04-21T00:00:00"/>
    <d v="2026-04-22T00:00:00"/>
    <d v="2026-04-26T00:00:00"/>
    <d v="2026-04-26T00:00:00"/>
    <x v="2"/>
    <x v="4"/>
    <x v="2"/>
    <x v="1"/>
    <n v="680.9"/>
    <n v="3073.5"/>
    <n v="11188000"/>
    <b v="0"/>
    <b v="0"/>
    <n v="5000"/>
    <b v="0"/>
    <b v="0"/>
    <b v="0"/>
    <x v="0"/>
    <x v="4"/>
    <n v="61.47"/>
    <n v="0"/>
    <n v="0"/>
    <n v="4"/>
    <x v="4"/>
    <m/>
  </r>
  <r>
    <x v="1045"/>
    <d v="2026-01-02T00:00:00"/>
    <d v="2026-01-03T00:00:00"/>
    <d v="2026-01-07T00:00:00"/>
    <d v="2026-01-07T00:00:00"/>
    <x v="1"/>
    <x v="4"/>
    <x v="1"/>
    <x v="1"/>
    <n v="748.7"/>
    <n v="2989.2"/>
    <n v="10638000"/>
    <b v="0"/>
    <b v="0"/>
    <n v="5000"/>
    <b v="0"/>
    <b v="0"/>
    <b v="0"/>
    <x v="0"/>
    <x v="38"/>
    <n v="59.783999999999992"/>
    <n v="0"/>
    <n v="0"/>
    <n v="4"/>
    <x v="3"/>
    <m/>
  </r>
  <r>
    <x v="1046"/>
    <d v="2026-01-19T00:00:00"/>
    <d v="2026-01-20T00:00:00"/>
    <d v="2026-01-24T00:00:00"/>
    <d v="2026-01-24T00:00:00"/>
    <x v="3"/>
    <x v="8"/>
    <x v="5"/>
    <x v="0"/>
    <n v="620.9"/>
    <n v="1061.3"/>
    <n v="7983000"/>
    <b v="0"/>
    <b v="0"/>
    <n v="1500"/>
    <b v="0"/>
    <b v="0"/>
    <b v="0"/>
    <x v="0"/>
    <x v="15"/>
    <n v="70.75333333333333"/>
    <n v="0"/>
    <n v="0"/>
    <n v="4"/>
    <x v="3"/>
    <m/>
  </r>
  <r>
    <x v="1047"/>
    <d v="2026-05-27T00:00:00"/>
    <d v="2026-05-27T00:00:00"/>
    <d v="2026-05-30T00:00:00"/>
    <d v="2026-05-31T00:00:00"/>
    <x v="0"/>
    <x v="11"/>
    <x v="3"/>
    <x v="3"/>
    <n v="451.2"/>
    <n v="886.7"/>
    <n v="4931000"/>
    <b v="0"/>
    <b v="0"/>
    <n v="1000"/>
    <b v="0"/>
    <b v="0"/>
    <b v="0"/>
    <x v="1"/>
    <x v="36"/>
    <n v="88.67"/>
    <n v="0"/>
    <n v="0"/>
    <n v="4"/>
    <x v="2"/>
    <n v="1"/>
  </r>
  <r>
    <x v="1048"/>
    <d v="2026-06-08T00:00:00"/>
    <d v="2026-06-08T00:00:00"/>
    <d v="2026-06-12T00:00:00"/>
    <d v="2026-06-12T00:00:00"/>
    <x v="3"/>
    <x v="3"/>
    <x v="1"/>
    <x v="0"/>
    <n v="1636.3"/>
    <n v="533.20000000000005"/>
    <n v="17573000"/>
    <b v="0"/>
    <b v="0"/>
    <n v="1500"/>
    <b v="0"/>
    <b v="0"/>
    <b v="0"/>
    <x v="0"/>
    <x v="43"/>
    <n v="35.546666666666667"/>
    <n v="0"/>
    <n v="0"/>
    <n v="4"/>
    <x v="1"/>
    <m/>
  </r>
  <r>
    <x v="1049"/>
    <d v="2026-05-30T00:00:00"/>
    <d v="2026-05-31T00:00:00"/>
    <d v="2026-06-04T00:00:00"/>
    <d v="2026-06-04T00:00:00"/>
    <x v="3"/>
    <x v="6"/>
    <x v="3"/>
    <x v="1"/>
    <n v="466.4"/>
    <n v="3595"/>
    <n v="7645000"/>
    <b v="0"/>
    <b v="0"/>
    <n v="5000"/>
    <b v="0"/>
    <b v="0"/>
    <b v="0"/>
    <x v="0"/>
    <x v="13"/>
    <n v="71.899999999999991"/>
    <n v="0"/>
    <n v="0"/>
    <n v="4"/>
    <x v="2"/>
    <m/>
  </r>
  <r>
    <x v="1050"/>
    <d v="2026-01-20T00:00:00"/>
    <d v="2026-01-21T00:00:00"/>
    <d v="2026-01-22T00:00:00"/>
    <d v="2026-01-22T00:00:00"/>
    <x v="1"/>
    <x v="8"/>
    <x v="3"/>
    <x v="0"/>
    <n v="57.5"/>
    <n v="791"/>
    <n v="1470000"/>
    <b v="0"/>
    <b v="0"/>
    <n v="1500"/>
    <b v="0"/>
    <b v="0"/>
    <b v="0"/>
    <x v="0"/>
    <x v="28"/>
    <n v="52.733333333333327"/>
    <n v="0"/>
    <n v="0"/>
    <n v="1"/>
    <x v="3"/>
    <m/>
  </r>
  <r>
    <x v="1051"/>
    <d v="2026-06-01T00:00:00"/>
    <d v="2026-06-01T00:00:00"/>
    <d v="2026-06-04T00:00:00"/>
    <d v="2026-06-04T00:00:00"/>
    <x v="3"/>
    <x v="6"/>
    <x v="2"/>
    <x v="1"/>
    <n v="444.9"/>
    <n v="4203.3999999999996"/>
    <n v="7707000"/>
    <b v="0"/>
    <b v="0"/>
    <n v="5000"/>
    <b v="0"/>
    <b v="0"/>
    <b v="0"/>
    <x v="0"/>
    <x v="13"/>
    <n v="84.067999999999984"/>
    <n v="0"/>
    <n v="0"/>
    <n v="3"/>
    <x v="1"/>
    <m/>
  </r>
  <r>
    <x v="1052"/>
    <d v="2026-01-26T00:00:00"/>
    <d v="2026-01-28T00:00:00"/>
    <d v="2026-01-29T00:00:00"/>
    <d v="2026-01-29T00:00:00"/>
    <x v="2"/>
    <x v="8"/>
    <x v="2"/>
    <x v="1"/>
    <n v="19.600000000000001"/>
    <n v="540.70000000000005"/>
    <n v="1219000"/>
    <b v="0"/>
    <b v="0"/>
    <n v="5000"/>
    <b v="0"/>
    <b v="0"/>
    <b v="0"/>
    <x v="0"/>
    <x v="18"/>
    <n v="10.814"/>
    <n v="0"/>
    <n v="0"/>
    <n v="1"/>
    <x v="3"/>
    <m/>
  </r>
  <r>
    <x v="1053"/>
    <d v="2026-05-09T00:00:00"/>
    <d v="2026-05-09T00:00:00"/>
    <d v="2026-05-11T00:00:00"/>
    <d v="2026-05-11T00:00:00"/>
    <x v="1"/>
    <x v="7"/>
    <x v="5"/>
    <x v="1"/>
    <n v="145"/>
    <n v="931"/>
    <n v="2585000"/>
    <b v="0"/>
    <b v="0"/>
    <n v="5000"/>
    <b v="0"/>
    <b v="0"/>
    <b v="0"/>
    <x v="0"/>
    <x v="26"/>
    <n v="18.62"/>
    <n v="0"/>
    <n v="0"/>
    <n v="2"/>
    <x v="2"/>
    <m/>
  </r>
  <r>
    <x v="1054"/>
    <d v="2026-04-11T00:00:00"/>
    <d v="2026-04-12T00:00:00"/>
    <d v="2026-04-14T00:00:00"/>
    <d v="2026-04-14T00:00:00"/>
    <x v="0"/>
    <x v="5"/>
    <x v="0"/>
    <x v="1"/>
    <n v="168.6"/>
    <n v="1965.6"/>
    <n v="3370000"/>
    <b v="0"/>
    <b v="0"/>
    <n v="5000"/>
    <b v="0"/>
    <b v="0"/>
    <b v="0"/>
    <x v="0"/>
    <x v="8"/>
    <n v="39.311999999999998"/>
    <n v="0"/>
    <n v="0"/>
    <n v="2"/>
    <x v="4"/>
    <m/>
  </r>
  <r>
    <x v="1055"/>
    <d v="2026-06-16T00:00:00"/>
    <d v="2026-06-17T00:00:00"/>
    <d v="2026-06-20T00:00:00"/>
    <d v="2026-06-20T00:00:00"/>
    <x v="2"/>
    <x v="9"/>
    <x v="5"/>
    <x v="1"/>
    <n v="507.1"/>
    <n v="517.79999999999995"/>
    <n v="6640000"/>
    <b v="0"/>
    <b v="0"/>
    <n v="5000"/>
    <b v="0"/>
    <b v="0"/>
    <b v="0"/>
    <x v="0"/>
    <x v="20"/>
    <n v="10.356"/>
    <n v="0"/>
    <n v="0"/>
    <n v="3"/>
    <x v="1"/>
    <m/>
  </r>
  <r>
    <x v="1056"/>
    <d v="2026-01-27T00:00:00"/>
    <d v="2026-01-28T00:00:00"/>
    <d v="2026-01-31T00:00:00"/>
    <m/>
    <x v="3"/>
    <x v="1"/>
    <x v="3"/>
    <x v="1"/>
    <n v="580.79999999999995"/>
    <n v="3583.4"/>
    <n v="9027000"/>
    <b v="0"/>
    <b v="0"/>
    <n v="5000"/>
    <b v="0"/>
    <b v="0"/>
    <b v="0"/>
    <x v="2"/>
    <x v="21"/>
    <n v="71.667999999999992"/>
    <n v="0"/>
    <n v="0"/>
    <m/>
    <x v="3"/>
    <m/>
  </r>
  <r>
    <x v="1057"/>
    <d v="2026-02-03T00:00:00"/>
    <d v="2026-02-03T00:00:00"/>
    <d v="2026-02-06T00:00:00"/>
    <d v="2026-02-08T00:00:00"/>
    <x v="0"/>
    <x v="9"/>
    <x v="5"/>
    <x v="2"/>
    <n v="550.1"/>
    <n v="9368.2000000000007"/>
    <n v="13360000"/>
    <b v="0"/>
    <b v="0"/>
    <n v="16000"/>
    <b v="0"/>
    <b v="0"/>
    <b v="0"/>
    <x v="1"/>
    <x v="44"/>
    <n v="58.551250000000003"/>
    <n v="0"/>
    <n v="0"/>
    <n v="5"/>
    <x v="5"/>
    <n v="2"/>
  </r>
  <r>
    <x v="1058"/>
    <d v="2026-01-28T00:00:00"/>
    <d v="2026-01-29T00:00:00"/>
    <d v="2026-02-03T00:00:00"/>
    <d v="2026-02-03T00:00:00"/>
    <x v="3"/>
    <x v="7"/>
    <x v="3"/>
    <x v="1"/>
    <n v="710.5"/>
    <n v="616.79999999999995"/>
    <n v="10428000"/>
    <b v="0"/>
    <b v="0"/>
    <n v="5000"/>
    <b v="0"/>
    <b v="0"/>
    <b v="0"/>
    <x v="0"/>
    <x v="40"/>
    <n v="12.336"/>
    <n v="0"/>
    <n v="0"/>
    <n v="5"/>
    <x v="3"/>
    <m/>
  </r>
  <r>
    <x v="1059"/>
    <d v="2026-01-20T00:00:00"/>
    <d v="2026-01-21T00:00:00"/>
    <d v="2026-01-25T00:00:00"/>
    <d v="2026-01-25T00:00:00"/>
    <x v="2"/>
    <x v="4"/>
    <x v="0"/>
    <x v="0"/>
    <n v="729.5"/>
    <n v="540.5"/>
    <n v="8187000"/>
    <b v="0"/>
    <b v="0"/>
    <n v="1500"/>
    <b v="0"/>
    <b v="0"/>
    <b v="0"/>
    <x v="0"/>
    <x v="4"/>
    <n v="36.033333333333331"/>
    <n v="0"/>
    <n v="0"/>
    <n v="4"/>
    <x v="3"/>
    <m/>
  </r>
  <r>
    <x v="1060"/>
    <d v="2026-04-25T00:00:00"/>
    <d v="2026-04-26T00:00:00"/>
    <d v="2026-04-27T00:00:00"/>
    <d v="2026-04-26T00:00:00"/>
    <x v="1"/>
    <x v="10"/>
    <x v="3"/>
    <x v="0"/>
    <n v="26.5"/>
    <n v="1092.8"/>
    <n v="1039000"/>
    <b v="0"/>
    <b v="0"/>
    <n v="1500"/>
    <b v="0"/>
    <b v="0"/>
    <b v="0"/>
    <x v="0"/>
    <x v="27"/>
    <n v="72.853333333333325"/>
    <n v="0"/>
    <n v="0"/>
    <n v="0"/>
    <x v="4"/>
    <m/>
  </r>
  <r>
    <x v="1061"/>
    <d v="2026-05-14T00:00:00"/>
    <d v="2026-05-15T00:00:00"/>
    <d v="2026-05-17T00:00:00"/>
    <d v="2026-05-17T00:00:00"/>
    <x v="0"/>
    <x v="8"/>
    <x v="5"/>
    <x v="1"/>
    <n v="130"/>
    <n v="4203.5"/>
    <n v="3269000"/>
    <b v="0"/>
    <b v="0"/>
    <n v="5000"/>
    <b v="0"/>
    <b v="0"/>
    <b v="0"/>
    <x v="0"/>
    <x v="22"/>
    <n v="84.07"/>
    <n v="0"/>
    <n v="0"/>
    <n v="2"/>
    <x v="2"/>
    <m/>
  </r>
  <r>
    <x v="1062"/>
    <d v="2026-03-26T00:00:00"/>
    <d v="2026-03-27T00:00:00"/>
    <d v="2026-03-28T00:00:00"/>
    <d v="2026-03-28T00:00:00"/>
    <x v="1"/>
    <x v="8"/>
    <x v="5"/>
    <x v="0"/>
    <n v="61.1"/>
    <n v="503.1"/>
    <n v="1372000"/>
    <b v="0"/>
    <b v="0"/>
    <n v="1500"/>
    <b v="0"/>
    <b v="0"/>
    <b v="0"/>
    <x v="0"/>
    <x v="28"/>
    <n v="33.540000000000013"/>
    <n v="0"/>
    <n v="0"/>
    <n v="1"/>
    <x v="6"/>
    <m/>
  </r>
  <r>
    <x v="1063"/>
    <d v="2026-01-18T00:00:00"/>
    <d v="2026-01-19T00:00:00"/>
    <d v="2026-01-21T00:00:00"/>
    <d v="2026-01-21T00:00:00"/>
    <x v="1"/>
    <x v="6"/>
    <x v="5"/>
    <x v="0"/>
    <n v="154.30000000000001"/>
    <n v="903.9"/>
    <n v="2395000"/>
    <b v="0"/>
    <b v="0"/>
    <n v="1500"/>
    <b v="0"/>
    <b v="0"/>
    <b v="0"/>
    <x v="0"/>
    <x v="9"/>
    <n v="60.260000000000012"/>
    <n v="0"/>
    <n v="0"/>
    <n v="2"/>
    <x v="3"/>
    <m/>
  </r>
  <r>
    <x v="1064"/>
    <d v="2026-02-03T00:00:00"/>
    <d v="2026-02-04T00:00:00"/>
    <d v="2026-02-07T00:00:00"/>
    <d v="2026-02-07T00:00:00"/>
    <x v="1"/>
    <x v="9"/>
    <x v="0"/>
    <x v="1"/>
    <n v="423.1"/>
    <n v="1478.7"/>
    <n v="6881000"/>
    <b v="0"/>
    <b v="0"/>
    <n v="5000"/>
    <b v="0"/>
    <b v="0"/>
    <b v="0"/>
    <x v="0"/>
    <x v="24"/>
    <n v="29.574000000000002"/>
    <n v="0"/>
    <n v="0"/>
    <n v="3"/>
    <x v="5"/>
    <m/>
  </r>
  <r>
    <x v="1065"/>
    <d v="2026-04-28T00:00:00"/>
    <d v="2026-04-29T00:00:00"/>
    <d v="2026-05-01T00:00:00"/>
    <d v="2026-05-01T00:00:00"/>
    <x v="1"/>
    <x v="7"/>
    <x v="2"/>
    <x v="1"/>
    <n v="136.6"/>
    <n v="3261.2"/>
    <n v="3608000"/>
    <b v="0"/>
    <b v="0"/>
    <n v="5000"/>
    <b v="0"/>
    <b v="0"/>
    <b v="0"/>
    <x v="0"/>
    <x v="26"/>
    <n v="65.22399999999999"/>
    <n v="0"/>
    <n v="0"/>
    <n v="2"/>
    <x v="4"/>
    <m/>
  </r>
  <r>
    <x v="1066"/>
    <d v="2026-05-25T00:00:00"/>
    <d v="2026-05-26T00:00:00"/>
    <d v="2026-05-31T00:00:00"/>
    <d v="2026-06-01T00:00:00"/>
    <x v="3"/>
    <x v="3"/>
    <x v="1"/>
    <x v="1"/>
    <n v="1551.2"/>
    <n v="2501.3000000000002"/>
    <n v="21927000"/>
    <b v="0"/>
    <b v="0"/>
    <n v="5000"/>
    <b v="0"/>
    <b v="0"/>
    <b v="0"/>
    <x v="1"/>
    <x v="43"/>
    <n v="50.026000000000003"/>
    <n v="0"/>
    <n v="0"/>
    <n v="6"/>
    <x v="2"/>
    <n v="1"/>
  </r>
  <r>
    <x v="1067"/>
    <d v="2026-02-17T00:00:00"/>
    <d v="2026-02-17T00:00:00"/>
    <d v="2026-02-21T00:00:00"/>
    <d v="2026-02-23T00:00:00"/>
    <x v="1"/>
    <x v="3"/>
    <x v="5"/>
    <x v="3"/>
    <n v="908.1"/>
    <n v="496.5"/>
    <n v="8366000"/>
    <b v="0"/>
    <b v="0"/>
    <n v="1000"/>
    <b v="0"/>
    <b v="0"/>
    <b v="0"/>
    <x v="1"/>
    <x v="35"/>
    <n v="49.65"/>
    <n v="0"/>
    <n v="0"/>
    <n v="6"/>
    <x v="5"/>
    <n v="2"/>
  </r>
  <r>
    <x v="1068"/>
    <d v="2026-03-12T00:00:00"/>
    <d v="2026-03-14T00:00:00"/>
    <d v="2026-03-18T00:00:00"/>
    <d v="2026-03-19T00:00:00"/>
    <x v="0"/>
    <x v="4"/>
    <x v="0"/>
    <x v="1"/>
    <n v="612.6"/>
    <n v="968.7"/>
    <n v="8262000"/>
    <b v="0"/>
    <b v="0"/>
    <n v="5000"/>
    <b v="0"/>
    <b v="0"/>
    <b v="0"/>
    <x v="1"/>
    <x v="30"/>
    <n v="19.373999999999999"/>
    <n v="0"/>
    <n v="0"/>
    <n v="5"/>
    <x v="6"/>
    <n v="1"/>
  </r>
  <r>
    <x v="1069"/>
    <d v="2026-05-13T00:00:00"/>
    <d v="2026-05-14T00:00:00"/>
    <d v="2026-05-17T00:00:00"/>
    <d v="2026-05-19T00:00:00"/>
    <x v="0"/>
    <x v="7"/>
    <x v="1"/>
    <x v="3"/>
    <n v="303.5"/>
    <n v="620.5"/>
    <n v="3150000"/>
    <b v="0"/>
    <b v="0"/>
    <n v="1000"/>
    <b v="0"/>
    <b v="0"/>
    <b v="0"/>
    <x v="1"/>
    <x v="45"/>
    <n v="62.05"/>
    <n v="0"/>
    <n v="0"/>
    <n v="5"/>
    <x v="2"/>
    <n v="2"/>
  </r>
  <r>
    <x v="1070"/>
    <d v="2026-05-03T00:00:00"/>
    <d v="2026-05-04T00:00:00"/>
    <d v="2026-05-08T00:00:00"/>
    <d v="2026-05-09T00:00:00"/>
    <x v="3"/>
    <x v="3"/>
    <x v="0"/>
    <x v="3"/>
    <n v="1540.1"/>
    <n v="168.5"/>
    <n v="13927000"/>
    <b v="0"/>
    <b v="0"/>
    <n v="1000"/>
    <b v="0"/>
    <b v="0"/>
    <b v="0"/>
    <x v="1"/>
    <x v="43"/>
    <n v="16.850000000000001"/>
    <n v="0"/>
    <n v="0"/>
    <n v="5"/>
    <x v="2"/>
    <n v="1"/>
  </r>
  <r>
    <x v="1071"/>
    <d v="2026-05-11T00:00:00"/>
    <d v="2026-05-12T00:00:00"/>
    <d v="2026-05-17T00:00:00"/>
    <d v="2026-05-18T00:00:00"/>
    <x v="2"/>
    <x v="4"/>
    <x v="1"/>
    <x v="3"/>
    <n v="751.5"/>
    <n v="570.20000000000005"/>
    <n v="6950000"/>
    <b v="0"/>
    <b v="0"/>
    <n v="1000"/>
    <b v="0"/>
    <b v="0"/>
    <b v="0"/>
    <x v="1"/>
    <x v="4"/>
    <n v="57.02"/>
    <n v="0"/>
    <n v="0"/>
    <n v="6"/>
    <x v="2"/>
    <n v="1"/>
  </r>
  <r>
    <x v="1072"/>
    <d v="2026-04-06T00:00:00"/>
    <d v="2026-04-06T00:00:00"/>
    <d v="2026-04-08T00:00:00"/>
    <d v="2026-04-08T00:00:00"/>
    <x v="1"/>
    <x v="1"/>
    <x v="0"/>
    <x v="0"/>
    <n v="298.2"/>
    <n v="412.6"/>
    <n v="3396000"/>
    <b v="0"/>
    <b v="0"/>
    <n v="1500"/>
    <b v="0"/>
    <b v="0"/>
    <b v="0"/>
    <x v="0"/>
    <x v="25"/>
    <n v="27.506666666666671"/>
    <n v="0"/>
    <n v="0"/>
    <n v="2"/>
    <x v="4"/>
    <m/>
  </r>
  <r>
    <x v="1073"/>
    <d v="2026-02-23T00:00:00"/>
    <d v="2026-02-23T00:00:00"/>
    <d v="2026-02-25T00:00:00"/>
    <d v="2026-02-25T00:00:00"/>
    <x v="1"/>
    <x v="6"/>
    <x v="1"/>
    <x v="2"/>
    <n v="165.8"/>
    <n v="5575.7"/>
    <n v="5626000"/>
    <b v="0"/>
    <b v="0"/>
    <n v="16000"/>
    <b v="0"/>
    <b v="0"/>
    <b v="0"/>
    <x v="0"/>
    <x v="9"/>
    <n v="34.848125000000003"/>
    <n v="0"/>
    <n v="0"/>
    <n v="2"/>
    <x v="5"/>
    <m/>
  </r>
  <r>
    <x v="1074"/>
    <d v="2026-01-06T00:00:00"/>
    <d v="2026-01-07T00:00:00"/>
    <d v="2026-01-11T00:00:00"/>
    <d v="2026-01-11T00:00:00"/>
    <x v="1"/>
    <x v="4"/>
    <x v="3"/>
    <x v="1"/>
    <n v="740.5"/>
    <n v="724.6"/>
    <n v="8774000"/>
    <b v="0"/>
    <b v="0"/>
    <n v="5000"/>
    <b v="0"/>
    <b v="0"/>
    <b v="0"/>
    <x v="0"/>
    <x v="38"/>
    <n v="14.492000000000001"/>
    <n v="0"/>
    <n v="0"/>
    <n v="4"/>
    <x v="3"/>
    <m/>
  </r>
  <r>
    <x v="1075"/>
    <d v="2026-01-03T00:00:00"/>
    <d v="2026-01-04T00:00:00"/>
    <d v="2026-01-08T00:00:00"/>
    <d v="2026-01-09T00:00:00"/>
    <x v="3"/>
    <x v="3"/>
    <x v="3"/>
    <x v="1"/>
    <n v="1393.6"/>
    <n v="3734.8"/>
    <n v="22302000"/>
    <b v="0"/>
    <b v="0"/>
    <n v="5000"/>
    <b v="0"/>
    <b v="0"/>
    <b v="0"/>
    <x v="1"/>
    <x v="43"/>
    <n v="74.696000000000012"/>
    <n v="0"/>
    <n v="0"/>
    <n v="5"/>
    <x v="3"/>
    <n v="1"/>
  </r>
  <r>
    <x v="1076"/>
    <d v="2026-01-17T00:00:00"/>
    <d v="2026-01-18T00:00:00"/>
    <d v="2026-01-21T00:00:00"/>
    <d v="2026-01-21T00:00:00"/>
    <x v="3"/>
    <x v="0"/>
    <x v="2"/>
    <x v="3"/>
    <n v="548"/>
    <n v="644.70000000000005"/>
    <n v="5504000"/>
    <b v="0"/>
    <b v="0"/>
    <n v="1000"/>
    <b v="0"/>
    <b v="0"/>
    <b v="0"/>
    <x v="0"/>
    <x v="11"/>
    <n v="64.47"/>
    <n v="0"/>
    <n v="0"/>
    <n v="3"/>
    <x v="3"/>
    <m/>
  </r>
  <r>
    <x v="1077"/>
    <d v="2026-02-01T00:00:00"/>
    <d v="2026-02-01T00:00:00"/>
    <d v="2026-02-04T00:00:00"/>
    <d v="2026-02-04T00:00:00"/>
    <x v="0"/>
    <x v="10"/>
    <x v="5"/>
    <x v="2"/>
    <n v="160.5"/>
    <n v="3938.1"/>
    <n v="5436000"/>
    <b v="0"/>
    <b v="0"/>
    <n v="16000"/>
    <b v="0"/>
    <b v="0"/>
    <b v="0"/>
    <x v="0"/>
    <x v="42"/>
    <n v="24.613125"/>
    <n v="0"/>
    <n v="0"/>
    <n v="3"/>
    <x v="5"/>
    <m/>
  </r>
  <r>
    <x v="1078"/>
    <d v="2026-04-08T00:00:00"/>
    <d v="2026-04-09T00:00:00"/>
    <d v="2026-04-13T00:00:00"/>
    <d v="2026-04-13T00:00:00"/>
    <x v="1"/>
    <x v="4"/>
    <x v="5"/>
    <x v="1"/>
    <n v="763"/>
    <n v="1807.5"/>
    <n v="10732000"/>
    <b v="0"/>
    <b v="0"/>
    <n v="5000"/>
    <b v="0"/>
    <b v="0"/>
    <b v="0"/>
    <x v="0"/>
    <x v="38"/>
    <n v="36.15"/>
    <n v="0"/>
    <n v="0"/>
    <n v="4"/>
    <x v="4"/>
    <m/>
  </r>
  <r>
    <x v="1079"/>
    <d v="2026-04-07T00:00:00"/>
    <d v="2026-04-08T00:00:00"/>
    <d v="2026-04-11T00:00:00"/>
    <d v="2026-04-11T00:00:00"/>
    <x v="0"/>
    <x v="7"/>
    <x v="1"/>
    <x v="1"/>
    <n v="303.5"/>
    <n v="3813.1"/>
    <n v="6082000"/>
    <b v="0"/>
    <b v="0"/>
    <n v="5000"/>
    <b v="0"/>
    <b v="0"/>
    <b v="0"/>
    <x v="0"/>
    <x v="45"/>
    <n v="76.262"/>
    <n v="0"/>
    <n v="0"/>
    <n v="3"/>
    <x v="4"/>
    <m/>
  </r>
  <r>
    <x v="1080"/>
    <d v="2026-06-04T00:00:00"/>
    <d v="2026-06-05T00:00:00"/>
    <d v="2026-06-09T00:00:00"/>
    <d v="2026-06-09T00:00:00"/>
    <x v="1"/>
    <x v="4"/>
    <x v="1"/>
    <x v="1"/>
    <n v="755.1"/>
    <n v="1006.6"/>
    <n v="11144000"/>
    <b v="0"/>
    <b v="0"/>
    <n v="5000"/>
    <b v="0"/>
    <b v="0"/>
    <b v="0"/>
    <x v="0"/>
    <x v="38"/>
    <n v="20.132000000000001"/>
    <n v="0"/>
    <n v="0"/>
    <n v="4"/>
    <x v="1"/>
    <m/>
  </r>
  <r>
    <x v="1081"/>
    <d v="2026-02-24T00:00:00"/>
    <d v="2026-02-26T00:00:00"/>
    <d v="2026-03-02T00:00:00"/>
    <d v="2026-03-03T00:00:00"/>
    <x v="3"/>
    <x v="8"/>
    <x v="5"/>
    <x v="0"/>
    <n v="609.4"/>
    <n v="722.1"/>
    <n v="6549000"/>
    <b v="0"/>
    <b v="0"/>
    <n v="1500"/>
    <b v="0"/>
    <b v="0"/>
    <b v="0"/>
    <x v="1"/>
    <x v="15"/>
    <n v="48.14"/>
    <n v="0"/>
    <n v="0"/>
    <n v="5"/>
    <x v="5"/>
    <n v="1"/>
  </r>
  <r>
    <x v="1082"/>
    <d v="2026-06-02T00:00:00"/>
    <d v="2026-06-03T00:00:00"/>
    <d v="2026-06-05T00:00:00"/>
    <d v="2026-06-05T00:00:00"/>
    <x v="1"/>
    <x v="7"/>
    <x v="5"/>
    <x v="0"/>
    <n v="144.4"/>
    <n v="499.1"/>
    <n v="2334000"/>
    <b v="0"/>
    <b v="0"/>
    <n v="1500"/>
    <b v="0"/>
    <b v="0"/>
    <b v="0"/>
    <x v="0"/>
    <x v="26"/>
    <n v="33.273333333333333"/>
    <n v="0"/>
    <n v="0"/>
    <n v="2"/>
    <x v="1"/>
    <m/>
  </r>
  <r>
    <x v="1083"/>
    <d v="2026-03-10T00:00:00"/>
    <d v="2026-03-11T00:00:00"/>
    <d v="2026-03-14T00:00:00"/>
    <d v="2026-03-14T00:00:00"/>
    <x v="1"/>
    <x v="7"/>
    <x v="2"/>
    <x v="0"/>
    <n v="156.4"/>
    <n v="597.20000000000005"/>
    <n v="2278000"/>
    <b v="0"/>
    <b v="0"/>
    <n v="1500"/>
    <b v="0"/>
    <b v="0"/>
    <b v="0"/>
    <x v="0"/>
    <x v="26"/>
    <n v="39.813333333333333"/>
    <n v="0"/>
    <n v="0"/>
    <n v="3"/>
    <x v="6"/>
    <m/>
  </r>
  <r>
    <x v="1084"/>
    <d v="2026-04-25T00:00:00"/>
    <d v="2026-04-25T00:00:00"/>
    <d v="2026-04-28T00:00:00"/>
    <d v="2026-04-30T00:00:00"/>
    <x v="3"/>
    <x v="5"/>
    <x v="1"/>
    <x v="1"/>
    <n v="480.8"/>
    <n v="2285.4"/>
    <n v="7631000"/>
    <b v="0"/>
    <b v="0"/>
    <n v="5000"/>
    <b v="0"/>
    <b v="0"/>
    <b v="0"/>
    <x v="1"/>
    <x v="37"/>
    <n v="45.708000000000013"/>
    <n v="0"/>
    <n v="0"/>
    <n v="5"/>
    <x v="4"/>
    <n v="2"/>
  </r>
  <r>
    <x v="1085"/>
    <d v="2026-06-14T00:00:00"/>
    <d v="2026-06-15T00:00:00"/>
    <d v="2026-06-16T00:00:00"/>
    <d v="2026-06-15T00:00:00"/>
    <x v="1"/>
    <x v="10"/>
    <x v="2"/>
    <x v="3"/>
    <n v="19.399999999999999"/>
    <n v="536.70000000000005"/>
    <n v="752000"/>
    <b v="0"/>
    <b v="0"/>
    <n v="1000"/>
    <b v="0"/>
    <b v="0"/>
    <b v="0"/>
    <x v="0"/>
    <x v="27"/>
    <n v="53.670000000000009"/>
    <n v="0"/>
    <n v="0"/>
    <n v="0"/>
    <x v="1"/>
    <m/>
  </r>
  <r>
    <x v="1086"/>
    <d v="2026-01-18T00:00:00"/>
    <d v="2026-01-19T00:00:00"/>
    <d v="2026-01-22T00:00:00"/>
    <d v="2026-01-22T00:00:00"/>
    <x v="1"/>
    <x v="5"/>
    <x v="1"/>
    <x v="0"/>
    <n v="358.3"/>
    <n v="913.1"/>
    <n v="4096000"/>
    <b v="0"/>
    <b v="0"/>
    <n v="1500"/>
    <b v="0"/>
    <b v="0"/>
    <b v="0"/>
    <x v="0"/>
    <x v="5"/>
    <n v="60.873333333333328"/>
    <n v="0"/>
    <n v="0"/>
    <n v="3"/>
    <x v="3"/>
    <m/>
  </r>
  <r>
    <x v="1087"/>
    <d v="2026-01-07T00:00:00"/>
    <d v="2026-01-08T00:00:00"/>
    <d v="2026-01-09T00:00:00"/>
    <d v="2026-01-09T00:00:00"/>
    <x v="1"/>
    <x v="10"/>
    <x v="2"/>
    <x v="1"/>
    <n v="22"/>
    <n v="1974.6"/>
    <n v="2006000"/>
    <b v="0"/>
    <b v="0"/>
    <n v="5000"/>
    <b v="0"/>
    <b v="0"/>
    <b v="0"/>
    <x v="0"/>
    <x v="27"/>
    <n v="39.491999999999997"/>
    <n v="0"/>
    <n v="0"/>
    <n v="1"/>
    <x v="3"/>
    <m/>
  </r>
  <r>
    <x v="1088"/>
    <d v="2026-05-28T00:00:00"/>
    <d v="2026-05-29T00:00:00"/>
    <d v="2026-05-31T00:00:00"/>
    <m/>
    <x v="2"/>
    <x v="8"/>
    <x v="3"/>
    <x v="1"/>
    <n v="19.2"/>
    <n v="3593.4"/>
    <n v="2330000"/>
    <b v="0"/>
    <b v="0"/>
    <n v="5000"/>
    <b v="0"/>
    <b v="0"/>
    <b v="0"/>
    <x v="2"/>
    <x v="18"/>
    <n v="71.867999999999995"/>
    <n v="0"/>
    <n v="0"/>
    <m/>
    <x v="2"/>
    <m/>
  </r>
  <r>
    <x v="1089"/>
    <d v="2026-06-29T00:00:00"/>
    <d v="2026-06-29T00:00:00"/>
    <d v="2026-07-02T00:00:00"/>
    <d v="2026-07-02T00:00:00"/>
    <x v="3"/>
    <x v="4"/>
    <x v="5"/>
    <x v="1"/>
    <n v="159.80000000000001"/>
    <n v="2534.1999999999998"/>
    <n v="3583000"/>
    <b v="0"/>
    <b v="0"/>
    <n v="5000"/>
    <b v="0"/>
    <b v="0"/>
    <b v="0"/>
    <x v="0"/>
    <x v="46"/>
    <n v="50.683999999999997"/>
    <n v="0"/>
    <n v="0"/>
    <n v="3"/>
    <x v="1"/>
    <m/>
  </r>
  <r>
    <x v="1090"/>
    <d v="2026-02-14T00:00:00"/>
    <d v="2026-02-14T00:00:00"/>
    <d v="2026-02-17T00:00:00"/>
    <d v="2026-02-17T00:00:00"/>
    <x v="2"/>
    <x v="2"/>
    <x v="1"/>
    <x v="3"/>
    <n v="312.89999999999998"/>
    <n v="411.3"/>
    <n v="3301000"/>
    <b v="0"/>
    <b v="0"/>
    <n v="1000"/>
    <b v="0"/>
    <b v="0"/>
    <b v="0"/>
    <x v="0"/>
    <x v="29"/>
    <n v="41.13"/>
    <n v="0"/>
    <n v="0"/>
    <n v="3"/>
    <x v="5"/>
    <m/>
  </r>
  <r>
    <x v="1091"/>
    <d v="2026-01-21T00:00:00"/>
    <d v="2026-01-22T00:00:00"/>
    <d v="2026-01-25T00:00:00"/>
    <d v="2026-01-26T00:00:00"/>
    <x v="1"/>
    <x v="7"/>
    <x v="0"/>
    <x v="1"/>
    <n v="143.6"/>
    <n v="1777.5"/>
    <n v="3423000"/>
    <b v="0"/>
    <b v="0"/>
    <n v="5000"/>
    <b v="0"/>
    <b v="0"/>
    <b v="0"/>
    <x v="1"/>
    <x v="26"/>
    <n v="35.549999999999997"/>
    <n v="0"/>
    <n v="0"/>
    <n v="4"/>
    <x v="3"/>
    <n v="1"/>
  </r>
  <r>
    <x v="1092"/>
    <d v="2026-05-19T00:00:00"/>
    <d v="2026-05-19T00:00:00"/>
    <d v="2026-05-22T00:00:00"/>
    <d v="2026-05-22T00:00:00"/>
    <x v="0"/>
    <x v="7"/>
    <x v="1"/>
    <x v="1"/>
    <n v="317.3"/>
    <n v="2817.4"/>
    <n v="6197000"/>
    <b v="0"/>
    <b v="0"/>
    <n v="5000"/>
    <b v="0"/>
    <b v="0"/>
    <b v="0"/>
    <x v="0"/>
    <x v="45"/>
    <n v="56.347999999999999"/>
    <n v="0"/>
    <n v="0"/>
    <n v="3"/>
    <x v="2"/>
    <m/>
  </r>
  <r>
    <x v="1093"/>
    <d v="2026-05-05T00:00:00"/>
    <d v="2026-05-06T00:00:00"/>
    <d v="2026-05-09T00:00:00"/>
    <d v="2026-05-08T00:00:00"/>
    <x v="1"/>
    <x v="2"/>
    <x v="0"/>
    <x v="2"/>
    <n v="336.5"/>
    <n v="10480.1"/>
    <n v="8797000"/>
    <b v="0"/>
    <b v="0"/>
    <n v="16000"/>
    <b v="0"/>
    <b v="0"/>
    <b v="0"/>
    <x v="0"/>
    <x v="2"/>
    <n v="65.500624999999999"/>
    <n v="0"/>
    <n v="0"/>
    <n v="2"/>
    <x v="2"/>
    <m/>
  </r>
  <r>
    <x v="1094"/>
    <d v="2026-05-20T00:00:00"/>
    <d v="2026-05-21T00:00:00"/>
    <d v="2026-05-22T00:00:00"/>
    <d v="2026-05-22T00:00:00"/>
    <x v="1"/>
    <x v="10"/>
    <x v="5"/>
    <x v="1"/>
    <n v="23"/>
    <n v="4471.3"/>
    <n v="2659000"/>
    <b v="0"/>
    <b v="0"/>
    <n v="5000"/>
    <b v="0"/>
    <b v="0"/>
    <b v="0"/>
    <x v="0"/>
    <x v="27"/>
    <n v="89.426000000000002"/>
    <n v="0"/>
    <n v="0"/>
    <n v="1"/>
    <x v="2"/>
    <m/>
  </r>
  <r>
    <x v="1095"/>
    <d v="2026-04-21T00:00:00"/>
    <d v="2026-04-23T00:00:00"/>
    <d v="2026-04-25T00:00:00"/>
    <d v="2026-04-25T00:00:00"/>
    <x v="1"/>
    <x v="0"/>
    <x v="5"/>
    <x v="3"/>
    <n v="267.89999999999998"/>
    <n v="207.3"/>
    <n v="2720000"/>
    <b v="0"/>
    <b v="0"/>
    <n v="1000"/>
    <b v="0"/>
    <b v="0"/>
    <b v="0"/>
    <x v="0"/>
    <x v="12"/>
    <n v="20.73"/>
    <n v="0"/>
    <n v="0"/>
    <n v="2"/>
    <x v="4"/>
    <m/>
  </r>
  <r>
    <x v="1096"/>
    <d v="2026-04-07T00:00:00"/>
    <d v="2026-04-07T00:00:00"/>
    <d v="2026-04-09T00:00:00"/>
    <d v="2026-04-09T00:00:00"/>
    <x v="0"/>
    <x v="1"/>
    <x v="1"/>
    <x v="1"/>
    <n v="267.39999999999998"/>
    <n v="1326.8"/>
    <n v="4492000"/>
    <b v="0"/>
    <b v="0"/>
    <n v="5000"/>
    <b v="0"/>
    <b v="0"/>
    <b v="0"/>
    <x v="0"/>
    <x v="1"/>
    <n v="26.536000000000001"/>
    <n v="0"/>
    <n v="0"/>
    <n v="2"/>
    <x v="4"/>
    <m/>
  </r>
  <r>
    <x v="1097"/>
    <d v="2026-06-20T00:00:00"/>
    <d v="2026-06-21T00:00:00"/>
    <d v="2026-06-24T00:00:00"/>
    <d v="2026-06-26T00:00:00"/>
    <x v="1"/>
    <x v="2"/>
    <x v="0"/>
    <x v="3"/>
    <n v="346.9"/>
    <n v="263.39999999999998"/>
    <n v="3745000"/>
    <b v="0"/>
    <b v="0"/>
    <n v="1000"/>
    <b v="0"/>
    <b v="0"/>
    <b v="0"/>
    <x v="1"/>
    <x v="2"/>
    <n v="26.34"/>
    <n v="0"/>
    <n v="0"/>
    <n v="5"/>
    <x v="1"/>
    <n v="2"/>
  </r>
  <r>
    <x v="1098"/>
    <d v="2026-01-25T00:00:00"/>
    <d v="2026-01-27T00:00:00"/>
    <d v="2026-01-30T00:00:00"/>
    <d v="2026-01-30T00:00:00"/>
    <x v="2"/>
    <x v="11"/>
    <x v="5"/>
    <x v="1"/>
    <n v="572.79999999999995"/>
    <n v="1615.5"/>
    <m/>
    <b v="0"/>
    <b v="1"/>
    <n v="5000"/>
    <b v="0"/>
    <b v="0"/>
    <b v="1"/>
    <x v="0"/>
    <x v="41"/>
    <n v="32.31"/>
    <n v="0"/>
    <n v="1"/>
    <n v="3"/>
    <x v="3"/>
    <m/>
  </r>
  <r>
    <x v="1099"/>
    <d v="2026-05-29T00:00:00"/>
    <d v="2026-05-30T00:00:00"/>
    <d v="2026-06-01T00:00:00"/>
    <d v="2026-06-01T00:00:00"/>
    <x v="1"/>
    <x v="6"/>
    <x v="3"/>
    <x v="1"/>
    <n v="157.1"/>
    <n v="506.9"/>
    <n v="2601000"/>
    <b v="0"/>
    <b v="0"/>
    <n v="5000"/>
    <b v="0"/>
    <b v="0"/>
    <b v="0"/>
    <x v="0"/>
    <x v="9"/>
    <n v="10.138"/>
    <n v="0"/>
    <n v="0"/>
    <n v="2"/>
    <x v="2"/>
    <m/>
  </r>
  <r>
    <x v="1100"/>
    <d v="2026-03-22T00:00:00"/>
    <d v="2026-03-23T00:00:00"/>
    <d v="2026-03-26T00:00:00"/>
    <d v="2026-03-26T00:00:00"/>
    <x v="0"/>
    <x v="0"/>
    <x v="5"/>
    <x v="3"/>
    <n v="328.6"/>
    <n v="402.7"/>
    <n v="3200000"/>
    <b v="0"/>
    <b v="0"/>
    <n v="1000"/>
    <b v="0"/>
    <b v="0"/>
    <b v="0"/>
    <x v="0"/>
    <x v="0"/>
    <n v="40.270000000000003"/>
    <n v="0"/>
    <n v="0"/>
    <n v="3"/>
    <x v="6"/>
    <m/>
  </r>
  <r>
    <x v="1101"/>
    <d v="2026-02-12T00:00:00"/>
    <d v="2026-02-13T00:00:00"/>
    <d v="2026-02-15T00:00:00"/>
    <d v="2026-02-16T00:00:00"/>
    <x v="2"/>
    <x v="0"/>
    <x v="1"/>
    <x v="2"/>
    <n v="279.89999999999998"/>
    <n v="7027.3"/>
    <n v="7701000"/>
    <b v="0"/>
    <b v="0"/>
    <n v="16000"/>
    <b v="0"/>
    <b v="0"/>
    <b v="0"/>
    <x v="1"/>
    <x v="7"/>
    <n v="43.920625000000001"/>
    <n v="0"/>
    <n v="0"/>
    <n v="3"/>
    <x v="5"/>
    <n v="1"/>
  </r>
  <r>
    <x v="1102"/>
    <d v="2026-04-10T00:00:00"/>
    <d v="2026-04-11T00:00:00"/>
    <d v="2026-04-14T00:00:00"/>
    <d v="2026-04-15T00:00:00"/>
    <x v="1"/>
    <x v="1"/>
    <x v="2"/>
    <x v="0"/>
    <n v="331.3"/>
    <n v="1356.4"/>
    <n v="4540000"/>
    <b v="0"/>
    <b v="0"/>
    <n v="1500"/>
    <b v="0"/>
    <b v="0"/>
    <b v="0"/>
    <x v="1"/>
    <x v="25"/>
    <n v="90.426666666666677"/>
    <n v="0"/>
    <n v="0"/>
    <n v="4"/>
    <x v="4"/>
    <n v="1"/>
  </r>
  <r>
    <x v="1103"/>
    <d v="2026-04-08T00:00:00"/>
    <d v="2026-04-09T00:00:00"/>
    <d v="2026-04-10T00:00:00"/>
    <d v="2026-04-10T00:00:00"/>
    <x v="3"/>
    <x v="11"/>
    <x v="0"/>
    <x v="2"/>
    <n v="30.5"/>
    <n v="10072.9"/>
    <n v="4195000"/>
    <b v="0"/>
    <b v="0"/>
    <n v="16000"/>
    <b v="0"/>
    <b v="0"/>
    <b v="0"/>
    <x v="0"/>
    <x v="39"/>
    <n v="62.955624999999991"/>
    <n v="0"/>
    <n v="0"/>
    <n v="1"/>
    <x v="4"/>
    <m/>
  </r>
  <r>
    <x v="1104"/>
    <d v="2026-05-10T00:00:00"/>
    <d v="2026-05-11T00:00:00"/>
    <d v="2026-05-14T00:00:00"/>
    <d v="2026-05-14T00:00:00"/>
    <x v="1"/>
    <x v="9"/>
    <x v="3"/>
    <x v="1"/>
    <n v="417.5"/>
    <n v="3430"/>
    <n v="7118000"/>
    <b v="0"/>
    <b v="0"/>
    <n v="5000"/>
    <b v="0"/>
    <b v="0"/>
    <b v="0"/>
    <x v="0"/>
    <x v="24"/>
    <n v="68.600000000000009"/>
    <n v="0"/>
    <n v="0"/>
    <n v="3"/>
    <x v="2"/>
    <m/>
  </r>
  <r>
    <x v="1105"/>
    <d v="2026-03-20T00:00:00"/>
    <d v="2026-03-21T00:00:00"/>
    <d v="2026-03-24T00:00:00"/>
    <d v="2026-03-20T00:00:00"/>
    <x v="2"/>
    <x v="5"/>
    <x v="0"/>
    <x v="0"/>
    <n v="306.7"/>
    <n v="319.2"/>
    <n v="3298000"/>
    <b v="1"/>
    <b v="0"/>
    <n v="1500"/>
    <b v="0"/>
    <b v="0"/>
    <b v="1"/>
    <x v="3"/>
    <x v="17"/>
    <n v="21.28"/>
    <n v="0"/>
    <n v="1"/>
    <m/>
    <x v="6"/>
    <m/>
  </r>
  <r>
    <x v="1106"/>
    <d v="2026-06-10T00:00:00"/>
    <d v="2026-06-11T00:00:00"/>
    <d v="2026-06-14T00:00:00"/>
    <d v="2026-06-14T00:00:00"/>
    <x v="2"/>
    <x v="9"/>
    <x v="2"/>
    <x v="0"/>
    <n v="450.3"/>
    <n v="1022.7"/>
    <n v="4947000"/>
    <b v="0"/>
    <b v="0"/>
    <n v="1500"/>
    <b v="0"/>
    <b v="0"/>
    <b v="0"/>
    <x v="0"/>
    <x v="20"/>
    <n v="68.180000000000007"/>
    <n v="0"/>
    <n v="0"/>
    <n v="3"/>
    <x v="1"/>
    <m/>
  </r>
  <r>
    <x v="1107"/>
    <d v="2026-03-14T00:00:00"/>
    <d v="2026-03-15T00:00:00"/>
    <d v="2026-03-19T00:00:00"/>
    <d v="2026-03-21T00:00:00"/>
    <x v="0"/>
    <x v="3"/>
    <x v="1"/>
    <x v="1"/>
    <n v="1128.9000000000001"/>
    <n v="3203.9"/>
    <n v="17938000"/>
    <b v="0"/>
    <b v="0"/>
    <n v="5000"/>
    <b v="0"/>
    <b v="0"/>
    <b v="0"/>
    <x v="1"/>
    <x v="47"/>
    <n v="64.078000000000003"/>
    <n v="0"/>
    <n v="0"/>
    <n v="6"/>
    <x v="6"/>
    <n v="2"/>
  </r>
  <r>
    <x v="1108"/>
    <d v="2026-06-17T00:00:00"/>
    <d v="2026-06-18T00:00:00"/>
    <d v="2026-06-21T00:00:00"/>
    <d v="2026-06-21T00:00:00"/>
    <x v="0"/>
    <x v="9"/>
    <x v="3"/>
    <x v="0"/>
    <n v="507.7"/>
    <n v="606"/>
    <n v="5669000"/>
    <b v="0"/>
    <b v="0"/>
    <n v="1500"/>
    <b v="0"/>
    <b v="0"/>
    <b v="0"/>
    <x v="0"/>
    <x v="44"/>
    <n v="40.400000000000013"/>
    <n v="0"/>
    <n v="0"/>
    <n v="3"/>
    <x v="1"/>
    <m/>
  </r>
  <r>
    <x v="1109"/>
    <d v="2026-05-27T00:00:00"/>
    <d v="2026-05-28T00:00:00"/>
    <d v="2026-05-31T00:00:00"/>
    <d v="2026-06-01T00:00:00"/>
    <x v="1"/>
    <x v="5"/>
    <x v="1"/>
    <x v="2"/>
    <n v="325.8"/>
    <n v="10120.1"/>
    <n v="8735000"/>
    <b v="0"/>
    <b v="0"/>
    <n v="16000"/>
    <b v="0"/>
    <b v="0"/>
    <b v="0"/>
    <x v="1"/>
    <x v="5"/>
    <n v="63.250625000000007"/>
    <n v="0"/>
    <n v="0"/>
    <n v="4"/>
    <x v="2"/>
    <n v="1"/>
  </r>
  <r>
    <x v="1110"/>
    <d v="2026-06-19T00:00:00"/>
    <d v="2026-06-20T00:00:00"/>
    <d v="2026-06-23T00:00:00"/>
    <d v="2026-06-23T00:00:00"/>
    <x v="0"/>
    <x v="11"/>
    <x v="0"/>
    <x v="3"/>
    <n v="472.2"/>
    <n v="330.3"/>
    <n v="4113000"/>
    <b v="0"/>
    <b v="0"/>
    <n v="1000"/>
    <b v="0"/>
    <b v="0"/>
    <b v="0"/>
    <x v="0"/>
    <x v="36"/>
    <n v="33.03"/>
    <n v="0"/>
    <n v="0"/>
    <n v="3"/>
    <x v="1"/>
    <m/>
  </r>
  <r>
    <x v="1111"/>
    <d v="2026-03-30T00:00:00"/>
    <d v="2026-03-30T00:00:00"/>
    <d v="2026-03-31T00:00:00"/>
    <d v="2026-04-02T00:00:00"/>
    <x v="1"/>
    <x v="10"/>
    <x v="2"/>
    <x v="3"/>
    <n v="21.6"/>
    <n v="790.3"/>
    <n v="942000"/>
    <b v="0"/>
    <b v="0"/>
    <n v="1000"/>
    <b v="0"/>
    <b v="0"/>
    <b v="0"/>
    <x v="1"/>
    <x v="27"/>
    <n v="79.03"/>
    <n v="0"/>
    <n v="0"/>
    <n v="3"/>
    <x v="6"/>
    <n v="2"/>
  </r>
  <r>
    <x v="1112"/>
    <d v="2026-04-12T00:00:00"/>
    <d v="2026-04-13T00:00:00"/>
    <d v="2026-04-15T00:00:00"/>
    <d v="2026-04-15T00:00:00"/>
    <x v="1"/>
    <x v="7"/>
    <x v="5"/>
    <x v="0"/>
    <n v="153.6"/>
    <n v="467.6"/>
    <n v="2221000"/>
    <b v="0"/>
    <b v="0"/>
    <n v="1500"/>
    <b v="0"/>
    <b v="0"/>
    <b v="0"/>
    <x v="0"/>
    <x v="26"/>
    <n v="31.173333333333339"/>
    <n v="0"/>
    <n v="0"/>
    <n v="2"/>
    <x v="4"/>
    <m/>
  </r>
  <r>
    <x v="1113"/>
    <d v="2026-01-31T00:00:00"/>
    <d v="2026-02-01T00:00:00"/>
    <d v="2026-02-03T00:00:00"/>
    <d v="2026-02-05T00:00:00"/>
    <x v="3"/>
    <x v="4"/>
    <x v="2"/>
    <x v="3"/>
    <n v="151.4"/>
    <n v="876.8"/>
    <n v="2249000"/>
    <b v="0"/>
    <b v="0"/>
    <n v="1000"/>
    <b v="0"/>
    <b v="0"/>
    <b v="0"/>
    <x v="1"/>
    <x v="46"/>
    <n v="87.679999999999993"/>
    <n v="0"/>
    <n v="0"/>
    <n v="4"/>
    <x v="5"/>
    <n v="2"/>
  </r>
  <r>
    <x v="1114"/>
    <d v="2026-02-05T00:00:00"/>
    <d v="2026-02-06T00:00:00"/>
    <d v="2026-02-10T00:00:00"/>
    <d v="2026-02-05T00:00:00"/>
    <x v="2"/>
    <x v="3"/>
    <x v="5"/>
    <x v="0"/>
    <n v="860.8"/>
    <n v="156.9"/>
    <n v="8894000"/>
    <b v="1"/>
    <b v="0"/>
    <n v="1500"/>
    <b v="0"/>
    <b v="0"/>
    <b v="1"/>
    <x v="3"/>
    <x v="3"/>
    <n v="10.46"/>
    <n v="0"/>
    <n v="1"/>
    <m/>
    <x v="5"/>
    <m/>
  </r>
  <r>
    <x v="1115"/>
    <d v="2026-03-15T00:00:00"/>
    <d v="2026-03-16T00:00:00"/>
    <d v="2026-03-17T00:00:00"/>
    <d v="2026-03-17T00:00:00"/>
    <x v="2"/>
    <x v="8"/>
    <x v="3"/>
    <x v="2"/>
    <n v="18.100000000000001"/>
    <n v="6852.7"/>
    <n v="3370000"/>
    <b v="0"/>
    <b v="0"/>
    <n v="16000"/>
    <b v="0"/>
    <b v="0"/>
    <b v="0"/>
    <x v="0"/>
    <x v="18"/>
    <n v="42.829374999999999"/>
    <n v="0"/>
    <n v="0"/>
    <n v="1"/>
    <x v="6"/>
    <m/>
  </r>
  <r>
    <x v="1116"/>
    <d v="2026-04-09T00:00:00"/>
    <d v="2026-04-10T00:00:00"/>
    <d v="2026-04-12T00:00:00"/>
    <d v="2026-04-12T00:00:00"/>
    <x v="1"/>
    <x v="10"/>
    <x v="5"/>
    <x v="1"/>
    <n v="19.899999999999999"/>
    <n v="2588.4"/>
    <n v="2014000"/>
    <b v="0"/>
    <b v="0"/>
    <n v="5000"/>
    <b v="0"/>
    <b v="0"/>
    <b v="0"/>
    <x v="0"/>
    <x v="27"/>
    <n v="51.768000000000001"/>
    <n v="0"/>
    <n v="0"/>
    <n v="2"/>
    <x v="4"/>
    <m/>
  </r>
  <r>
    <x v="1117"/>
    <d v="2026-01-02T00:00:00"/>
    <d v="2026-01-02T00:00:00"/>
    <d v="2026-01-04T00:00:00"/>
    <d v="2026-01-04T00:00:00"/>
    <x v="0"/>
    <x v="5"/>
    <x v="3"/>
    <x v="1"/>
    <n v="161"/>
    <n v="1747.3"/>
    <n v="3516000"/>
    <b v="0"/>
    <b v="0"/>
    <n v="5000"/>
    <b v="0"/>
    <b v="0"/>
    <b v="0"/>
    <x v="0"/>
    <x v="8"/>
    <n v="34.945999999999998"/>
    <n v="0"/>
    <n v="0"/>
    <n v="2"/>
    <x v="3"/>
    <m/>
  </r>
  <r>
    <x v="1118"/>
    <d v="2026-02-20T00:00:00"/>
    <d v="2026-02-21T00:00:00"/>
    <d v="2026-02-23T00:00:00"/>
    <d v="2026-02-23T00:00:00"/>
    <x v="0"/>
    <x v="10"/>
    <x v="2"/>
    <x v="1"/>
    <n v="157.6"/>
    <n v="3963.3"/>
    <n v="4270000"/>
    <b v="0"/>
    <b v="0"/>
    <n v="5000"/>
    <b v="0"/>
    <b v="0"/>
    <b v="0"/>
    <x v="0"/>
    <x v="42"/>
    <n v="79.266000000000005"/>
    <n v="0"/>
    <n v="0"/>
    <n v="2"/>
    <x v="5"/>
    <m/>
  </r>
  <r>
    <x v="1119"/>
    <d v="2026-01-11T00:00:00"/>
    <d v="2026-01-11T00:00:00"/>
    <d v="2026-01-13T00:00:00"/>
    <d v="2026-01-16T00:00:00"/>
    <x v="1"/>
    <x v="0"/>
    <x v="1"/>
    <x v="1"/>
    <n v="264.2"/>
    <n v="2356.4"/>
    <n v="4906000"/>
    <b v="0"/>
    <b v="0"/>
    <n v="5000"/>
    <b v="0"/>
    <b v="0"/>
    <b v="0"/>
    <x v="1"/>
    <x v="12"/>
    <n v="47.128"/>
    <n v="0"/>
    <n v="0"/>
    <n v="5"/>
    <x v="3"/>
    <n v="3"/>
  </r>
  <r>
    <x v="1120"/>
    <d v="2026-01-02T00:00:00"/>
    <d v="2026-01-03T00:00:00"/>
    <d v="2026-01-04T00:00:00"/>
    <d v="2026-01-04T00:00:00"/>
    <x v="0"/>
    <x v="6"/>
    <x v="1"/>
    <x v="0"/>
    <n v="24.3"/>
    <n v="860.8"/>
    <n v="1071000"/>
    <b v="0"/>
    <b v="0"/>
    <n v="1500"/>
    <b v="0"/>
    <b v="0"/>
    <b v="0"/>
    <x v="0"/>
    <x v="19"/>
    <n v="57.386666666666663"/>
    <n v="0"/>
    <n v="0"/>
    <n v="1"/>
    <x v="3"/>
    <m/>
  </r>
  <r>
    <x v="1121"/>
    <d v="2026-05-18T00:00:00"/>
    <d v="2026-05-20T00:00:00"/>
    <d v="2026-05-21T00:00:00"/>
    <d v="2026-05-21T00:00:00"/>
    <x v="1"/>
    <x v="8"/>
    <x v="3"/>
    <x v="1"/>
    <n v="57.9"/>
    <n v="1777.7"/>
    <n v="2251000"/>
    <b v="0"/>
    <b v="0"/>
    <n v="5000"/>
    <b v="0"/>
    <b v="0"/>
    <b v="0"/>
    <x v="0"/>
    <x v="28"/>
    <n v="35.554000000000002"/>
    <n v="0"/>
    <n v="0"/>
    <n v="1"/>
    <x v="2"/>
    <m/>
  </r>
  <r>
    <x v="1122"/>
    <d v="2026-04-16T00:00:00"/>
    <d v="2026-04-17T00:00:00"/>
    <d v="2026-04-20T00:00:00"/>
    <d v="2026-04-21T00:00:00"/>
    <x v="1"/>
    <x v="7"/>
    <x v="1"/>
    <x v="0"/>
    <n v="154.5"/>
    <n v="233.1"/>
    <n v="1960000"/>
    <b v="0"/>
    <b v="0"/>
    <n v="1500"/>
    <b v="0"/>
    <b v="0"/>
    <b v="0"/>
    <x v="1"/>
    <x v="26"/>
    <n v="15.54"/>
    <n v="0"/>
    <n v="0"/>
    <n v="4"/>
    <x v="4"/>
    <n v="1"/>
  </r>
  <r>
    <x v="1123"/>
    <d v="2026-05-11T00:00:00"/>
    <d v="2026-05-13T00:00:00"/>
    <d v="2026-05-15T00:00:00"/>
    <d v="2026-05-15T00:00:00"/>
    <x v="2"/>
    <x v="5"/>
    <x v="5"/>
    <x v="3"/>
    <n v="296.8"/>
    <n v="122.8"/>
    <n v="2820000"/>
    <b v="0"/>
    <b v="0"/>
    <n v="1000"/>
    <b v="0"/>
    <b v="0"/>
    <b v="0"/>
    <x v="0"/>
    <x v="17"/>
    <n v="12.28"/>
    <n v="0"/>
    <n v="0"/>
    <n v="2"/>
    <x v="2"/>
    <m/>
  </r>
  <r>
    <x v="1124"/>
    <d v="2026-01-26T00:00:00"/>
    <d v="2026-01-27T00:00:00"/>
    <d v="2026-01-31T00:00:00"/>
    <d v="2026-01-31T00:00:00"/>
    <x v="2"/>
    <x v="3"/>
    <x v="3"/>
    <x v="0"/>
    <n v="852.4"/>
    <n v="774.6"/>
    <n v="8147000"/>
    <b v="0"/>
    <b v="0"/>
    <n v="1500"/>
    <b v="0"/>
    <b v="0"/>
    <b v="0"/>
    <x v="0"/>
    <x v="3"/>
    <n v="51.64"/>
    <n v="0"/>
    <n v="0"/>
    <n v="4"/>
    <x v="3"/>
    <m/>
  </r>
  <r>
    <x v="1125"/>
    <d v="2026-03-30T00:00:00"/>
    <d v="2026-03-31T00:00:00"/>
    <d v="2026-04-01T00:00:00"/>
    <d v="2026-04-04T00:00:00"/>
    <x v="1"/>
    <x v="8"/>
    <x v="1"/>
    <x v="2"/>
    <n v="58.8"/>
    <n v="14706.1"/>
    <n v="6896000"/>
    <b v="0"/>
    <b v="0"/>
    <n v="16000"/>
    <b v="0"/>
    <b v="0"/>
    <b v="0"/>
    <x v="1"/>
    <x v="28"/>
    <n v="91.913124999999994"/>
    <n v="0"/>
    <n v="0"/>
    <n v="4"/>
    <x v="6"/>
    <n v="3"/>
  </r>
  <r>
    <x v="1126"/>
    <d v="2026-05-14T00:00:00"/>
    <d v="2026-05-15T00:00:00"/>
    <d v="2026-05-18T00:00:00"/>
    <d v="2026-05-18T00:00:00"/>
    <x v="1"/>
    <x v="2"/>
    <x v="3"/>
    <x v="3"/>
    <n v="308"/>
    <n v="716.9"/>
    <n v="3362000"/>
    <b v="0"/>
    <b v="0"/>
    <n v="1000"/>
    <b v="0"/>
    <b v="0"/>
    <b v="0"/>
    <x v="0"/>
    <x v="2"/>
    <n v="71.69"/>
    <n v="0"/>
    <n v="0"/>
    <n v="3"/>
    <x v="2"/>
    <m/>
  </r>
  <r>
    <x v="1127"/>
    <d v="2026-03-17T00:00:00"/>
    <d v="2026-03-18T00:00:00"/>
    <d v="2026-03-22T00:00:00"/>
    <d v="2026-03-22T00:00:00"/>
    <x v="1"/>
    <x v="3"/>
    <x v="2"/>
    <x v="1"/>
    <n v="944.1"/>
    <n v="4037"/>
    <n v="15635000"/>
    <b v="0"/>
    <b v="0"/>
    <n v="5000"/>
    <b v="0"/>
    <b v="0"/>
    <b v="0"/>
    <x v="0"/>
    <x v="35"/>
    <n v="80.739999999999995"/>
    <n v="0"/>
    <n v="0"/>
    <n v="4"/>
    <x v="6"/>
    <m/>
  </r>
  <r>
    <x v="1128"/>
    <d v="2026-05-26T00:00:00"/>
    <d v="2026-05-26T00:00:00"/>
    <d v="2026-05-30T00:00:00"/>
    <d v="2026-05-30T00:00:00"/>
    <x v="0"/>
    <x v="0"/>
    <x v="5"/>
    <x v="3"/>
    <n v="329.9"/>
    <n v="602"/>
    <n v="3757000"/>
    <b v="0"/>
    <b v="0"/>
    <n v="1000"/>
    <b v="0"/>
    <b v="0"/>
    <b v="0"/>
    <x v="0"/>
    <x v="0"/>
    <n v="60.2"/>
    <n v="0"/>
    <n v="0"/>
    <n v="4"/>
    <x v="2"/>
    <m/>
  </r>
  <r>
    <x v="1129"/>
    <d v="2026-02-26T00:00:00"/>
    <d v="2026-02-26T00:00:00"/>
    <d v="2026-03-02T00:00:00"/>
    <d v="2026-03-02T00:00:00"/>
    <x v="0"/>
    <x v="4"/>
    <x v="2"/>
    <x v="1"/>
    <n v="619.20000000000005"/>
    <n v="1957.9"/>
    <n v="7622000"/>
    <b v="0"/>
    <b v="0"/>
    <n v="5000"/>
    <b v="0"/>
    <b v="0"/>
    <b v="0"/>
    <x v="0"/>
    <x v="30"/>
    <n v="39.158000000000001"/>
    <n v="0"/>
    <n v="0"/>
    <n v="4"/>
    <x v="5"/>
    <m/>
  </r>
  <r>
    <x v="1130"/>
    <d v="2026-05-16T00:00:00"/>
    <d v="2026-05-17T00:00:00"/>
    <d v="2026-05-20T00:00:00"/>
    <d v="2026-05-20T00:00:00"/>
    <x v="2"/>
    <x v="9"/>
    <x v="2"/>
    <x v="3"/>
    <n v="435.3"/>
    <n v="137.30000000000001"/>
    <n v="4485000"/>
    <b v="0"/>
    <b v="0"/>
    <n v="1000"/>
    <b v="0"/>
    <b v="0"/>
    <b v="0"/>
    <x v="0"/>
    <x v="20"/>
    <n v="13.73"/>
    <n v="0"/>
    <n v="0"/>
    <n v="3"/>
    <x v="2"/>
    <m/>
  </r>
  <r>
    <x v="1131"/>
    <d v="2026-02-28T00:00:00"/>
    <d v="2026-03-01T00:00:00"/>
    <d v="2026-03-05T00:00:00"/>
    <d v="2026-03-05T00:00:00"/>
    <x v="3"/>
    <x v="3"/>
    <x v="5"/>
    <x v="0"/>
    <n v="1414.8"/>
    <n v="353.2"/>
    <n v="14372000"/>
    <b v="0"/>
    <b v="0"/>
    <n v="1500"/>
    <b v="0"/>
    <b v="0"/>
    <b v="0"/>
    <x v="0"/>
    <x v="43"/>
    <n v="23.54666666666667"/>
    <n v="0"/>
    <n v="0"/>
    <n v="4"/>
    <x v="6"/>
    <m/>
  </r>
  <r>
    <x v="1132"/>
    <d v="2026-03-23T00:00:00"/>
    <d v="2026-03-23T00:00:00"/>
    <d v="2026-03-28T00:00:00"/>
    <d v="2026-03-28T00:00:00"/>
    <x v="3"/>
    <x v="3"/>
    <x v="1"/>
    <x v="3"/>
    <n v="1429.1"/>
    <n v="413.1"/>
    <n v="11089000"/>
    <b v="0"/>
    <b v="0"/>
    <n v="1000"/>
    <b v="0"/>
    <b v="0"/>
    <b v="0"/>
    <x v="0"/>
    <x v="43"/>
    <n v="41.31"/>
    <n v="0"/>
    <n v="0"/>
    <n v="5"/>
    <x v="6"/>
    <m/>
  </r>
  <r>
    <x v="1133"/>
    <d v="2026-01-31T00:00:00"/>
    <d v="2026-02-01T00:00:00"/>
    <d v="2026-02-03T00:00:00"/>
    <d v="2026-02-03T00:00:00"/>
    <x v="0"/>
    <x v="5"/>
    <x v="3"/>
    <x v="2"/>
    <n v="176.5"/>
    <n v="14528.8"/>
    <n v="8002000"/>
    <b v="0"/>
    <b v="0"/>
    <n v="16000"/>
    <b v="0"/>
    <b v="0"/>
    <b v="0"/>
    <x v="0"/>
    <x v="8"/>
    <n v="90.805000000000007"/>
    <n v="0"/>
    <n v="0"/>
    <n v="2"/>
    <x v="5"/>
    <m/>
  </r>
  <r>
    <x v="1134"/>
    <d v="2026-01-12T00:00:00"/>
    <d v="2026-01-13T00:00:00"/>
    <d v="2026-01-16T00:00:00"/>
    <d v="2026-01-16T00:00:00"/>
    <x v="1"/>
    <x v="2"/>
    <x v="3"/>
    <x v="1"/>
    <n v="342.6"/>
    <n v="598.70000000000005"/>
    <n v="4637000"/>
    <b v="0"/>
    <b v="0"/>
    <n v="5000"/>
    <b v="0"/>
    <b v="0"/>
    <b v="0"/>
    <x v="0"/>
    <x v="2"/>
    <n v="11.974"/>
    <n v="0"/>
    <n v="0"/>
    <n v="3"/>
    <x v="3"/>
    <m/>
  </r>
  <r>
    <x v="1135"/>
    <d v="2026-02-09T00:00:00"/>
    <d v="2026-02-10T00:00:00"/>
    <d v="2026-02-11T00:00:00"/>
    <m/>
    <x v="0"/>
    <x v="6"/>
    <x v="3"/>
    <x v="0"/>
    <n v="30.7"/>
    <n v="1345.8"/>
    <n v="1457000"/>
    <b v="0"/>
    <b v="0"/>
    <n v="1500"/>
    <b v="0"/>
    <b v="0"/>
    <b v="0"/>
    <x v="2"/>
    <x v="19"/>
    <n v="89.72"/>
    <n v="0"/>
    <n v="0"/>
    <m/>
    <x v="5"/>
    <m/>
  </r>
  <r>
    <x v="1136"/>
    <d v="2026-06-12T00:00:00"/>
    <d v="2026-06-13T00:00:00"/>
    <d v="2026-06-17T00:00:00"/>
    <d v="2026-06-18T00:00:00"/>
    <x v="1"/>
    <x v="4"/>
    <x v="0"/>
    <x v="3"/>
    <n v="607.5"/>
    <n v="169.6"/>
    <n v="5893000"/>
    <b v="0"/>
    <b v="0"/>
    <n v="1000"/>
    <b v="0"/>
    <b v="0"/>
    <b v="0"/>
    <x v="1"/>
    <x v="38"/>
    <n v="16.96"/>
    <n v="0"/>
    <n v="0"/>
    <n v="5"/>
    <x v="1"/>
    <n v="1"/>
  </r>
  <r>
    <x v="1137"/>
    <d v="2026-02-03T00:00:00"/>
    <d v="2026-02-04T00:00:00"/>
    <d v="2026-02-05T00:00:00"/>
    <d v="2026-02-05T00:00:00"/>
    <x v="1"/>
    <x v="8"/>
    <x v="1"/>
    <x v="3"/>
    <n v="45.1"/>
    <n v="329.9"/>
    <n v="925000"/>
    <b v="0"/>
    <b v="0"/>
    <n v="1000"/>
    <b v="0"/>
    <b v="0"/>
    <b v="0"/>
    <x v="0"/>
    <x v="28"/>
    <n v="32.989999999999988"/>
    <n v="0"/>
    <n v="0"/>
    <n v="1"/>
    <x v="5"/>
    <m/>
  </r>
  <r>
    <x v="1138"/>
    <d v="2026-01-27T00:00:00"/>
    <d v="2026-01-29T00:00:00"/>
    <d v="2026-02-02T00:00:00"/>
    <d v="2026-02-02T00:00:00"/>
    <x v="0"/>
    <x v="11"/>
    <x v="2"/>
    <x v="1"/>
    <n v="469.5"/>
    <n v="1337.3"/>
    <n v="6405000"/>
    <b v="0"/>
    <b v="0"/>
    <n v="5000"/>
    <b v="0"/>
    <b v="0"/>
    <b v="0"/>
    <x v="0"/>
    <x v="36"/>
    <n v="26.745999999999999"/>
    <n v="0"/>
    <n v="0"/>
    <n v="4"/>
    <x v="3"/>
    <m/>
  </r>
  <r>
    <x v="1139"/>
    <d v="2026-06-07T00:00:00"/>
    <d v="2026-06-08T00:00:00"/>
    <d v="2026-06-10T00:00:00"/>
    <d v="2026-06-10T00:00:00"/>
    <x v="2"/>
    <x v="7"/>
    <x v="2"/>
    <x v="1"/>
    <n v="196.6"/>
    <n v="3273.8"/>
    <n v="4275000"/>
    <b v="0"/>
    <b v="0"/>
    <n v="5000"/>
    <b v="0"/>
    <b v="0"/>
    <b v="0"/>
    <x v="0"/>
    <x v="10"/>
    <n v="65.475999999999999"/>
    <n v="0"/>
    <n v="0"/>
    <n v="2"/>
    <x v="1"/>
    <m/>
  </r>
  <r>
    <x v="1140"/>
    <d v="2026-01-21T00:00:00"/>
    <d v="2026-01-22T00:00:00"/>
    <d v="2026-01-24T00:00:00"/>
    <d v="2026-01-24T00:00:00"/>
    <x v="2"/>
    <x v="7"/>
    <x v="1"/>
    <x v="2"/>
    <n v="181.4"/>
    <n v="8932.7999999999993"/>
    <n v="7494000"/>
    <b v="0"/>
    <b v="0"/>
    <n v="16000"/>
    <b v="0"/>
    <b v="0"/>
    <b v="0"/>
    <x v="0"/>
    <x v="10"/>
    <n v="55.829999999999991"/>
    <n v="0"/>
    <n v="0"/>
    <n v="2"/>
    <x v="3"/>
    <m/>
  </r>
  <r>
    <x v="1141"/>
    <d v="2026-01-24T00:00:00"/>
    <d v="2026-01-25T00:00:00"/>
    <d v="2026-01-27T00:00:00"/>
    <d v="2026-01-28T00:00:00"/>
    <x v="3"/>
    <x v="2"/>
    <x v="5"/>
    <x v="3"/>
    <n v="291.89999999999998"/>
    <n v="495.6"/>
    <n v="3368000"/>
    <b v="0"/>
    <b v="0"/>
    <n v="1000"/>
    <b v="0"/>
    <b v="0"/>
    <b v="0"/>
    <x v="1"/>
    <x v="14"/>
    <n v="49.56"/>
    <n v="0"/>
    <n v="0"/>
    <n v="3"/>
    <x v="3"/>
    <n v="1"/>
  </r>
  <r>
    <x v="1142"/>
    <d v="2026-01-27T00:00:00"/>
    <d v="2026-01-28T00:00:00"/>
    <d v="2026-02-01T00:00:00"/>
    <d v="2026-02-02T00:00:00"/>
    <x v="1"/>
    <x v="4"/>
    <x v="1"/>
    <x v="2"/>
    <n v="753.8"/>
    <n v="3846"/>
    <n v="14222000"/>
    <b v="0"/>
    <b v="0"/>
    <n v="16000"/>
    <b v="0"/>
    <b v="0"/>
    <b v="0"/>
    <x v="1"/>
    <x v="38"/>
    <n v="24.037500000000001"/>
    <n v="0"/>
    <n v="0"/>
    <n v="5"/>
    <x v="3"/>
    <n v="1"/>
  </r>
  <r>
    <x v="1143"/>
    <d v="2026-01-16T00:00:00"/>
    <d v="2026-01-17T00:00:00"/>
    <d v="2026-01-18T00:00:00"/>
    <d v="2026-01-18T00:00:00"/>
    <x v="0"/>
    <x v="6"/>
    <x v="5"/>
    <x v="2"/>
    <n v="16.2"/>
    <n v="5282.8"/>
    <n v="2627000"/>
    <b v="0"/>
    <b v="0"/>
    <n v="16000"/>
    <b v="0"/>
    <b v="0"/>
    <b v="0"/>
    <x v="0"/>
    <x v="19"/>
    <n v="33.017499999999998"/>
    <n v="0"/>
    <n v="0"/>
    <n v="1"/>
    <x v="3"/>
    <m/>
  </r>
  <r>
    <x v="1144"/>
    <d v="2026-04-26T00:00:00"/>
    <d v="2026-04-26T00:00:00"/>
    <d v="2026-04-29T00:00:00"/>
    <d v="2026-04-30T00:00:00"/>
    <x v="0"/>
    <x v="9"/>
    <x v="3"/>
    <x v="1"/>
    <n v="557.5"/>
    <n v="942.9"/>
    <n v="7128000"/>
    <b v="0"/>
    <b v="0"/>
    <n v="5000"/>
    <b v="0"/>
    <b v="0"/>
    <b v="0"/>
    <x v="1"/>
    <x v="44"/>
    <n v="18.858000000000001"/>
    <n v="0"/>
    <n v="0"/>
    <n v="4"/>
    <x v="4"/>
    <n v="1"/>
  </r>
  <r>
    <x v="1145"/>
    <d v="2026-03-28T00:00:00"/>
    <d v="2026-03-29T00:00:00"/>
    <d v="2026-04-01T00:00:00"/>
    <d v="2026-04-01T00:00:00"/>
    <x v="1"/>
    <x v="2"/>
    <x v="3"/>
    <x v="2"/>
    <n v="327.7"/>
    <n v="5393"/>
    <n v="8447000"/>
    <b v="0"/>
    <b v="0"/>
    <n v="16000"/>
    <b v="0"/>
    <b v="0"/>
    <b v="0"/>
    <x v="0"/>
    <x v="2"/>
    <n v="33.706249999999997"/>
    <n v="0"/>
    <n v="0"/>
    <n v="3"/>
    <x v="6"/>
    <m/>
  </r>
  <r>
    <x v="1146"/>
    <d v="2026-04-20T00:00:00"/>
    <d v="2026-04-21T00:00:00"/>
    <d v="2026-04-23T00:00:00"/>
    <d v="2026-04-24T00:00:00"/>
    <x v="1"/>
    <x v="0"/>
    <x v="1"/>
    <x v="2"/>
    <n v="292.60000000000002"/>
    <n v="9353.2000000000007"/>
    <n v="9299000"/>
    <b v="0"/>
    <b v="0"/>
    <n v="16000"/>
    <b v="0"/>
    <b v="0"/>
    <b v="0"/>
    <x v="1"/>
    <x v="12"/>
    <n v="58.45750000000001"/>
    <n v="0"/>
    <n v="0"/>
    <n v="3"/>
    <x v="4"/>
    <n v="1"/>
  </r>
  <r>
    <x v="1147"/>
    <d v="2026-03-20T00:00:00"/>
    <d v="2026-03-22T00:00:00"/>
    <d v="2026-03-26T00:00:00"/>
    <d v="2026-03-26T00:00:00"/>
    <x v="3"/>
    <x v="9"/>
    <x v="2"/>
    <x v="3"/>
    <n v="930.3"/>
    <n v="481"/>
    <n v="8895000"/>
    <b v="0"/>
    <b v="0"/>
    <n v="1000"/>
    <b v="0"/>
    <b v="0"/>
    <b v="0"/>
    <x v="0"/>
    <x v="31"/>
    <n v="48.1"/>
    <n v="0"/>
    <n v="0"/>
    <n v="4"/>
    <x v="6"/>
    <m/>
  </r>
  <r>
    <x v="1148"/>
    <d v="2026-03-15T00:00:00"/>
    <d v="2026-03-17T00:00:00"/>
    <d v="2026-03-20T00:00:00"/>
    <d v="2026-03-20T00:00:00"/>
    <x v="1"/>
    <x v="1"/>
    <x v="3"/>
    <x v="2"/>
    <n v="304.60000000000002"/>
    <n v="12097"/>
    <n v="10648000"/>
    <b v="0"/>
    <b v="0"/>
    <n v="16000"/>
    <b v="0"/>
    <b v="0"/>
    <b v="0"/>
    <x v="0"/>
    <x v="25"/>
    <n v="75.606250000000003"/>
    <n v="0"/>
    <n v="0"/>
    <n v="3"/>
    <x v="6"/>
    <m/>
  </r>
  <r>
    <x v="1149"/>
    <d v="2026-02-13T00:00:00"/>
    <d v="2026-02-14T00:00:00"/>
    <d v="2026-02-17T00:00:00"/>
    <d v="2026-02-17T00:00:00"/>
    <x v="1"/>
    <x v="5"/>
    <x v="5"/>
    <x v="2"/>
    <n v="335"/>
    <n v="3941.1"/>
    <n v="8067000"/>
    <b v="0"/>
    <b v="0"/>
    <n v="16000"/>
    <b v="0"/>
    <b v="0"/>
    <b v="0"/>
    <x v="0"/>
    <x v="5"/>
    <n v="24.631875000000001"/>
    <n v="0"/>
    <n v="0"/>
    <n v="3"/>
    <x v="5"/>
    <m/>
  </r>
  <r>
    <x v="1150"/>
    <d v="2026-02-12T00:00:00"/>
    <d v="2026-02-12T00:00:00"/>
    <d v="2026-02-15T00:00:00"/>
    <d v="2026-02-16T00:00:00"/>
    <x v="3"/>
    <x v="6"/>
    <x v="3"/>
    <x v="0"/>
    <n v="448.9"/>
    <n v="253"/>
    <n v="4799000"/>
    <b v="0"/>
    <b v="0"/>
    <n v="1500"/>
    <b v="0"/>
    <b v="0"/>
    <b v="0"/>
    <x v="1"/>
    <x v="13"/>
    <n v="16.866666666666671"/>
    <n v="0"/>
    <n v="0"/>
    <n v="4"/>
    <x v="5"/>
    <n v="1"/>
  </r>
  <r>
    <x v="1151"/>
    <d v="2026-05-25T00:00:00"/>
    <d v="2026-05-26T00:00:00"/>
    <d v="2026-05-30T00:00:00"/>
    <d v="2026-05-29T00:00:00"/>
    <x v="3"/>
    <x v="6"/>
    <x v="2"/>
    <x v="1"/>
    <n v="470.3"/>
    <n v="2475.1999999999998"/>
    <n v="8708000"/>
    <b v="0"/>
    <b v="0"/>
    <n v="5000"/>
    <b v="0"/>
    <b v="0"/>
    <b v="0"/>
    <x v="0"/>
    <x v="13"/>
    <n v="49.503999999999998"/>
    <n v="0"/>
    <n v="0"/>
    <n v="3"/>
    <x v="2"/>
    <m/>
  </r>
  <r>
    <x v="1152"/>
    <d v="2026-04-14T00:00:00"/>
    <d v="2026-04-15T00:00:00"/>
    <d v="2026-04-18T00:00:00"/>
    <d v="2026-04-18T00:00:00"/>
    <x v="0"/>
    <x v="0"/>
    <x v="0"/>
    <x v="2"/>
    <n v="339.4"/>
    <n v="11710.3"/>
    <n v="11661000"/>
    <b v="0"/>
    <b v="0"/>
    <n v="16000"/>
    <b v="0"/>
    <b v="0"/>
    <b v="0"/>
    <x v="0"/>
    <x v="0"/>
    <n v="73.189374999999998"/>
    <n v="0"/>
    <n v="0"/>
    <n v="3"/>
    <x v="4"/>
    <m/>
  </r>
  <r>
    <x v="1153"/>
    <d v="2026-05-02T00:00:00"/>
    <d v="2026-05-02T00:00:00"/>
    <d v="2026-05-05T00:00:00"/>
    <d v="2026-05-06T00:00:00"/>
    <x v="1"/>
    <x v="9"/>
    <x v="2"/>
    <x v="2"/>
    <n v="453.4"/>
    <n v="4848.6000000000004"/>
    <n v="10960000"/>
    <b v="0"/>
    <b v="0"/>
    <n v="16000"/>
    <b v="0"/>
    <b v="0"/>
    <b v="0"/>
    <x v="1"/>
    <x v="24"/>
    <n v="30.303750000000001"/>
    <n v="0"/>
    <n v="0"/>
    <n v="4"/>
    <x v="2"/>
    <n v="1"/>
  </r>
  <r>
    <x v="1154"/>
    <d v="2026-01-24T00:00:00"/>
    <d v="2026-01-25T00:00:00"/>
    <d v="2026-01-29T00:00:00"/>
    <d v="2026-01-29T00:00:00"/>
    <x v="1"/>
    <x v="5"/>
    <x v="5"/>
    <x v="3"/>
    <n v="315.7"/>
    <n v="467.8"/>
    <n v="3435000"/>
    <b v="0"/>
    <b v="0"/>
    <n v="1000"/>
    <b v="0"/>
    <b v="0"/>
    <b v="0"/>
    <x v="0"/>
    <x v="5"/>
    <n v="46.78"/>
    <n v="0"/>
    <n v="0"/>
    <n v="4"/>
    <x v="3"/>
    <m/>
  </r>
  <r>
    <x v="1155"/>
    <d v="2026-05-19T00:00:00"/>
    <d v="2026-05-21T00:00:00"/>
    <d v="2026-05-24T00:00:00"/>
    <d v="2026-05-25T00:00:00"/>
    <x v="3"/>
    <x v="1"/>
    <x v="5"/>
    <x v="2"/>
    <n v="562"/>
    <n v="3477.2"/>
    <n v="11678000"/>
    <b v="0"/>
    <b v="0"/>
    <n v="16000"/>
    <b v="0"/>
    <b v="0"/>
    <b v="0"/>
    <x v="1"/>
    <x v="21"/>
    <n v="21.732500000000002"/>
    <n v="0"/>
    <n v="0"/>
    <n v="4"/>
    <x v="2"/>
    <n v="1"/>
  </r>
  <r>
    <x v="1156"/>
    <d v="2026-02-24T00:00:00"/>
    <d v="2026-02-26T00:00:00"/>
    <d v="2026-03-02T00:00:00"/>
    <d v="2026-03-02T00:00:00"/>
    <x v="3"/>
    <x v="7"/>
    <x v="0"/>
    <x v="1"/>
    <n v="751.3"/>
    <n v="930.6"/>
    <n v="10625000"/>
    <b v="0"/>
    <b v="0"/>
    <n v="5000"/>
    <b v="0"/>
    <b v="0"/>
    <b v="0"/>
    <x v="0"/>
    <x v="40"/>
    <n v="18.611999999999998"/>
    <n v="0"/>
    <n v="0"/>
    <n v="4"/>
    <x v="5"/>
    <m/>
  </r>
  <r>
    <x v="1157"/>
    <d v="2026-04-17T00:00:00"/>
    <d v="2026-04-18T00:00:00"/>
    <d v="2026-04-21T00:00:00"/>
    <d v="2026-04-21T00:00:00"/>
    <x v="3"/>
    <x v="6"/>
    <x v="5"/>
    <x v="1"/>
    <n v="452.7"/>
    <n v="2320.3000000000002"/>
    <n v="7551000"/>
    <b v="0"/>
    <b v="0"/>
    <n v="5000"/>
    <b v="0"/>
    <b v="0"/>
    <b v="0"/>
    <x v="0"/>
    <x v="13"/>
    <n v="46.406000000000013"/>
    <n v="0"/>
    <n v="0"/>
    <n v="3"/>
    <x v="4"/>
    <m/>
  </r>
  <r>
    <x v="1158"/>
    <d v="2026-01-11T00:00:00"/>
    <d v="2026-01-11T00:00:00"/>
    <d v="2026-01-12T00:00:00"/>
    <d v="2026-01-12T00:00:00"/>
    <x v="1"/>
    <x v="10"/>
    <x v="5"/>
    <x v="0"/>
    <n v="33.700000000000003"/>
    <n v="786.1"/>
    <n v="1073000"/>
    <b v="0"/>
    <b v="0"/>
    <n v="1500"/>
    <b v="0"/>
    <b v="0"/>
    <b v="0"/>
    <x v="0"/>
    <x v="27"/>
    <n v="52.406666666666673"/>
    <n v="0"/>
    <n v="0"/>
    <n v="1"/>
    <x v="3"/>
    <m/>
  </r>
  <r>
    <x v="1159"/>
    <d v="2026-05-04T00:00:00"/>
    <d v="2026-05-06T00:00:00"/>
    <d v="2026-05-10T00:00:00"/>
    <d v="2026-05-10T00:00:00"/>
    <x v="1"/>
    <x v="3"/>
    <x v="0"/>
    <x v="1"/>
    <n v="879.2"/>
    <n v="1941.9"/>
    <n v="11188000"/>
    <b v="0"/>
    <b v="0"/>
    <n v="5000"/>
    <b v="0"/>
    <b v="0"/>
    <b v="0"/>
    <x v="0"/>
    <x v="35"/>
    <n v="38.838000000000001"/>
    <n v="0"/>
    <n v="0"/>
    <n v="4"/>
    <x v="2"/>
    <m/>
  </r>
  <r>
    <x v="1160"/>
    <d v="2026-04-08T00:00:00"/>
    <d v="2026-04-07T00:00:00"/>
    <d v="2026-04-13T00:00:00"/>
    <d v="2026-04-13T00:00:00"/>
    <x v="0"/>
    <x v="4"/>
    <x v="2"/>
    <x v="1"/>
    <n v="603.70000000000005"/>
    <n v="3757"/>
    <n v="11169000"/>
    <b v="1"/>
    <b v="0"/>
    <n v="5000"/>
    <b v="0"/>
    <b v="0"/>
    <b v="1"/>
    <x v="3"/>
    <x v="30"/>
    <n v="75.14"/>
    <n v="0"/>
    <n v="1"/>
    <m/>
    <x v="4"/>
    <m/>
  </r>
  <r>
    <x v="1161"/>
    <d v="2026-02-05T00:00:00"/>
    <d v="2026-02-06T00:00:00"/>
    <d v="2026-02-08T00:00:00"/>
    <d v="2026-02-08T00:00:00"/>
    <x v="0"/>
    <x v="1"/>
    <x v="2"/>
    <x v="0"/>
    <n v="299.5"/>
    <n v="893.6"/>
    <n v="3398000"/>
    <b v="0"/>
    <b v="0"/>
    <n v="1500"/>
    <b v="0"/>
    <b v="0"/>
    <b v="0"/>
    <x v="0"/>
    <x v="1"/>
    <n v="59.573333333333331"/>
    <n v="0"/>
    <n v="0"/>
    <n v="2"/>
    <x v="5"/>
    <m/>
  </r>
  <r>
    <x v="1162"/>
    <d v="2026-01-10T00:00:00"/>
    <d v="2026-01-10T00:00:00"/>
    <d v="2026-01-14T00:00:00"/>
    <d v="2026-01-13T00:00:00"/>
    <x v="1"/>
    <x v="11"/>
    <x v="0"/>
    <x v="3"/>
    <n v="637.1"/>
    <n v="480.6"/>
    <n v="6093000"/>
    <b v="0"/>
    <b v="0"/>
    <n v="1000"/>
    <b v="0"/>
    <b v="0"/>
    <b v="0"/>
    <x v="0"/>
    <x v="33"/>
    <n v="48.06"/>
    <n v="0"/>
    <n v="0"/>
    <n v="3"/>
    <x v="3"/>
    <m/>
  </r>
  <r>
    <x v="1163"/>
    <d v="2026-03-16T00:00:00"/>
    <d v="2026-03-17T00:00:00"/>
    <d v="2026-03-19T00:00:00"/>
    <d v="2026-03-20T00:00:00"/>
    <x v="1"/>
    <x v="6"/>
    <x v="3"/>
    <x v="3"/>
    <n v="164.2"/>
    <n v="270.7"/>
    <n v="1792000"/>
    <b v="0"/>
    <b v="0"/>
    <n v="1000"/>
    <b v="0"/>
    <b v="0"/>
    <b v="0"/>
    <x v="1"/>
    <x v="9"/>
    <n v="27.07"/>
    <n v="0"/>
    <n v="0"/>
    <n v="3"/>
    <x v="6"/>
    <n v="1"/>
  </r>
  <r>
    <x v="1164"/>
    <d v="2026-02-28T00:00:00"/>
    <d v="2026-03-01T00:00:00"/>
    <d v="2026-03-05T00:00:00"/>
    <m/>
    <x v="3"/>
    <x v="10"/>
    <x v="2"/>
    <x v="1"/>
    <n v="628"/>
    <n v="2630.5"/>
    <n v="9598000"/>
    <b v="0"/>
    <b v="0"/>
    <n v="5000"/>
    <b v="0"/>
    <b v="0"/>
    <b v="0"/>
    <x v="2"/>
    <x v="32"/>
    <n v="52.61"/>
    <n v="0"/>
    <n v="0"/>
    <m/>
    <x v="6"/>
    <m/>
  </r>
  <r>
    <x v="1165"/>
    <d v="2026-06-19T00:00:00"/>
    <d v="2026-06-20T00:00:00"/>
    <d v="2026-06-22T00:00:00"/>
    <d v="2026-06-22T00:00:00"/>
    <x v="0"/>
    <x v="1"/>
    <x v="5"/>
    <x v="0"/>
    <n v="241.3"/>
    <n v="179"/>
    <n v="2844000"/>
    <b v="0"/>
    <b v="0"/>
    <n v="1500"/>
    <b v="0"/>
    <b v="0"/>
    <b v="0"/>
    <x v="0"/>
    <x v="1"/>
    <n v="11.93333333333333"/>
    <n v="0"/>
    <n v="0"/>
    <n v="2"/>
    <x v="1"/>
    <m/>
  </r>
  <r>
    <x v="1166"/>
    <d v="2026-05-30T00:00:00"/>
    <d v="2026-05-31T00:00:00"/>
    <d v="2026-06-04T00:00:00"/>
    <d v="2026-06-05T00:00:00"/>
    <x v="1"/>
    <x v="4"/>
    <x v="2"/>
    <x v="0"/>
    <n v="736"/>
    <n v="291.10000000000002"/>
    <n v="6896000"/>
    <b v="0"/>
    <b v="0"/>
    <n v="1500"/>
    <b v="0"/>
    <b v="0"/>
    <b v="0"/>
    <x v="1"/>
    <x v="38"/>
    <n v="19.40666666666667"/>
    <n v="0"/>
    <n v="0"/>
    <n v="5"/>
    <x v="2"/>
    <n v="1"/>
  </r>
  <r>
    <x v="1167"/>
    <d v="2026-01-22T00:00:00"/>
    <d v="2026-01-23T00:00:00"/>
    <d v="2026-01-27T00:00:00"/>
    <d v="2026-01-27T00:00:00"/>
    <x v="2"/>
    <x v="11"/>
    <x v="0"/>
    <x v="2"/>
    <n v="617.29999999999995"/>
    <n v="10378.200000000001"/>
    <n v="15104000"/>
    <b v="0"/>
    <b v="0"/>
    <n v="16000"/>
    <b v="0"/>
    <b v="0"/>
    <b v="0"/>
    <x v="0"/>
    <x v="41"/>
    <n v="64.86375000000001"/>
    <n v="0"/>
    <n v="0"/>
    <n v="4"/>
    <x v="3"/>
    <m/>
  </r>
  <r>
    <x v="1168"/>
    <d v="2026-06-13T00:00:00"/>
    <d v="2026-06-14T00:00:00"/>
    <d v="2026-06-16T00:00:00"/>
    <d v="2026-06-16T00:00:00"/>
    <x v="1"/>
    <x v="6"/>
    <x v="1"/>
    <x v="2"/>
    <n v="154.1"/>
    <n v="7188.6"/>
    <n v="6372000"/>
    <b v="0"/>
    <b v="0"/>
    <n v="16000"/>
    <b v="0"/>
    <b v="0"/>
    <b v="0"/>
    <x v="0"/>
    <x v="9"/>
    <n v="44.928750000000001"/>
    <n v="0"/>
    <n v="0"/>
    <n v="2"/>
    <x v="1"/>
    <m/>
  </r>
  <r>
    <x v="1169"/>
    <d v="2026-01-16T00:00:00"/>
    <d v="2026-01-17T00:00:00"/>
    <d v="2026-01-21T00:00:00"/>
    <d v="2026-01-22T00:00:00"/>
    <x v="1"/>
    <x v="5"/>
    <x v="2"/>
    <x v="1"/>
    <n v="327"/>
    <n v="3726.5"/>
    <n v="6578000"/>
    <b v="0"/>
    <b v="0"/>
    <n v="5000"/>
    <b v="0"/>
    <b v="0"/>
    <b v="0"/>
    <x v="1"/>
    <x v="5"/>
    <n v="74.53"/>
    <n v="0"/>
    <n v="0"/>
    <n v="5"/>
    <x v="3"/>
    <n v="1"/>
  </r>
  <r>
    <x v="1170"/>
    <d v="2026-01-23T00:00:00"/>
    <d v="2026-01-24T00:00:00"/>
    <d v="2026-01-28T00:00:00"/>
    <d v="2026-01-28T00:00:00"/>
    <x v="3"/>
    <x v="3"/>
    <x v="1"/>
    <x v="3"/>
    <n v="1503.4"/>
    <n v="743.6"/>
    <n v="12860000"/>
    <b v="0"/>
    <b v="0"/>
    <n v="1000"/>
    <b v="0"/>
    <b v="0"/>
    <b v="0"/>
    <x v="0"/>
    <x v="43"/>
    <n v="74.36"/>
    <n v="0"/>
    <n v="0"/>
    <n v="4"/>
    <x v="3"/>
    <m/>
  </r>
  <r>
    <x v="1171"/>
    <d v="2026-01-13T00:00:00"/>
    <d v="2026-01-13T00:00:00"/>
    <d v="2026-01-15T00:00:00"/>
    <d v="2026-01-15T00:00:00"/>
    <x v="1"/>
    <x v="0"/>
    <x v="1"/>
    <x v="1"/>
    <n v="269"/>
    <n v="1550.3"/>
    <n v="4716000"/>
    <b v="0"/>
    <b v="0"/>
    <n v="5000"/>
    <b v="0"/>
    <b v="0"/>
    <b v="0"/>
    <x v="0"/>
    <x v="12"/>
    <n v="31.006"/>
    <n v="0"/>
    <n v="0"/>
    <n v="2"/>
    <x v="3"/>
    <m/>
  </r>
  <r>
    <x v="1172"/>
    <d v="2026-01-02T00:00:00"/>
    <d v="2026-01-04T00:00:00"/>
    <d v="2026-01-08T00:00:00"/>
    <d v="2026-01-08T00:00:00"/>
    <x v="3"/>
    <x v="7"/>
    <x v="2"/>
    <x v="2"/>
    <n v="655.5"/>
    <n v="7660.9"/>
    <n v="14768000"/>
    <b v="0"/>
    <b v="0"/>
    <n v="16000"/>
    <b v="0"/>
    <b v="0"/>
    <b v="0"/>
    <x v="0"/>
    <x v="40"/>
    <n v="47.880625000000002"/>
    <n v="0"/>
    <n v="0"/>
    <n v="4"/>
    <x v="3"/>
    <m/>
  </r>
  <r>
    <x v="1173"/>
    <d v="2026-06-03T00:00:00"/>
    <d v="2026-06-04T00:00:00"/>
    <d v="2026-06-06T00:00:00"/>
    <d v="2026-06-07T00:00:00"/>
    <x v="0"/>
    <x v="1"/>
    <x v="2"/>
    <x v="3"/>
    <n v="268.10000000000002"/>
    <n v="465.2"/>
    <n v="2786000"/>
    <b v="0"/>
    <b v="0"/>
    <n v="1000"/>
    <b v="0"/>
    <b v="0"/>
    <b v="0"/>
    <x v="1"/>
    <x v="1"/>
    <n v="46.52"/>
    <n v="0"/>
    <n v="0"/>
    <n v="3"/>
    <x v="1"/>
    <n v="1"/>
  </r>
  <r>
    <x v="1174"/>
    <d v="2026-04-11T00:00:00"/>
    <d v="2026-04-12T00:00:00"/>
    <d v="2026-04-15T00:00:00"/>
    <d v="2026-04-15T00:00:00"/>
    <x v="1"/>
    <x v="1"/>
    <x v="0"/>
    <x v="3"/>
    <n v="338.3"/>
    <n v="658.5"/>
    <n v="3327000"/>
    <b v="0"/>
    <b v="0"/>
    <n v="1000"/>
    <b v="0"/>
    <b v="0"/>
    <b v="0"/>
    <x v="0"/>
    <x v="25"/>
    <n v="65.849999999999994"/>
    <n v="0"/>
    <n v="0"/>
    <n v="3"/>
    <x v="4"/>
    <m/>
  </r>
  <r>
    <x v="1175"/>
    <d v="2026-04-25T00:00:00"/>
    <d v="2026-04-26T00:00:00"/>
    <d v="2026-04-30T00:00:00"/>
    <d v="2026-04-30T00:00:00"/>
    <x v="3"/>
    <x v="10"/>
    <x v="5"/>
    <x v="1"/>
    <n v="613.4"/>
    <n v="3134.8"/>
    <n v="9330000"/>
    <b v="0"/>
    <b v="0"/>
    <n v="5000"/>
    <b v="0"/>
    <b v="0"/>
    <b v="0"/>
    <x v="0"/>
    <x v="32"/>
    <n v="62.696000000000012"/>
    <n v="0"/>
    <n v="0"/>
    <n v="4"/>
    <x v="4"/>
    <m/>
  </r>
  <r>
    <x v="1176"/>
    <d v="2026-04-03T00:00:00"/>
    <d v="2026-04-03T00:00:00"/>
    <d v="2026-04-07T00:00:00"/>
    <d v="2026-04-07T00:00:00"/>
    <x v="1"/>
    <x v="11"/>
    <x v="5"/>
    <x v="0"/>
    <n v="601.5"/>
    <n v="234.4"/>
    <n v="6711000"/>
    <b v="0"/>
    <b v="0"/>
    <n v="1500"/>
    <b v="0"/>
    <b v="0"/>
    <b v="0"/>
    <x v="0"/>
    <x v="33"/>
    <n v="15.62666666666667"/>
    <n v="0"/>
    <n v="0"/>
    <n v="4"/>
    <x v="4"/>
    <m/>
  </r>
  <r>
    <x v="1177"/>
    <d v="2026-05-17T00:00:00"/>
    <d v="2026-05-17T00:00:00"/>
    <d v="2026-05-20T00:00:00"/>
    <d v="2026-05-21T00:00:00"/>
    <x v="2"/>
    <x v="11"/>
    <x v="1"/>
    <x v="0"/>
    <n v="594.5"/>
    <n v="405.8"/>
    <n v="6453000"/>
    <b v="0"/>
    <b v="0"/>
    <n v="1500"/>
    <b v="0"/>
    <b v="0"/>
    <b v="0"/>
    <x v="1"/>
    <x v="41"/>
    <n v="27.053333333333331"/>
    <n v="0"/>
    <n v="0"/>
    <n v="4"/>
    <x v="2"/>
    <n v="1"/>
  </r>
  <r>
    <x v="1178"/>
    <d v="2026-03-19T00:00:00"/>
    <d v="2026-03-19T00:00:00"/>
    <d v="2026-03-20T00:00:00"/>
    <d v="2026-03-19T00:00:00"/>
    <x v="2"/>
    <x v="8"/>
    <x v="3"/>
    <x v="2"/>
    <n v="19.5"/>
    <n v="11766.9"/>
    <n v="4988000"/>
    <b v="0"/>
    <b v="0"/>
    <n v="16000"/>
    <b v="0"/>
    <b v="0"/>
    <b v="0"/>
    <x v="0"/>
    <x v="18"/>
    <n v="73.543125000000003"/>
    <n v="0"/>
    <n v="0"/>
    <n v="0"/>
    <x v="6"/>
    <m/>
  </r>
  <r>
    <x v="1179"/>
    <d v="2026-01-14T00:00:00"/>
    <d v="2026-01-15T00:00:00"/>
    <d v="2026-01-16T00:00:00"/>
    <d v="2026-01-17T00:00:00"/>
    <x v="1"/>
    <x v="10"/>
    <x v="1"/>
    <x v="0"/>
    <n v="35.299999999999997"/>
    <n v="863"/>
    <n v="1369000"/>
    <b v="0"/>
    <b v="0"/>
    <n v="1500"/>
    <b v="0"/>
    <b v="0"/>
    <b v="0"/>
    <x v="1"/>
    <x v="27"/>
    <n v="57.533333333333339"/>
    <n v="0"/>
    <n v="0"/>
    <n v="2"/>
    <x v="3"/>
    <n v="1"/>
  </r>
  <r>
    <x v="1180"/>
    <d v="2026-01-20T00:00:00"/>
    <d v="2026-01-21T00:00:00"/>
    <d v="2026-01-24T00:00:00"/>
    <d v="2026-01-24T00:00:00"/>
    <x v="2"/>
    <x v="11"/>
    <x v="5"/>
    <x v="0"/>
    <n v="556.29999999999995"/>
    <n v="361.5"/>
    <n v="5685000"/>
    <b v="0"/>
    <b v="0"/>
    <n v="1500"/>
    <b v="0"/>
    <b v="0"/>
    <b v="0"/>
    <x v="0"/>
    <x v="41"/>
    <n v="24.1"/>
    <n v="0"/>
    <n v="0"/>
    <n v="3"/>
    <x v="3"/>
    <m/>
  </r>
  <r>
    <x v="1181"/>
    <d v="2026-01-21T00:00:00"/>
    <d v="2026-01-23T00:00:00"/>
    <d v="2026-01-26T00:00:00"/>
    <d v="2026-01-28T00:00:00"/>
    <x v="1"/>
    <x v="9"/>
    <x v="0"/>
    <x v="1"/>
    <n v="488.4"/>
    <n v="3644.6"/>
    <n v="6541000"/>
    <b v="0"/>
    <b v="0"/>
    <n v="5000"/>
    <b v="0"/>
    <b v="0"/>
    <b v="0"/>
    <x v="1"/>
    <x v="24"/>
    <n v="72.891999999999996"/>
    <n v="0"/>
    <n v="0"/>
    <n v="5"/>
    <x v="3"/>
    <n v="2"/>
  </r>
  <r>
    <x v="1182"/>
    <d v="2026-03-23T00:00:00"/>
    <d v="2026-03-24T00:00:00"/>
    <d v="2026-03-26T00:00:00"/>
    <d v="2026-03-28T00:00:00"/>
    <x v="0"/>
    <x v="2"/>
    <x v="1"/>
    <x v="2"/>
    <n v="182.5"/>
    <n v="13827.7"/>
    <n v="8599000"/>
    <b v="0"/>
    <b v="0"/>
    <n v="16000"/>
    <b v="0"/>
    <b v="0"/>
    <b v="0"/>
    <x v="1"/>
    <x v="23"/>
    <n v="86.423124999999999"/>
    <n v="0"/>
    <n v="0"/>
    <n v="4"/>
    <x v="6"/>
    <n v="2"/>
  </r>
  <r>
    <x v="1183"/>
    <d v="2026-03-16T00:00:00"/>
    <d v="2026-03-18T00:00:00"/>
    <d v="2026-03-19T00:00:00"/>
    <d v="2026-03-19T00:00:00"/>
    <x v="3"/>
    <x v="11"/>
    <x v="5"/>
    <x v="0"/>
    <n v="23.9"/>
    <n v="220.8"/>
    <n v="794000"/>
    <b v="0"/>
    <b v="0"/>
    <n v="1500"/>
    <b v="0"/>
    <b v="0"/>
    <b v="0"/>
    <x v="0"/>
    <x v="39"/>
    <n v="14.72"/>
    <n v="0"/>
    <n v="0"/>
    <n v="1"/>
    <x v="6"/>
    <m/>
  </r>
  <r>
    <x v="1184"/>
    <d v="2026-02-21T00:00:00"/>
    <d v="2026-02-22T00:00:00"/>
    <d v="2026-02-24T00:00:00"/>
    <d v="2026-02-26T00:00:00"/>
    <x v="1"/>
    <x v="7"/>
    <x v="1"/>
    <x v="1"/>
    <n v="152.19999999999999"/>
    <n v="2143"/>
    <n v="4038000"/>
    <b v="0"/>
    <b v="0"/>
    <n v="5000"/>
    <b v="0"/>
    <b v="0"/>
    <b v="0"/>
    <x v="1"/>
    <x v="26"/>
    <n v="42.86"/>
    <n v="0"/>
    <n v="0"/>
    <n v="4"/>
    <x v="5"/>
    <n v="2"/>
  </r>
  <r>
    <x v="1185"/>
    <d v="2026-03-30T00:00:00"/>
    <d v="2026-03-31T00:00:00"/>
    <d v="2026-04-03T00:00:00"/>
    <d v="2026-04-03T00:00:00"/>
    <x v="1"/>
    <x v="9"/>
    <x v="3"/>
    <x v="2"/>
    <n v="457.6"/>
    <n v="11677.4"/>
    <n v="13005000"/>
    <b v="0"/>
    <b v="0"/>
    <n v="16000"/>
    <b v="0"/>
    <b v="0"/>
    <b v="0"/>
    <x v="0"/>
    <x v="24"/>
    <n v="72.983750000000001"/>
    <n v="0"/>
    <n v="0"/>
    <n v="3"/>
    <x v="6"/>
    <m/>
  </r>
  <r>
    <x v="1186"/>
    <d v="2026-03-24T00:00:00"/>
    <d v="2026-03-26T00:00:00"/>
    <d v="2026-03-30T00:00:00"/>
    <d v="2026-03-30T00:00:00"/>
    <x v="2"/>
    <x v="4"/>
    <x v="3"/>
    <x v="2"/>
    <n v="777.3"/>
    <n v="8722.6"/>
    <n v="17720000"/>
    <b v="0"/>
    <b v="0"/>
    <n v="16000"/>
    <b v="0"/>
    <b v="0"/>
    <b v="0"/>
    <x v="0"/>
    <x v="4"/>
    <n v="54.516249999999999"/>
    <n v="0"/>
    <n v="0"/>
    <n v="4"/>
    <x v="6"/>
    <m/>
  </r>
  <r>
    <x v="1187"/>
    <d v="2026-02-25T00:00:00"/>
    <d v="2026-02-27T00:00:00"/>
    <d v="2026-03-03T00:00:00"/>
    <d v="2026-03-02T00:00:00"/>
    <x v="2"/>
    <x v="4"/>
    <x v="3"/>
    <x v="3"/>
    <n v="752.7"/>
    <n v="635"/>
    <n v="6524000"/>
    <b v="0"/>
    <b v="0"/>
    <n v="1000"/>
    <b v="0"/>
    <b v="0"/>
    <b v="0"/>
    <x v="0"/>
    <x v="4"/>
    <n v="63.5"/>
    <n v="0"/>
    <n v="0"/>
    <n v="3"/>
    <x v="5"/>
    <m/>
  </r>
  <r>
    <x v="1188"/>
    <d v="2026-03-14T00:00:00"/>
    <d v="2026-03-15T00:00:00"/>
    <d v="2026-03-17T00:00:00"/>
    <d v="2026-03-17T00:00:00"/>
    <x v="1"/>
    <x v="0"/>
    <x v="0"/>
    <x v="2"/>
    <n v="265.8"/>
    <n v="2783.2"/>
    <n v="6775000"/>
    <b v="0"/>
    <b v="0"/>
    <n v="16000"/>
    <b v="0"/>
    <b v="0"/>
    <b v="0"/>
    <x v="0"/>
    <x v="12"/>
    <n v="17.395"/>
    <n v="0"/>
    <n v="0"/>
    <n v="2"/>
    <x v="6"/>
    <m/>
  </r>
  <r>
    <x v="1189"/>
    <d v="2026-06-17T00:00:00"/>
    <d v="2026-06-18T00:00:00"/>
    <d v="2026-06-19T00:00:00"/>
    <d v="2026-06-19T00:00:00"/>
    <x v="1"/>
    <x v="8"/>
    <x v="1"/>
    <x v="1"/>
    <n v="54.9"/>
    <n v="909.3"/>
    <n v="1950000"/>
    <b v="0"/>
    <b v="0"/>
    <n v="5000"/>
    <b v="0"/>
    <b v="0"/>
    <b v="0"/>
    <x v="0"/>
    <x v="28"/>
    <n v="18.186"/>
    <n v="0"/>
    <n v="0"/>
    <n v="1"/>
    <x v="1"/>
    <m/>
  </r>
  <r>
    <x v="1190"/>
    <d v="2026-03-24T00:00:00"/>
    <d v="2026-03-25T00:00:00"/>
    <d v="2026-03-29T00:00:00"/>
    <d v="2026-03-30T00:00:00"/>
    <x v="3"/>
    <x v="9"/>
    <x v="3"/>
    <x v="1"/>
    <n v="963"/>
    <n v="2920"/>
    <n v="14643000"/>
    <b v="0"/>
    <b v="0"/>
    <n v="5000"/>
    <b v="0"/>
    <b v="0"/>
    <b v="0"/>
    <x v="1"/>
    <x v="31"/>
    <n v="58.4"/>
    <n v="0"/>
    <n v="0"/>
    <n v="5"/>
    <x v="6"/>
    <n v="1"/>
  </r>
  <r>
    <x v="1191"/>
    <d v="2026-02-01T00:00:00"/>
    <d v="2026-02-02T00:00:00"/>
    <d v="2026-02-06T00:00:00"/>
    <d v="2026-02-08T00:00:00"/>
    <x v="0"/>
    <x v="3"/>
    <x v="2"/>
    <x v="0"/>
    <n v="1131.2"/>
    <n v="1010.2"/>
    <n v="10763000"/>
    <b v="0"/>
    <b v="0"/>
    <n v="1500"/>
    <b v="0"/>
    <b v="0"/>
    <b v="0"/>
    <x v="1"/>
    <x v="47"/>
    <n v="67.346666666666664"/>
    <n v="0"/>
    <n v="0"/>
    <n v="6"/>
    <x v="5"/>
    <n v="2"/>
  </r>
  <r>
    <x v="1192"/>
    <d v="2026-05-30T00:00:00"/>
    <d v="2026-05-31T00:00:00"/>
    <d v="2026-06-02T00:00:00"/>
    <d v="2026-06-02T00:00:00"/>
    <x v="2"/>
    <x v="6"/>
    <x v="3"/>
    <x v="1"/>
    <n v="130.30000000000001"/>
    <n v="1111.8"/>
    <n v="2801000"/>
    <b v="0"/>
    <b v="0"/>
    <n v="5000"/>
    <b v="0"/>
    <b v="0"/>
    <b v="0"/>
    <x v="0"/>
    <x v="6"/>
    <n v="22.236000000000001"/>
    <n v="0"/>
    <n v="0"/>
    <n v="2"/>
    <x v="2"/>
    <m/>
  </r>
  <r>
    <x v="1193"/>
    <d v="2026-01-29T00:00:00"/>
    <d v="2026-01-30T00:00:00"/>
    <d v="2026-02-03T00:00:00"/>
    <d v="2026-02-03T00:00:00"/>
    <x v="3"/>
    <x v="3"/>
    <x v="0"/>
    <x v="0"/>
    <n v="1594.2"/>
    <n v="582.4"/>
    <n v="14663000"/>
    <b v="0"/>
    <b v="0"/>
    <n v="1500"/>
    <b v="0"/>
    <b v="0"/>
    <b v="0"/>
    <x v="0"/>
    <x v="43"/>
    <n v="38.826666666666668"/>
    <n v="0"/>
    <n v="0"/>
    <n v="4"/>
    <x v="3"/>
    <m/>
  </r>
  <r>
    <x v="1194"/>
    <d v="2026-01-28T00:00:00"/>
    <d v="2026-01-28T00:00:00"/>
    <d v="2026-01-29T00:00:00"/>
    <d v="2026-01-29T00:00:00"/>
    <x v="1"/>
    <x v="8"/>
    <x v="5"/>
    <x v="1"/>
    <n v="49.5"/>
    <n v="4090.6"/>
    <n v="3033000"/>
    <b v="0"/>
    <b v="0"/>
    <n v="5000"/>
    <b v="0"/>
    <b v="0"/>
    <b v="0"/>
    <x v="0"/>
    <x v="28"/>
    <n v="81.811999999999998"/>
    <n v="0"/>
    <n v="0"/>
    <n v="1"/>
    <x v="3"/>
    <m/>
  </r>
  <r>
    <x v="1195"/>
    <d v="2026-06-18T00:00:00"/>
    <d v="2026-06-19T00:00:00"/>
    <d v="2026-06-23T00:00:00"/>
    <d v="2026-06-22T00:00:00"/>
    <x v="1"/>
    <x v="4"/>
    <x v="5"/>
    <x v="0"/>
    <n v="792.7"/>
    <n v="571.1"/>
    <n v="7943000"/>
    <b v="0"/>
    <b v="0"/>
    <n v="1500"/>
    <b v="0"/>
    <b v="0"/>
    <b v="0"/>
    <x v="0"/>
    <x v="38"/>
    <n v="38.073333333333338"/>
    <n v="0"/>
    <n v="0"/>
    <n v="3"/>
    <x v="1"/>
    <m/>
  </r>
  <r>
    <x v="1196"/>
    <d v="2026-01-02T00:00:00"/>
    <d v="2026-01-03T00:00:00"/>
    <d v="2026-01-07T00:00:00"/>
    <d v="2026-01-08T00:00:00"/>
    <x v="2"/>
    <x v="4"/>
    <x v="1"/>
    <x v="1"/>
    <n v="758.4"/>
    <n v="544.1"/>
    <n v="11294000"/>
    <b v="0"/>
    <b v="0"/>
    <n v="5000"/>
    <b v="0"/>
    <b v="0"/>
    <b v="0"/>
    <x v="1"/>
    <x v="4"/>
    <n v="10.882"/>
    <n v="0"/>
    <n v="0"/>
    <n v="5"/>
    <x v="3"/>
    <n v="1"/>
  </r>
  <r>
    <x v="1197"/>
    <d v="2026-04-18T00:00:00"/>
    <d v="2026-04-19T00:00:00"/>
    <d v="2026-04-23T00:00:00"/>
    <d v="2026-04-23T00:00:00"/>
    <x v="2"/>
    <x v="11"/>
    <x v="3"/>
    <x v="1"/>
    <n v="620.29999999999995"/>
    <n v="1919.4"/>
    <n v="9974000"/>
    <b v="0"/>
    <b v="0"/>
    <n v="5000"/>
    <b v="0"/>
    <b v="0"/>
    <b v="0"/>
    <x v="0"/>
    <x v="41"/>
    <n v="38.387999999999998"/>
    <n v="0"/>
    <n v="0"/>
    <n v="4"/>
    <x v="4"/>
    <m/>
  </r>
  <r>
    <x v="1198"/>
    <d v="2026-04-02T00:00:00"/>
    <d v="2026-04-03T00:00:00"/>
    <d v="2026-04-05T00:00:00"/>
    <d v="2026-04-05T00:00:00"/>
    <x v="2"/>
    <x v="7"/>
    <x v="1"/>
    <x v="2"/>
    <n v="192"/>
    <n v="11725.1"/>
    <n v="7821000"/>
    <b v="0"/>
    <b v="0"/>
    <n v="16000"/>
    <b v="0"/>
    <b v="0"/>
    <b v="0"/>
    <x v="0"/>
    <x v="10"/>
    <n v="73.281875000000014"/>
    <n v="0"/>
    <n v="0"/>
    <n v="2"/>
    <x v="4"/>
    <m/>
  </r>
  <r>
    <x v="1199"/>
    <d v="2026-06-21T00:00:00"/>
    <d v="2026-06-22T00:00:00"/>
    <d v="2026-06-25T00:00:00"/>
    <d v="2026-06-26T00:00:00"/>
    <x v="0"/>
    <x v="9"/>
    <x v="5"/>
    <x v="2"/>
    <n v="543.4"/>
    <n v="8887.6"/>
    <n v="12290000"/>
    <b v="0"/>
    <b v="0"/>
    <n v="16000"/>
    <b v="0"/>
    <b v="0"/>
    <b v="0"/>
    <x v="1"/>
    <x v="44"/>
    <n v="55.547500000000007"/>
    <n v="0"/>
    <n v="0"/>
    <n v="4"/>
    <x v="1"/>
    <n v="1"/>
  </r>
  <r>
    <x v="1200"/>
    <d v="2026-04-25T00:00:00"/>
    <d v="2026-04-26T00:00:00"/>
    <d v="2026-04-27T00:00:00"/>
    <d v="2026-04-27T00:00:00"/>
    <x v="1"/>
    <x v="8"/>
    <x v="1"/>
    <x v="1"/>
    <n v="58.5"/>
    <n v="1703.4"/>
    <n v="2048000"/>
    <b v="0"/>
    <b v="0"/>
    <n v="5000"/>
    <b v="0"/>
    <b v="0"/>
    <b v="0"/>
    <x v="0"/>
    <x v="28"/>
    <n v="34.067999999999998"/>
    <n v="0"/>
    <n v="0"/>
    <n v="1"/>
    <x v="4"/>
    <m/>
  </r>
  <r>
    <x v="1201"/>
    <d v="2026-05-27T00:00:00"/>
    <d v="2026-05-28T00:00:00"/>
    <d v="2026-05-30T00:00:00"/>
    <d v="2026-05-30T00:00:00"/>
    <x v="0"/>
    <x v="5"/>
    <x v="2"/>
    <x v="3"/>
    <n v="171.8"/>
    <n v="405"/>
    <n v="2233000"/>
    <b v="0"/>
    <b v="0"/>
    <n v="1000"/>
    <b v="0"/>
    <b v="0"/>
    <b v="0"/>
    <x v="0"/>
    <x v="8"/>
    <n v="40.5"/>
    <n v="0"/>
    <n v="0"/>
    <n v="2"/>
    <x v="2"/>
    <m/>
  </r>
  <r>
    <x v="1202"/>
    <d v="2026-03-11T00:00:00"/>
    <d v="2026-03-13T00:00:00"/>
    <d v="2026-03-16T00:00:00"/>
    <d v="2026-03-16T00:00:00"/>
    <x v="1"/>
    <x v="11"/>
    <x v="3"/>
    <x v="0"/>
    <n v="592.6"/>
    <n v="644.70000000000005"/>
    <n v="6231000"/>
    <b v="0"/>
    <b v="0"/>
    <n v="1500"/>
    <b v="0"/>
    <b v="0"/>
    <b v="0"/>
    <x v="0"/>
    <x v="33"/>
    <n v="42.98"/>
    <n v="0"/>
    <n v="0"/>
    <n v="3"/>
    <x v="6"/>
    <m/>
  </r>
  <r>
    <x v="1203"/>
    <d v="2026-02-13T00:00:00"/>
    <d v="2026-02-14T00:00:00"/>
    <d v="2026-02-16T00:00:00"/>
    <d v="2026-02-16T00:00:00"/>
    <x v="0"/>
    <x v="8"/>
    <x v="5"/>
    <x v="1"/>
    <n v="131.5"/>
    <n v="1058"/>
    <n v="2585000"/>
    <b v="0"/>
    <b v="0"/>
    <n v="5000"/>
    <b v="0"/>
    <b v="0"/>
    <b v="0"/>
    <x v="0"/>
    <x v="22"/>
    <n v="21.16"/>
    <n v="0"/>
    <n v="0"/>
    <n v="2"/>
    <x v="5"/>
    <m/>
  </r>
  <r>
    <x v="1204"/>
    <d v="2026-06-22T00:00:00"/>
    <d v="2026-06-23T00:00:00"/>
    <d v="2026-06-24T00:00:00"/>
    <d v="2026-06-24T00:00:00"/>
    <x v="1"/>
    <x v="10"/>
    <x v="5"/>
    <x v="2"/>
    <n v="22.5"/>
    <n v="13646.5"/>
    <n v="5305000"/>
    <b v="0"/>
    <b v="0"/>
    <n v="16000"/>
    <b v="0"/>
    <b v="0"/>
    <b v="0"/>
    <x v="0"/>
    <x v="27"/>
    <n v="85.290624999999991"/>
    <n v="0"/>
    <n v="0"/>
    <n v="1"/>
    <x v="1"/>
    <m/>
  </r>
  <r>
    <x v="1205"/>
    <d v="2026-01-03T00:00:00"/>
    <d v="2026-01-04T00:00:00"/>
    <d v="2026-01-05T00:00:00"/>
    <d v="2026-01-05T00:00:00"/>
    <x v="2"/>
    <x v="8"/>
    <x v="5"/>
    <x v="1"/>
    <n v="18.7"/>
    <n v="1300.8"/>
    <n v="1475000"/>
    <b v="0"/>
    <b v="0"/>
    <n v="5000"/>
    <b v="0"/>
    <b v="0"/>
    <b v="0"/>
    <x v="0"/>
    <x v="18"/>
    <n v="26.015999999999998"/>
    <n v="0"/>
    <n v="0"/>
    <n v="1"/>
    <x v="3"/>
    <m/>
  </r>
  <r>
    <x v="1206"/>
    <d v="2026-06-30T00:00:00"/>
    <d v="2026-07-01T00:00:00"/>
    <d v="2026-07-03T00:00:00"/>
    <d v="2026-07-04T00:00:00"/>
    <x v="0"/>
    <x v="1"/>
    <x v="1"/>
    <x v="0"/>
    <n v="265.10000000000002"/>
    <n v="1020"/>
    <n v="3237000"/>
    <b v="0"/>
    <b v="0"/>
    <n v="1500"/>
    <b v="0"/>
    <b v="0"/>
    <b v="0"/>
    <x v="1"/>
    <x v="1"/>
    <n v="68"/>
    <n v="0"/>
    <n v="0"/>
    <n v="3"/>
    <x v="0"/>
    <n v="1"/>
  </r>
  <r>
    <x v="1207"/>
    <d v="2026-03-14T00:00:00"/>
    <d v="2026-03-14T00:00:00"/>
    <d v="2026-03-16T00:00:00"/>
    <d v="2026-03-17T00:00:00"/>
    <x v="0"/>
    <x v="8"/>
    <x v="0"/>
    <x v="1"/>
    <n v="135.6"/>
    <n v="1397.4"/>
    <n v="2932000"/>
    <b v="0"/>
    <b v="0"/>
    <n v="5000"/>
    <b v="0"/>
    <b v="0"/>
    <b v="0"/>
    <x v="1"/>
    <x v="22"/>
    <n v="27.948"/>
    <n v="0"/>
    <n v="0"/>
    <n v="3"/>
    <x v="6"/>
    <n v="1"/>
  </r>
  <r>
    <x v="1208"/>
    <d v="2026-01-26T00:00:00"/>
    <d v="2026-01-27T00:00:00"/>
    <d v="2026-01-30T00:00:00"/>
    <d v="2026-01-29T00:00:00"/>
    <x v="1"/>
    <x v="7"/>
    <x v="2"/>
    <x v="2"/>
    <n v="165.6"/>
    <n v="14993.3"/>
    <n v="7631000"/>
    <b v="0"/>
    <b v="0"/>
    <n v="16000"/>
    <b v="0"/>
    <b v="0"/>
    <b v="0"/>
    <x v="0"/>
    <x v="26"/>
    <n v="93.708124999999995"/>
    <n v="0"/>
    <n v="0"/>
    <n v="2"/>
    <x v="3"/>
    <m/>
  </r>
  <r>
    <x v="1209"/>
    <d v="2026-05-01T00:00:00"/>
    <d v="2026-05-02T00:00:00"/>
    <d v="2026-05-04T00:00:00"/>
    <d v="2026-05-05T00:00:00"/>
    <x v="0"/>
    <x v="5"/>
    <x v="0"/>
    <x v="2"/>
    <n v="162.69999999999999"/>
    <n v="13384.5"/>
    <n v="7853000"/>
    <b v="0"/>
    <b v="0"/>
    <n v="16000"/>
    <b v="0"/>
    <b v="0"/>
    <b v="0"/>
    <x v="1"/>
    <x v="8"/>
    <n v="83.653124999999989"/>
    <n v="0"/>
    <n v="0"/>
    <n v="3"/>
    <x v="2"/>
    <n v="1"/>
  </r>
  <r>
    <x v="1210"/>
    <d v="2026-03-08T00:00:00"/>
    <d v="2026-03-09T00:00:00"/>
    <d v="2026-03-10T00:00:00"/>
    <d v="2026-03-10T00:00:00"/>
    <x v="0"/>
    <x v="6"/>
    <x v="3"/>
    <x v="2"/>
    <n v="27.3"/>
    <n v="8130.6"/>
    <n v="3405000"/>
    <b v="0"/>
    <b v="0"/>
    <n v="16000"/>
    <b v="0"/>
    <b v="0"/>
    <b v="0"/>
    <x v="0"/>
    <x v="19"/>
    <n v="50.816250000000011"/>
    <n v="0"/>
    <n v="0"/>
    <n v="1"/>
    <x v="6"/>
    <m/>
  </r>
  <r>
    <x v="1211"/>
    <d v="2026-05-15T00:00:00"/>
    <d v="2026-05-17T00:00:00"/>
    <d v="2026-05-21T00:00:00"/>
    <d v="2026-05-21T00:00:00"/>
    <x v="3"/>
    <x v="9"/>
    <x v="0"/>
    <x v="1"/>
    <n v="945.1"/>
    <n v="3718.8"/>
    <n v="15054000"/>
    <b v="0"/>
    <b v="0"/>
    <n v="5000"/>
    <b v="0"/>
    <b v="0"/>
    <b v="0"/>
    <x v="0"/>
    <x v="31"/>
    <n v="74.376000000000005"/>
    <n v="0"/>
    <n v="0"/>
    <n v="4"/>
    <x v="2"/>
    <m/>
  </r>
  <r>
    <x v="1212"/>
    <d v="2026-06-27T00:00:00"/>
    <d v="2026-06-28T00:00:00"/>
    <d v="2026-07-01T00:00:00"/>
    <d v="2026-07-02T00:00:00"/>
    <x v="0"/>
    <x v="2"/>
    <x v="0"/>
    <x v="3"/>
    <n v="179.4"/>
    <n v="110.9"/>
    <n v="2074000"/>
    <b v="0"/>
    <b v="0"/>
    <n v="1000"/>
    <b v="0"/>
    <b v="0"/>
    <b v="0"/>
    <x v="1"/>
    <x v="23"/>
    <n v="11.09"/>
    <n v="0"/>
    <n v="0"/>
    <n v="4"/>
    <x v="1"/>
    <n v="1"/>
  </r>
  <r>
    <x v="1213"/>
    <d v="2026-06-16T00:00:00"/>
    <d v="2026-06-16T00:00:00"/>
    <d v="2026-06-17T00:00:00"/>
    <d v="2026-06-18T00:00:00"/>
    <x v="1"/>
    <x v="10"/>
    <x v="1"/>
    <x v="0"/>
    <n v="31.6"/>
    <n v="1242.0999999999999"/>
    <n v="1347000"/>
    <b v="0"/>
    <b v="0"/>
    <n v="1500"/>
    <b v="0"/>
    <b v="0"/>
    <b v="0"/>
    <x v="1"/>
    <x v="27"/>
    <n v="82.806666666666658"/>
    <n v="0"/>
    <n v="0"/>
    <n v="2"/>
    <x v="1"/>
    <n v="1"/>
  </r>
  <r>
    <x v="1214"/>
    <d v="2026-03-18T00:00:00"/>
    <d v="2026-03-19T00:00:00"/>
    <d v="2026-03-23T00:00:00"/>
    <d v="2026-03-23T00:00:00"/>
    <x v="1"/>
    <x v="3"/>
    <x v="3"/>
    <x v="2"/>
    <n v="865.3"/>
    <n v="11471.3"/>
    <n v="18729000"/>
    <b v="0"/>
    <b v="0"/>
    <n v="16000"/>
    <b v="0"/>
    <b v="0"/>
    <b v="0"/>
    <x v="0"/>
    <x v="35"/>
    <n v="71.695624999999993"/>
    <n v="0"/>
    <n v="0"/>
    <n v="4"/>
    <x v="6"/>
    <m/>
  </r>
  <r>
    <x v="1215"/>
    <d v="2026-02-12T00:00:00"/>
    <d v="2026-02-13T00:00:00"/>
    <d v="2026-02-15T00:00:00"/>
    <d v="2026-02-15T00:00:00"/>
    <x v="1"/>
    <x v="7"/>
    <x v="1"/>
    <x v="1"/>
    <n v="154"/>
    <n v="3094.8"/>
    <n v="3519000"/>
    <b v="0"/>
    <b v="0"/>
    <n v="5000"/>
    <b v="0"/>
    <b v="0"/>
    <b v="0"/>
    <x v="0"/>
    <x v="26"/>
    <n v="61.896000000000008"/>
    <n v="0"/>
    <n v="0"/>
    <n v="2"/>
    <x v="5"/>
    <m/>
  </r>
  <r>
    <x v="1216"/>
    <d v="2026-01-11T00:00:00"/>
    <d v="2026-01-13T00:00:00"/>
    <d v="2026-01-16T00:00:00"/>
    <d v="2026-01-16T00:00:00"/>
    <x v="1"/>
    <x v="9"/>
    <x v="0"/>
    <x v="0"/>
    <n v="464.1"/>
    <n v="898"/>
    <n v="5181000"/>
    <b v="0"/>
    <b v="0"/>
    <n v="1500"/>
    <b v="0"/>
    <b v="0"/>
    <b v="0"/>
    <x v="0"/>
    <x v="24"/>
    <n v="59.866666666666667"/>
    <n v="0"/>
    <n v="0"/>
    <n v="3"/>
    <x v="3"/>
    <m/>
  </r>
  <r>
    <x v="1217"/>
    <d v="2026-02-19T00:00:00"/>
    <d v="2026-02-20T00:00:00"/>
    <d v="2026-02-23T00:00:00"/>
    <d v="2026-02-23T00:00:00"/>
    <x v="0"/>
    <x v="8"/>
    <x v="1"/>
    <x v="2"/>
    <n v="134.5"/>
    <n v="4333.6000000000004"/>
    <n v="4614000"/>
    <b v="0"/>
    <b v="0"/>
    <n v="16000"/>
    <b v="0"/>
    <b v="0"/>
    <b v="0"/>
    <x v="0"/>
    <x v="22"/>
    <n v="27.085000000000001"/>
    <n v="0"/>
    <n v="0"/>
    <n v="3"/>
    <x v="5"/>
    <m/>
  </r>
  <r>
    <x v="1218"/>
    <d v="2026-01-02T00:00:00"/>
    <d v="2026-01-03T00:00:00"/>
    <d v="2026-01-06T00:00:00"/>
    <d v="2026-01-06T00:00:00"/>
    <x v="2"/>
    <x v="9"/>
    <x v="2"/>
    <x v="3"/>
    <n v="465.8"/>
    <n v="490.9"/>
    <n v="4471000"/>
    <b v="0"/>
    <b v="0"/>
    <n v="1000"/>
    <b v="0"/>
    <b v="0"/>
    <b v="0"/>
    <x v="0"/>
    <x v="20"/>
    <n v="49.09"/>
    <n v="0"/>
    <n v="0"/>
    <n v="3"/>
    <x v="3"/>
    <m/>
  </r>
  <r>
    <x v="1219"/>
    <d v="2026-05-05T00:00:00"/>
    <d v="2026-05-06T00:00:00"/>
    <d v="2026-05-09T00:00:00"/>
    <d v="2026-05-09T00:00:00"/>
    <x v="2"/>
    <x v="1"/>
    <x v="5"/>
    <x v="3"/>
    <n v="306.5"/>
    <n v="713"/>
    <n v="3551000"/>
    <b v="0"/>
    <b v="0"/>
    <n v="1000"/>
    <b v="0"/>
    <b v="0"/>
    <b v="0"/>
    <x v="0"/>
    <x v="16"/>
    <n v="71.3"/>
    <n v="0"/>
    <n v="0"/>
    <n v="3"/>
    <x v="2"/>
    <m/>
  </r>
  <r>
    <x v="1220"/>
    <d v="2026-05-03T00:00:00"/>
    <d v="2026-05-03T00:00:00"/>
    <d v="2026-05-05T00:00:00"/>
    <d v="2026-05-05T00:00:00"/>
    <x v="1"/>
    <x v="6"/>
    <x v="3"/>
    <x v="2"/>
    <n v="155.30000000000001"/>
    <n v="3611.2"/>
    <n v="4320000"/>
    <b v="0"/>
    <b v="0"/>
    <n v="16000"/>
    <b v="0"/>
    <b v="0"/>
    <b v="0"/>
    <x v="0"/>
    <x v="9"/>
    <n v="22.57"/>
    <n v="0"/>
    <n v="0"/>
    <n v="2"/>
    <x v="2"/>
    <m/>
  </r>
  <r>
    <x v="1221"/>
    <d v="2026-06-02T00:00:00"/>
    <d v="2026-06-03T00:00:00"/>
    <d v="2026-06-06T00:00:00"/>
    <d v="2026-06-06T00:00:00"/>
    <x v="2"/>
    <x v="0"/>
    <x v="0"/>
    <x v="3"/>
    <n v="306.8"/>
    <n v="364.3"/>
    <n v="3159000"/>
    <b v="0"/>
    <b v="0"/>
    <n v="1000"/>
    <b v="0"/>
    <b v="0"/>
    <b v="0"/>
    <x v="0"/>
    <x v="7"/>
    <n v="36.43"/>
    <n v="0"/>
    <n v="0"/>
    <n v="3"/>
    <x v="1"/>
    <m/>
  </r>
  <r>
    <x v="1222"/>
    <d v="2026-03-26T00:00:00"/>
    <d v="2026-03-27T00:00:00"/>
    <d v="2026-03-31T00:00:00"/>
    <d v="2026-04-02T00:00:00"/>
    <x v="3"/>
    <x v="0"/>
    <x v="2"/>
    <x v="2"/>
    <n v="613.5"/>
    <n v="13768.4"/>
    <n v="15032000"/>
    <b v="0"/>
    <b v="0"/>
    <n v="16000"/>
    <b v="0"/>
    <b v="0"/>
    <b v="0"/>
    <x v="1"/>
    <x v="11"/>
    <n v="86.052499999999995"/>
    <n v="0"/>
    <n v="0"/>
    <n v="6"/>
    <x v="6"/>
    <n v="2"/>
  </r>
  <r>
    <x v="1223"/>
    <d v="2026-02-20T00:00:00"/>
    <d v="2026-02-21T00:00:00"/>
    <d v="2026-02-24T00:00:00"/>
    <d v="2026-02-25T00:00:00"/>
    <x v="2"/>
    <x v="5"/>
    <x v="1"/>
    <x v="0"/>
    <n v="312.5"/>
    <n v="952.8"/>
    <n v="3230000"/>
    <b v="0"/>
    <b v="0"/>
    <n v="1500"/>
    <b v="0"/>
    <b v="0"/>
    <b v="0"/>
    <x v="1"/>
    <x v="17"/>
    <n v="63.52"/>
    <n v="0"/>
    <n v="0"/>
    <n v="4"/>
    <x v="5"/>
    <n v="1"/>
  </r>
  <r>
    <x v="1224"/>
    <d v="2026-06-25T00:00:00"/>
    <d v="2026-06-25T00:00:00"/>
    <d v="2026-06-27T00:00:00"/>
    <d v="2026-06-27T00:00:00"/>
    <x v="1"/>
    <x v="7"/>
    <x v="5"/>
    <x v="1"/>
    <n v="148.6"/>
    <n v="6785.9"/>
    <n v="4875000"/>
    <b v="0"/>
    <b v="0"/>
    <n v="5000"/>
    <b v="1"/>
    <b v="0"/>
    <b v="1"/>
    <x v="0"/>
    <x v="26"/>
    <m/>
    <n v="1"/>
    <n v="1"/>
    <n v="2"/>
    <x v="1"/>
    <m/>
  </r>
  <r>
    <x v="1225"/>
    <d v="2026-04-14T00:00:00"/>
    <d v="2026-04-15T00:00:00"/>
    <d v="2026-04-18T00:00:00"/>
    <d v="2026-04-20T00:00:00"/>
    <x v="0"/>
    <x v="9"/>
    <x v="3"/>
    <x v="1"/>
    <n v="553.70000000000005"/>
    <n v="2943.8"/>
    <n v="8645000"/>
    <b v="0"/>
    <b v="0"/>
    <n v="5000"/>
    <b v="0"/>
    <b v="0"/>
    <b v="0"/>
    <x v="1"/>
    <x v="44"/>
    <n v="58.875999999999998"/>
    <n v="0"/>
    <n v="0"/>
    <n v="5"/>
    <x v="4"/>
    <n v="2"/>
  </r>
  <r>
    <x v="1226"/>
    <d v="2026-06-25T00:00:00"/>
    <d v="2026-06-26T00:00:00"/>
    <d v="2026-06-28T00:00:00"/>
    <d v="2026-06-28T00:00:00"/>
    <x v="1"/>
    <x v="0"/>
    <x v="3"/>
    <x v="1"/>
    <n v="276.39999999999998"/>
    <n v="4212.8999999999996"/>
    <n v="5572000"/>
    <b v="0"/>
    <b v="0"/>
    <n v="5000"/>
    <b v="0"/>
    <b v="0"/>
    <b v="0"/>
    <x v="0"/>
    <x v="12"/>
    <n v="84.257999999999981"/>
    <n v="0"/>
    <n v="0"/>
    <n v="2"/>
    <x v="1"/>
    <m/>
  </r>
  <r>
    <x v="1227"/>
    <d v="2026-03-21T00:00:00"/>
    <d v="2026-03-21T00:00:00"/>
    <d v="2026-03-25T00:00:00"/>
    <d v="2026-03-25T00:00:00"/>
    <x v="3"/>
    <x v="1"/>
    <x v="0"/>
    <x v="0"/>
    <n v="497.2"/>
    <n v="680.4"/>
    <n v="5754000"/>
    <b v="0"/>
    <b v="0"/>
    <n v="1500"/>
    <b v="0"/>
    <b v="0"/>
    <b v="0"/>
    <x v="0"/>
    <x v="21"/>
    <n v="45.36"/>
    <n v="0"/>
    <n v="0"/>
    <n v="4"/>
    <x v="6"/>
    <m/>
  </r>
  <r>
    <x v="1228"/>
    <d v="2026-02-18T00:00:00"/>
    <d v="2026-02-19T00:00:00"/>
    <d v="2026-02-21T00:00:00"/>
    <m/>
    <x v="1"/>
    <x v="7"/>
    <x v="5"/>
    <x v="1"/>
    <n v="154.5"/>
    <n v="3391.1"/>
    <n v="3769000"/>
    <b v="0"/>
    <b v="0"/>
    <n v="5000"/>
    <b v="0"/>
    <b v="0"/>
    <b v="0"/>
    <x v="2"/>
    <x v="26"/>
    <n v="67.821999999999989"/>
    <n v="0"/>
    <n v="0"/>
    <m/>
    <x v="5"/>
    <m/>
  </r>
  <r>
    <x v="1229"/>
    <d v="2026-02-06T00:00:00"/>
    <d v="2026-02-07T00:00:00"/>
    <d v="2026-02-10T00:00:00"/>
    <m/>
    <x v="1"/>
    <x v="1"/>
    <x v="1"/>
    <x v="3"/>
    <n v="317"/>
    <n v="803.3"/>
    <n v="3445000"/>
    <b v="0"/>
    <b v="0"/>
    <n v="1000"/>
    <b v="0"/>
    <b v="0"/>
    <b v="0"/>
    <x v="2"/>
    <x v="25"/>
    <n v="80.329999999999984"/>
    <n v="0"/>
    <n v="0"/>
    <m/>
    <x v="5"/>
    <m/>
  </r>
  <r>
    <x v="1230"/>
    <d v="2026-04-04T00:00:00"/>
    <d v="2026-04-04T00:00:00"/>
    <d v="2026-04-08T00:00:00"/>
    <d v="2026-04-08T00:00:00"/>
    <x v="2"/>
    <x v="11"/>
    <x v="5"/>
    <x v="2"/>
    <n v="641.9"/>
    <n v="3249.2"/>
    <n v="13744000"/>
    <b v="0"/>
    <b v="0"/>
    <n v="16000"/>
    <b v="0"/>
    <b v="0"/>
    <b v="0"/>
    <x v="0"/>
    <x v="41"/>
    <n v="20.307500000000001"/>
    <n v="0"/>
    <n v="0"/>
    <n v="4"/>
    <x v="4"/>
    <m/>
  </r>
  <r>
    <x v="1231"/>
    <d v="2026-04-15T00:00:00"/>
    <d v="2026-04-15T00:00:00"/>
    <d v="2026-04-18T00:00:00"/>
    <d v="2026-04-19T00:00:00"/>
    <x v="1"/>
    <x v="11"/>
    <x v="5"/>
    <x v="1"/>
    <n v="570.1"/>
    <n v="975.3"/>
    <n v="9000000"/>
    <b v="0"/>
    <b v="0"/>
    <n v="5000"/>
    <b v="0"/>
    <b v="0"/>
    <b v="0"/>
    <x v="1"/>
    <x v="33"/>
    <n v="19.506"/>
    <n v="0"/>
    <n v="0"/>
    <n v="4"/>
    <x v="4"/>
    <n v="1"/>
  </r>
  <r>
    <x v="1232"/>
    <d v="2026-05-20T00:00:00"/>
    <d v="2026-05-21T00:00:00"/>
    <d v="2026-05-23T00:00:00"/>
    <d v="2026-05-22T00:00:00"/>
    <x v="1"/>
    <x v="0"/>
    <x v="3"/>
    <x v="1"/>
    <n v="283.5"/>
    <n v="1775.5"/>
    <n v="5292000"/>
    <b v="0"/>
    <b v="0"/>
    <n v="5000"/>
    <b v="0"/>
    <b v="0"/>
    <b v="0"/>
    <x v="0"/>
    <x v="12"/>
    <n v="35.510000000000012"/>
    <n v="0"/>
    <n v="0"/>
    <n v="1"/>
    <x v="2"/>
    <m/>
  </r>
  <r>
    <x v="1233"/>
    <d v="2026-04-01T00:00:00"/>
    <d v="2026-04-02T00:00:00"/>
    <d v="2026-04-05T00:00:00"/>
    <d v="2026-04-06T00:00:00"/>
    <x v="0"/>
    <x v="9"/>
    <x v="1"/>
    <x v="0"/>
    <n v="546.29999999999995"/>
    <n v="1135.0999999999999"/>
    <n v="6419000"/>
    <b v="0"/>
    <b v="0"/>
    <n v="1500"/>
    <b v="0"/>
    <b v="0"/>
    <b v="0"/>
    <x v="1"/>
    <x v="44"/>
    <n v="75.673333333333332"/>
    <n v="0"/>
    <n v="0"/>
    <n v="4"/>
    <x v="4"/>
    <n v="1"/>
  </r>
  <r>
    <x v="1234"/>
    <d v="2026-03-01T00:00:00"/>
    <d v="2026-03-02T00:00:00"/>
    <d v="2026-03-05T00:00:00"/>
    <d v="2026-03-05T00:00:00"/>
    <x v="1"/>
    <x v="2"/>
    <x v="3"/>
    <x v="3"/>
    <n v="306.10000000000002"/>
    <n v="506.6"/>
    <n v="3141000"/>
    <b v="0"/>
    <b v="0"/>
    <n v="1000"/>
    <b v="0"/>
    <b v="0"/>
    <b v="0"/>
    <x v="0"/>
    <x v="2"/>
    <n v="50.66"/>
    <n v="0"/>
    <n v="0"/>
    <n v="3"/>
    <x v="6"/>
    <m/>
  </r>
  <r>
    <x v="1235"/>
    <d v="2026-04-03T00:00:00"/>
    <d v="2026-04-04T00:00:00"/>
    <d v="2026-04-06T00:00:00"/>
    <d v="2026-04-06T00:00:00"/>
    <x v="0"/>
    <x v="2"/>
    <x v="3"/>
    <x v="2"/>
    <n v="185.7"/>
    <n v="12543.5"/>
    <n v="8421000"/>
    <b v="0"/>
    <b v="0"/>
    <n v="16000"/>
    <b v="0"/>
    <b v="0"/>
    <b v="0"/>
    <x v="0"/>
    <x v="23"/>
    <n v="78.396874999999994"/>
    <n v="0"/>
    <n v="0"/>
    <n v="2"/>
    <x v="4"/>
    <m/>
  </r>
  <r>
    <x v="1236"/>
    <d v="2026-03-17T00:00:00"/>
    <d v="2026-03-17T00:00:00"/>
    <d v="2026-03-19T00:00:00"/>
    <d v="2026-03-18T00:00:00"/>
    <x v="0"/>
    <x v="10"/>
    <x v="5"/>
    <x v="3"/>
    <n v="153.19999999999999"/>
    <n v="479.9"/>
    <n v="2165000"/>
    <b v="0"/>
    <b v="0"/>
    <n v="1000"/>
    <b v="0"/>
    <b v="0"/>
    <b v="0"/>
    <x v="0"/>
    <x v="42"/>
    <n v="47.99"/>
    <n v="0"/>
    <n v="0"/>
    <n v="1"/>
    <x v="6"/>
    <m/>
  </r>
  <r>
    <x v="1237"/>
    <d v="2026-01-16T00:00:00"/>
    <d v="2026-01-16T00:00:00"/>
    <d v="2026-01-20T00:00:00"/>
    <d v="2026-01-20T00:00:00"/>
    <x v="1"/>
    <x v="4"/>
    <x v="3"/>
    <x v="0"/>
    <n v="768.2"/>
    <n v="909"/>
    <n v="7671000"/>
    <b v="0"/>
    <b v="0"/>
    <n v="1500"/>
    <b v="0"/>
    <b v="0"/>
    <b v="0"/>
    <x v="0"/>
    <x v="38"/>
    <n v="60.6"/>
    <n v="0"/>
    <n v="0"/>
    <n v="4"/>
    <x v="3"/>
    <m/>
  </r>
  <r>
    <x v="1238"/>
    <d v="2026-06-13T00:00:00"/>
    <d v="2026-06-14T00:00:00"/>
    <d v="2026-06-16T00:00:00"/>
    <d v="2026-06-16T00:00:00"/>
    <x v="2"/>
    <x v="10"/>
    <x v="2"/>
    <x v="1"/>
    <n v="53.6"/>
    <n v="1037.4000000000001"/>
    <n v="1379000"/>
    <b v="0"/>
    <b v="0"/>
    <n v="5000"/>
    <b v="0"/>
    <b v="0"/>
    <b v="0"/>
    <x v="0"/>
    <x v="34"/>
    <n v="20.748000000000001"/>
    <n v="0"/>
    <n v="0"/>
    <n v="2"/>
    <x v="1"/>
    <m/>
  </r>
  <r>
    <x v="1239"/>
    <d v="2026-03-17T00:00:00"/>
    <d v="2026-03-19T00:00:00"/>
    <d v="2026-03-23T00:00:00"/>
    <d v="2026-03-24T00:00:00"/>
    <x v="3"/>
    <x v="8"/>
    <x v="5"/>
    <x v="1"/>
    <n v="554.70000000000005"/>
    <n v="888"/>
    <n v="7065000"/>
    <b v="0"/>
    <b v="0"/>
    <n v="5000"/>
    <b v="0"/>
    <b v="0"/>
    <b v="0"/>
    <x v="1"/>
    <x v="15"/>
    <n v="17.760000000000002"/>
    <n v="0"/>
    <n v="0"/>
    <n v="5"/>
    <x v="6"/>
    <n v="1"/>
  </r>
  <r>
    <x v="1240"/>
    <d v="2026-02-16T00:00:00"/>
    <d v="2026-02-16T00:00:00"/>
    <d v="2026-02-18T00:00:00"/>
    <d v="2026-02-18T00:00:00"/>
    <x v="1"/>
    <x v="0"/>
    <x v="3"/>
    <x v="1"/>
    <n v="277.60000000000002"/>
    <n v="1534"/>
    <n v="4706000"/>
    <b v="0"/>
    <b v="0"/>
    <n v="5000"/>
    <b v="0"/>
    <b v="0"/>
    <b v="0"/>
    <x v="0"/>
    <x v="12"/>
    <n v="30.68"/>
    <n v="0"/>
    <n v="0"/>
    <n v="2"/>
    <x v="5"/>
    <m/>
  </r>
  <r>
    <x v="1241"/>
    <d v="2026-02-24T00:00:00"/>
    <d v="2026-02-24T00:00:00"/>
    <d v="2026-02-26T00:00:00"/>
    <d v="2026-02-26T00:00:00"/>
    <x v="1"/>
    <x v="6"/>
    <x v="1"/>
    <x v="3"/>
    <n v="147.4"/>
    <n v="887.1"/>
    <n v="2235000"/>
    <b v="0"/>
    <b v="0"/>
    <n v="1000"/>
    <b v="0"/>
    <b v="0"/>
    <b v="0"/>
    <x v="0"/>
    <x v="9"/>
    <n v="88.71"/>
    <n v="0"/>
    <n v="0"/>
    <n v="2"/>
    <x v="5"/>
    <m/>
  </r>
  <r>
    <x v="1242"/>
    <d v="2026-06-04T00:00:00"/>
    <d v="2026-06-05T00:00:00"/>
    <d v="2026-06-08T00:00:00"/>
    <d v="2026-06-08T00:00:00"/>
    <x v="1"/>
    <x v="5"/>
    <x v="1"/>
    <x v="2"/>
    <n v="348.8"/>
    <n v="14662.2"/>
    <n v="11518000"/>
    <b v="0"/>
    <b v="0"/>
    <n v="16000"/>
    <b v="0"/>
    <b v="0"/>
    <b v="0"/>
    <x v="0"/>
    <x v="5"/>
    <n v="91.638750000000002"/>
    <n v="0"/>
    <n v="0"/>
    <n v="3"/>
    <x v="1"/>
    <m/>
  </r>
  <r>
    <x v="1243"/>
    <d v="2026-03-20T00:00:00"/>
    <d v="2026-03-21T00:00:00"/>
    <d v="2026-03-25T00:00:00"/>
    <d v="2026-03-25T00:00:00"/>
    <x v="2"/>
    <x v="5"/>
    <x v="2"/>
    <x v="1"/>
    <n v="306.8"/>
    <n v="3461.4"/>
    <n v="6470000"/>
    <b v="0"/>
    <b v="0"/>
    <n v="5000"/>
    <b v="0"/>
    <b v="0"/>
    <b v="0"/>
    <x v="0"/>
    <x v="17"/>
    <n v="69.227999999999994"/>
    <n v="0"/>
    <n v="0"/>
    <n v="4"/>
    <x v="6"/>
    <m/>
  </r>
  <r>
    <x v="1244"/>
    <d v="2026-05-02T00:00:00"/>
    <d v="2026-05-04T00:00:00"/>
    <d v="2026-05-07T00:00:00"/>
    <d v="2026-05-08T00:00:00"/>
    <x v="1"/>
    <x v="5"/>
    <x v="3"/>
    <x v="0"/>
    <n v="309.10000000000002"/>
    <n v="1345.5"/>
    <n v="4071000"/>
    <b v="0"/>
    <b v="0"/>
    <n v="1500"/>
    <b v="0"/>
    <b v="0"/>
    <b v="0"/>
    <x v="1"/>
    <x v="5"/>
    <n v="89.7"/>
    <n v="0"/>
    <n v="0"/>
    <n v="4"/>
    <x v="2"/>
    <n v="1"/>
  </r>
  <r>
    <x v="1245"/>
    <d v="2026-01-11T00:00:00"/>
    <d v="2026-01-12T00:00:00"/>
    <d v="2026-01-15T00:00:00"/>
    <d v="2026-01-14T00:00:00"/>
    <x v="0"/>
    <x v="0"/>
    <x v="5"/>
    <x v="1"/>
    <n v="313.7"/>
    <n v="2003.6"/>
    <n v="5885000"/>
    <b v="0"/>
    <b v="0"/>
    <n v="5000"/>
    <b v="0"/>
    <b v="0"/>
    <b v="0"/>
    <x v="0"/>
    <x v="0"/>
    <n v="40.072000000000003"/>
    <n v="0"/>
    <n v="0"/>
    <n v="2"/>
    <x v="3"/>
    <m/>
  </r>
  <r>
    <x v="1246"/>
    <d v="2026-05-26T00:00:00"/>
    <d v="2026-05-27T00:00:00"/>
    <d v="2026-05-29T00:00:00"/>
    <d v="2026-05-30T00:00:00"/>
    <x v="0"/>
    <x v="2"/>
    <x v="2"/>
    <x v="3"/>
    <n v="184.9"/>
    <n v="723.1"/>
    <n v="2255000"/>
    <b v="0"/>
    <b v="0"/>
    <n v="1000"/>
    <b v="0"/>
    <b v="0"/>
    <b v="0"/>
    <x v="1"/>
    <x v="23"/>
    <n v="72.31"/>
    <n v="0"/>
    <n v="0"/>
    <n v="3"/>
    <x v="2"/>
    <n v="1"/>
  </r>
  <r>
    <x v="1247"/>
    <d v="2026-03-17T00:00:00"/>
    <d v="2026-03-18T00:00:00"/>
    <d v="2026-03-21T00:00:00"/>
    <d v="2026-03-21T00:00:00"/>
    <x v="1"/>
    <x v="2"/>
    <x v="2"/>
    <x v="2"/>
    <n v="350.6"/>
    <n v="3977.6"/>
    <n v="8823000"/>
    <b v="0"/>
    <b v="0"/>
    <n v="16000"/>
    <b v="0"/>
    <b v="0"/>
    <b v="0"/>
    <x v="0"/>
    <x v="2"/>
    <n v="24.86"/>
    <n v="0"/>
    <n v="0"/>
    <n v="3"/>
    <x v="6"/>
    <m/>
  </r>
  <r>
    <x v="1248"/>
    <d v="2026-05-19T00:00:00"/>
    <d v="2026-05-20T00:00:00"/>
    <d v="2026-05-22T00:00:00"/>
    <d v="2026-05-25T00:00:00"/>
    <x v="3"/>
    <x v="4"/>
    <x v="2"/>
    <x v="2"/>
    <n v="144.1"/>
    <n v="7759.2"/>
    <n v="6014000"/>
    <b v="0"/>
    <b v="0"/>
    <n v="16000"/>
    <b v="0"/>
    <b v="0"/>
    <b v="0"/>
    <x v="1"/>
    <x v="46"/>
    <n v="48.494999999999997"/>
    <n v="0"/>
    <n v="0"/>
    <n v="5"/>
    <x v="2"/>
    <n v="3"/>
  </r>
  <r>
    <x v="1249"/>
    <d v="2026-03-04T00:00:00"/>
    <d v="2026-03-05T00:00:00"/>
    <d v="2026-03-08T00:00:00"/>
    <d v="2026-03-08T00:00:00"/>
    <x v="0"/>
    <x v="11"/>
    <x v="4"/>
    <x v="0"/>
    <n v="465.4"/>
    <n v="1027.0999999999999"/>
    <n v="6063000"/>
    <b v="0"/>
    <b v="0"/>
    <n v="1500"/>
    <b v="0"/>
    <b v="0"/>
    <b v="0"/>
    <x v="0"/>
    <x v="36"/>
    <n v="68.473333333333329"/>
    <n v="0"/>
    <n v="0"/>
    <n v="3"/>
    <x v="6"/>
    <m/>
  </r>
  <r>
    <x v="1250"/>
    <d v="2026-04-25T00:00:00"/>
    <d v="2026-04-26T00:00:00"/>
    <d v="2026-04-29T00:00:00"/>
    <d v="2026-05-01T00:00:00"/>
    <x v="2"/>
    <x v="9"/>
    <x v="1"/>
    <x v="0"/>
    <n v="465.9"/>
    <n v="1056.3"/>
    <n v="5651000"/>
    <b v="0"/>
    <b v="0"/>
    <n v="1500"/>
    <b v="0"/>
    <b v="0"/>
    <b v="0"/>
    <x v="1"/>
    <x v="20"/>
    <n v="70.419999999999987"/>
    <n v="0"/>
    <n v="0"/>
    <n v="5"/>
    <x v="4"/>
    <n v="2"/>
  </r>
  <r>
    <x v="1251"/>
    <d v="2026-01-07T00:00:00"/>
    <d v="2026-01-07T00:00:00"/>
    <d v="2026-01-08T00:00:00"/>
    <d v="2026-01-09T00:00:00"/>
    <x v="2"/>
    <x v="8"/>
    <x v="5"/>
    <x v="1"/>
    <n v="15.3"/>
    <n v="2212.8000000000002"/>
    <n v="8450000"/>
    <b v="0"/>
    <b v="0"/>
    <n v="5000"/>
    <b v="0"/>
    <b v="0"/>
    <b v="0"/>
    <x v="1"/>
    <x v="18"/>
    <n v="44.256"/>
    <n v="0"/>
    <n v="0"/>
    <n v="2"/>
    <x v="3"/>
    <n v="1"/>
  </r>
  <r>
    <x v="1252"/>
    <d v="2026-02-27T00:00:00"/>
    <d v="2026-02-28T00:00:00"/>
    <d v="2026-03-02T00:00:00"/>
    <d v="2026-03-02T00:00:00"/>
    <x v="2"/>
    <x v="7"/>
    <x v="5"/>
    <x v="1"/>
    <n v="189.9"/>
    <n v="1466.7"/>
    <n v="3311000"/>
    <b v="0"/>
    <b v="0"/>
    <n v="5000"/>
    <b v="0"/>
    <b v="0"/>
    <b v="0"/>
    <x v="0"/>
    <x v="10"/>
    <n v="29.334"/>
    <n v="0"/>
    <n v="0"/>
    <n v="2"/>
    <x v="5"/>
    <m/>
  </r>
  <r>
    <x v="1253"/>
    <d v="2026-05-23T00:00:00"/>
    <d v="2026-05-24T00:00:00"/>
    <d v="2026-05-29T00:00:00"/>
    <d v="2026-05-29T00:00:00"/>
    <x v="2"/>
    <x v="11"/>
    <x v="1"/>
    <x v="2"/>
    <n v="626.9"/>
    <n v="11105.3"/>
    <n v="13602000"/>
    <b v="0"/>
    <b v="0"/>
    <n v="16000"/>
    <b v="0"/>
    <b v="0"/>
    <b v="0"/>
    <x v="0"/>
    <x v="41"/>
    <n v="69.408124999999998"/>
    <n v="0"/>
    <n v="0"/>
    <n v="5"/>
    <x v="2"/>
    <m/>
  </r>
  <r>
    <x v="1254"/>
    <d v="2026-01-29T00:00:00"/>
    <d v="2026-01-31T00:00:00"/>
    <d v="2026-02-02T00:00:00"/>
    <d v="2026-02-02T00:00:00"/>
    <x v="0"/>
    <x v="10"/>
    <x v="1"/>
    <x v="2"/>
    <n v="155.19999999999999"/>
    <n v="6447.7"/>
    <n v="6193000"/>
    <b v="0"/>
    <b v="0"/>
    <n v="16000"/>
    <b v="0"/>
    <b v="0"/>
    <b v="0"/>
    <x v="0"/>
    <x v="42"/>
    <n v="40.298124999999999"/>
    <n v="0"/>
    <n v="0"/>
    <n v="2"/>
    <x v="3"/>
    <m/>
  </r>
  <r>
    <x v="1255"/>
    <d v="2026-03-17T00:00:00"/>
    <d v="2026-03-18T00:00:00"/>
    <d v="2026-03-20T00:00:00"/>
    <d v="2026-03-20T00:00:00"/>
    <x v="1"/>
    <x v="0"/>
    <x v="1"/>
    <x v="1"/>
    <n v="279.39999999999998"/>
    <n v="2740.9"/>
    <n v="4943000"/>
    <b v="0"/>
    <b v="0"/>
    <n v="5000"/>
    <b v="0"/>
    <b v="0"/>
    <b v="0"/>
    <x v="0"/>
    <x v="12"/>
    <n v="54.817999999999998"/>
    <n v="0"/>
    <n v="0"/>
    <n v="2"/>
    <x v="6"/>
    <m/>
  </r>
  <r>
    <x v="1256"/>
    <d v="2026-01-31T00:00:00"/>
    <d v="2026-02-01T00:00:00"/>
    <d v="2026-02-04T00:00:00"/>
    <d v="2026-02-04T00:00:00"/>
    <x v="0"/>
    <x v="9"/>
    <x v="2"/>
    <x v="1"/>
    <n v="531.70000000000005"/>
    <n v="2349.6999999999998"/>
    <n v="7308000"/>
    <b v="0"/>
    <b v="0"/>
    <n v="5000"/>
    <b v="0"/>
    <b v="0"/>
    <b v="0"/>
    <x v="0"/>
    <x v="44"/>
    <n v="46.994"/>
    <n v="0"/>
    <n v="0"/>
    <n v="3"/>
    <x v="5"/>
    <m/>
  </r>
  <r>
    <x v="1257"/>
    <d v="2026-05-20T00:00:00"/>
    <d v="2026-05-21T00:00:00"/>
    <d v="2026-05-25T00:00:00"/>
    <d v="2026-05-25T00:00:00"/>
    <x v="2"/>
    <x v="11"/>
    <x v="2"/>
    <x v="0"/>
    <n v="605.6"/>
    <n v="708.4"/>
    <n v="7243000"/>
    <b v="0"/>
    <b v="0"/>
    <n v="1500"/>
    <b v="0"/>
    <b v="0"/>
    <b v="0"/>
    <x v="0"/>
    <x v="41"/>
    <n v="47.226666666666667"/>
    <n v="0"/>
    <n v="0"/>
    <n v="4"/>
    <x v="2"/>
    <m/>
  </r>
  <r>
    <x v="1258"/>
    <d v="2026-03-17T00:00:00"/>
    <d v="2026-03-18T00:00:00"/>
    <d v="2026-03-22T00:00:00"/>
    <m/>
    <x v="2"/>
    <x v="4"/>
    <x v="3"/>
    <x v="3"/>
    <n v="695.8"/>
    <n v="335.2"/>
    <n v="6113000"/>
    <b v="0"/>
    <b v="0"/>
    <n v="1000"/>
    <b v="0"/>
    <b v="0"/>
    <b v="0"/>
    <x v="2"/>
    <x v="4"/>
    <n v="33.520000000000003"/>
    <n v="0"/>
    <n v="0"/>
    <m/>
    <x v="6"/>
    <m/>
  </r>
  <r>
    <x v="1259"/>
    <d v="2026-06-25T00:00:00"/>
    <d v="2026-06-25T00:00:00"/>
    <d v="2026-06-29T00:00:00"/>
    <d v="2026-06-29T00:00:00"/>
    <x v="2"/>
    <x v="4"/>
    <x v="5"/>
    <x v="1"/>
    <n v="729.6"/>
    <n v="55000"/>
    <n v="8705000"/>
    <b v="0"/>
    <b v="0"/>
    <n v="5000"/>
    <b v="1"/>
    <b v="0"/>
    <b v="1"/>
    <x v="0"/>
    <x v="4"/>
    <m/>
    <n v="1"/>
    <n v="1"/>
    <n v="4"/>
    <x v="1"/>
    <m/>
  </r>
  <r>
    <x v="1260"/>
    <d v="2026-03-15T00:00:00"/>
    <d v="2026-03-17T00:00:00"/>
    <d v="2026-03-19T00:00:00"/>
    <d v="2026-03-19T00:00:00"/>
    <x v="2"/>
    <x v="7"/>
    <x v="3"/>
    <x v="1"/>
    <n v="189.9"/>
    <n v="1222.0999999999999"/>
    <n v="3654000"/>
    <b v="0"/>
    <b v="0"/>
    <n v="5000"/>
    <b v="0"/>
    <b v="0"/>
    <b v="0"/>
    <x v="0"/>
    <x v="10"/>
    <n v="24.442"/>
    <n v="0"/>
    <n v="0"/>
    <n v="2"/>
    <x v="6"/>
    <m/>
  </r>
  <r>
    <x v="1261"/>
    <d v="2026-01-27T00:00:00"/>
    <d v="2026-01-27T00:00:00"/>
    <d v="2026-01-29T00:00:00"/>
    <d v="2026-01-30T00:00:00"/>
    <x v="0"/>
    <x v="10"/>
    <x v="2"/>
    <x v="2"/>
    <n v="142"/>
    <n v="9261.7999999999993"/>
    <n v="5541000"/>
    <b v="0"/>
    <b v="0"/>
    <n v="16000"/>
    <b v="0"/>
    <b v="0"/>
    <b v="0"/>
    <x v="1"/>
    <x v="42"/>
    <n v="57.886249999999997"/>
    <n v="0"/>
    <n v="0"/>
    <n v="3"/>
    <x v="3"/>
    <n v="1"/>
  </r>
  <r>
    <x v="1262"/>
    <d v="2026-05-08T00:00:00"/>
    <d v="2026-05-10T00:00:00"/>
    <d v="2026-05-11T00:00:00"/>
    <d v="2026-05-11T00:00:00"/>
    <x v="1"/>
    <x v="8"/>
    <x v="1"/>
    <x v="0"/>
    <n v="60.5"/>
    <n v="794"/>
    <n v="1508000"/>
    <b v="0"/>
    <b v="0"/>
    <n v="1500"/>
    <b v="0"/>
    <b v="0"/>
    <b v="0"/>
    <x v="0"/>
    <x v="28"/>
    <n v="52.93333333333333"/>
    <n v="0"/>
    <n v="0"/>
    <n v="1"/>
    <x v="2"/>
    <m/>
  </r>
  <r>
    <x v="1263"/>
    <d v="2026-01-22T00:00:00"/>
    <d v="2026-01-23T00:00:00"/>
    <d v="2026-01-26T00:00:00"/>
    <m/>
    <x v="2"/>
    <x v="5"/>
    <x v="5"/>
    <x v="0"/>
    <n v="309.7"/>
    <n v="231.9"/>
    <n v="4143000"/>
    <b v="0"/>
    <b v="0"/>
    <n v="1500"/>
    <b v="0"/>
    <b v="0"/>
    <b v="0"/>
    <x v="2"/>
    <x v="17"/>
    <n v="15.46"/>
    <n v="0"/>
    <n v="0"/>
    <m/>
    <x v="3"/>
    <m/>
  </r>
  <r>
    <x v="1264"/>
    <d v="2026-01-29T00:00:00"/>
    <d v="2026-01-30T00:00:00"/>
    <d v="2026-02-01T00:00:00"/>
    <d v="2026-02-02T00:00:00"/>
    <x v="0"/>
    <x v="1"/>
    <x v="5"/>
    <x v="1"/>
    <n v="271.60000000000002"/>
    <n v="2007"/>
    <n v="4836000"/>
    <b v="0"/>
    <b v="0"/>
    <n v="5000"/>
    <b v="0"/>
    <b v="0"/>
    <b v="0"/>
    <x v="1"/>
    <x v="1"/>
    <n v="40.14"/>
    <n v="0"/>
    <n v="0"/>
    <n v="3"/>
    <x v="3"/>
    <n v="1"/>
  </r>
  <r>
    <x v="1265"/>
    <d v="2026-01-15T00:00:00"/>
    <d v="2026-01-17T00:00:00"/>
    <d v="2026-01-20T00:00:00"/>
    <d v="2026-01-22T00:00:00"/>
    <x v="1"/>
    <x v="1"/>
    <x v="0"/>
    <x v="1"/>
    <n v="302.3"/>
    <n v="2940.8"/>
    <n v="5538000"/>
    <b v="0"/>
    <b v="0"/>
    <n v="5000"/>
    <b v="0"/>
    <b v="0"/>
    <b v="0"/>
    <x v="1"/>
    <x v="25"/>
    <n v="58.816000000000003"/>
    <n v="0"/>
    <n v="0"/>
    <n v="5"/>
    <x v="3"/>
    <n v="2"/>
  </r>
  <r>
    <x v="1266"/>
    <d v="2026-03-02T00:00:00"/>
    <d v="2026-03-03T00:00:00"/>
    <d v="2026-03-07T00:00:00"/>
    <d v="2026-03-08T00:00:00"/>
    <x v="3"/>
    <x v="9"/>
    <x v="5"/>
    <x v="0"/>
    <n v="920"/>
    <n v="1330"/>
    <n v="9866000"/>
    <b v="0"/>
    <b v="0"/>
    <n v="1500"/>
    <b v="0"/>
    <b v="0"/>
    <b v="0"/>
    <x v="1"/>
    <x v="31"/>
    <n v="88.666666666666671"/>
    <n v="0"/>
    <n v="0"/>
    <n v="5"/>
    <x v="6"/>
    <n v="1"/>
  </r>
  <r>
    <x v="1267"/>
    <d v="2026-04-11T00:00:00"/>
    <d v="2026-04-12T00:00:00"/>
    <d v="2026-04-15T00:00:00"/>
    <d v="2026-04-15T00:00:00"/>
    <x v="1"/>
    <x v="5"/>
    <x v="5"/>
    <x v="0"/>
    <n v="330.3"/>
    <n v="153.5"/>
    <n v="3596000"/>
    <b v="0"/>
    <b v="0"/>
    <n v="1500"/>
    <b v="0"/>
    <b v="0"/>
    <b v="0"/>
    <x v="0"/>
    <x v="5"/>
    <n v="10.233333333333331"/>
    <n v="0"/>
    <n v="0"/>
    <n v="3"/>
    <x v="4"/>
    <m/>
  </r>
  <r>
    <x v="1268"/>
    <d v="2026-06-30T00:00:00"/>
    <d v="2026-07-01T00:00:00"/>
    <d v="2026-07-03T00:00:00"/>
    <d v="2026-07-03T00:00:00"/>
    <x v="1"/>
    <x v="6"/>
    <x v="0"/>
    <x v="1"/>
    <n v="150.69999999999999"/>
    <n v="2996.3"/>
    <n v="4038000"/>
    <b v="0"/>
    <b v="0"/>
    <n v="5000"/>
    <b v="0"/>
    <b v="0"/>
    <b v="0"/>
    <x v="0"/>
    <x v="9"/>
    <n v="59.926000000000002"/>
    <n v="0"/>
    <n v="0"/>
    <n v="2"/>
    <x v="0"/>
    <m/>
  </r>
  <r>
    <x v="1269"/>
    <d v="2026-04-29T00:00:00"/>
    <d v="2026-04-30T00:00:00"/>
    <d v="2026-05-02T00:00:00"/>
    <d v="2026-05-03T00:00:00"/>
    <x v="0"/>
    <x v="1"/>
    <x v="0"/>
    <x v="1"/>
    <n v="258.39999999999998"/>
    <n v="3963.9"/>
    <n v="5211000"/>
    <b v="0"/>
    <b v="0"/>
    <n v="5000"/>
    <b v="0"/>
    <b v="0"/>
    <b v="0"/>
    <x v="1"/>
    <x v="1"/>
    <n v="79.278000000000006"/>
    <n v="0"/>
    <n v="0"/>
    <n v="3"/>
    <x v="4"/>
    <n v="1"/>
  </r>
  <r>
    <x v="1270"/>
    <d v="2026-05-11T00:00:00"/>
    <d v="2026-05-12T00:00:00"/>
    <d v="2026-05-14T00:00:00"/>
    <d v="2026-05-14T00:00:00"/>
    <x v="2"/>
    <x v="6"/>
    <x v="3"/>
    <x v="2"/>
    <n v="142.5"/>
    <n v="4662.7"/>
    <n v="4907000"/>
    <b v="0"/>
    <b v="0"/>
    <n v="16000"/>
    <b v="0"/>
    <b v="0"/>
    <b v="0"/>
    <x v="0"/>
    <x v="6"/>
    <n v="29.141874999999999"/>
    <n v="0"/>
    <n v="0"/>
    <n v="2"/>
    <x v="2"/>
    <m/>
  </r>
  <r>
    <x v="1271"/>
    <d v="2026-03-31T00:00:00"/>
    <d v="2026-04-01T00:00:00"/>
    <d v="2026-04-06T00:00:00"/>
    <d v="2026-04-08T00:00:00"/>
    <x v="1"/>
    <x v="4"/>
    <x v="1"/>
    <x v="1"/>
    <n v="752.2"/>
    <n v="856.8"/>
    <n v="9823000"/>
    <b v="0"/>
    <b v="0"/>
    <n v="5000"/>
    <b v="0"/>
    <b v="0"/>
    <b v="0"/>
    <x v="1"/>
    <x v="38"/>
    <n v="17.135999999999999"/>
    <n v="0"/>
    <n v="0"/>
    <n v="7"/>
    <x v="4"/>
    <n v="2"/>
  </r>
  <r>
    <x v="1272"/>
    <d v="2026-05-21T00:00:00"/>
    <d v="2026-05-22T00:00:00"/>
    <d v="2026-05-24T00:00:00"/>
    <d v="2026-05-24T00:00:00"/>
    <x v="2"/>
    <x v="6"/>
    <x v="2"/>
    <x v="1"/>
    <n v="124.8"/>
    <n v="1659.6"/>
    <n v="2831000"/>
    <b v="0"/>
    <b v="0"/>
    <n v="5000"/>
    <b v="0"/>
    <b v="0"/>
    <b v="0"/>
    <x v="0"/>
    <x v="6"/>
    <n v="33.192"/>
    <n v="0"/>
    <n v="0"/>
    <n v="2"/>
    <x v="2"/>
    <m/>
  </r>
  <r>
    <x v="1273"/>
    <d v="2026-05-18T00:00:00"/>
    <d v="2026-05-19T00:00:00"/>
    <d v="2026-05-22T00:00:00"/>
    <d v="2026-05-22T00:00:00"/>
    <x v="3"/>
    <x v="8"/>
    <x v="3"/>
    <x v="2"/>
    <n v="581.29999999999995"/>
    <n v="5281.5"/>
    <n v="11095000"/>
    <b v="0"/>
    <b v="0"/>
    <n v="16000"/>
    <b v="0"/>
    <b v="0"/>
    <b v="0"/>
    <x v="0"/>
    <x v="15"/>
    <n v="33.009374999999999"/>
    <n v="0"/>
    <n v="0"/>
    <n v="3"/>
    <x v="2"/>
    <m/>
  </r>
  <r>
    <x v="1274"/>
    <d v="2026-04-17T00:00:00"/>
    <d v="2026-04-19T00:00:00"/>
    <d v="2026-04-23T00:00:00"/>
    <d v="2026-04-23T00:00:00"/>
    <x v="1"/>
    <x v="4"/>
    <x v="3"/>
    <x v="0"/>
    <n v="754.6"/>
    <n v="1020.6"/>
    <n v="8340000"/>
    <b v="0"/>
    <b v="0"/>
    <n v="1500"/>
    <b v="0"/>
    <b v="0"/>
    <b v="0"/>
    <x v="0"/>
    <x v="38"/>
    <n v="68.040000000000006"/>
    <n v="0"/>
    <n v="0"/>
    <n v="4"/>
    <x v="4"/>
    <m/>
  </r>
  <r>
    <x v="1275"/>
    <d v="2026-01-01T00:00:00"/>
    <d v="2026-01-02T00:00:00"/>
    <d v="2026-01-04T00:00:00"/>
    <d v="2026-01-06T00:00:00"/>
    <x v="3"/>
    <x v="2"/>
    <x v="2"/>
    <x v="0"/>
    <n v="272.89999999999998"/>
    <n v="1260.3"/>
    <n v="3896000"/>
    <b v="0"/>
    <b v="0"/>
    <n v="1500"/>
    <b v="0"/>
    <b v="0"/>
    <b v="0"/>
    <x v="1"/>
    <x v="14"/>
    <n v="84.02"/>
    <n v="0"/>
    <n v="0"/>
    <n v="4"/>
    <x v="3"/>
    <n v="2"/>
  </r>
  <r>
    <x v="1276"/>
    <d v="2026-06-14T00:00:00"/>
    <d v="2026-06-14T00:00:00"/>
    <d v="2026-06-16T00:00:00"/>
    <d v="2026-06-16T00:00:00"/>
    <x v="0"/>
    <x v="8"/>
    <x v="5"/>
    <x v="3"/>
    <n v="133.5"/>
    <n v="663.2"/>
    <n v="1885000"/>
    <b v="0"/>
    <b v="0"/>
    <n v="1000"/>
    <b v="0"/>
    <b v="0"/>
    <b v="0"/>
    <x v="0"/>
    <x v="22"/>
    <n v="66.320000000000007"/>
    <n v="0"/>
    <n v="0"/>
    <n v="2"/>
    <x v="1"/>
    <m/>
  </r>
  <r>
    <x v="1277"/>
    <d v="2026-01-06T00:00:00"/>
    <d v="2026-01-07T00:00:00"/>
    <d v="2026-01-09T00:00:00"/>
    <d v="2026-01-09T00:00:00"/>
    <x v="0"/>
    <x v="2"/>
    <x v="2"/>
    <x v="0"/>
    <n v="178"/>
    <n v="896.4"/>
    <n v="2947000"/>
    <b v="0"/>
    <b v="0"/>
    <n v="1500"/>
    <b v="0"/>
    <b v="0"/>
    <b v="0"/>
    <x v="0"/>
    <x v="23"/>
    <n v="59.760000000000012"/>
    <n v="0"/>
    <n v="0"/>
    <n v="2"/>
    <x v="3"/>
    <m/>
  </r>
  <r>
    <x v="1278"/>
    <d v="2026-04-10T00:00:00"/>
    <d v="2026-04-10T00:00:00"/>
    <d v="2026-04-13T00:00:00"/>
    <d v="2026-04-13T00:00:00"/>
    <x v="2"/>
    <x v="9"/>
    <x v="0"/>
    <x v="1"/>
    <n v="470.1"/>
    <n v="2514.9"/>
    <n v="6692000"/>
    <b v="0"/>
    <b v="0"/>
    <n v="5000"/>
    <b v="0"/>
    <b v="0"/>
    <b v="0"/>
    <x v="0"/>
    <x v="20"/>
    <n v="50.298000000000002"/>
    <n v="0"/>
    <n v="0"/>
    <n v="3"/>
    <x v="4"/>
    <m/>
  </r>
  <r>
    <x v="1279"/>
    <d v="2026-02-22T00:00:00"/>
    <d v="2026-02-22T00:00:00"/>
    <d v="2026-02-26T00:00:00"/>
    <d v="2026-02-26T00:00:00"/>
    <x v="1"/>
    <x v="4"/>
    <x v="2"/>
    <x v="0"/>
    <n v="795.9"/>
    <n v="774.6"/>
    <n v="9187000"/>
    <b v="0"/>
    <b v="0"/>
    <n v="1500"/>
    <b v="0"/>
    <b v="0"/>
    <b v="0"/>
    <x v="0"/>
    <x v="38"/>
    <n v="51.64"/>
    <n v="0"/>
    <n v="0"/>
    <n v="4"/>
    <x v="5"/>
    <m/>
  </r>
  <r>
    <x v="1280"/>
    <d v="2026-06-13T00:00:00"/>
    <d v="2026-06-13T00:00:00"/>
    <d v="2026-06-15T00:00:00"/>
    <d v="2026-06-16T00:00:00"/>
    <x v="0"/>
    <x v="2"/>
    <x v="0"/>
    <x v="0"/>
    <n v="179"/>
    <n v="895.2"/>
    <n v="2925000"/>
    <b v="0"/>
    <b v="0"/>
    <n v="1500"/>
    <b v="0"/>
    <b v="0"/>
    <b v="0"/>
    <x v="1"/>
    <x v="23"/>
    <n v="59.68"/>
    <n v="0"/>
    <n v="0"/>
    <n v="3"/>
    <x v="1"/>
    <n v="1"/>
  </r>
  <r>
    <x v="1281"/>
    <d v="2026-06-15T00:00:00"/>
    <d v="2026-06-16T00:00:00"/>
    <d v="2026-06-21T00:00:00"/>
    <d v="2026-06-21T00:00:00"/>
    <x v="3"/>
    <x v="8"/>
    <x v="3"/>
    <x v="1"/>
    <n v="611.1"/>
    <n v="4118.7"/>
    <n v="9975000"/>
    <b v="0"/>
    <b v="0"/>
    <n v="5000"/>
    <b v="0"/>
    <b v="0"/>
    <b v="0"/>
    <x v="0"/>
    <x v="15"/>
    <n v="82.373999999999995"/>
    <n v="0"/>
    <n v="0"/>
    <n v="5"/>
    <x v="1"/>
    <m/>
  </r>
  <r>
    <x v="1282"/>
    <d v="2026-05-21T00:00:00"/>
    <d v="2026-05-22T00:00:00"/>
    <d v="2026-05-24T00:00:00"/>
    <d v="2026-05-24T00:00:00"/>
    <x v="1"/>
    <x v="0"/>
    <x v="0"/>
    <x v="3"/>
    <n v="273.2"/>
    <n v="880.7"/>
    <n v="3051000"/>
    <b v="0"/>
    <b v="0"/>
    <n v="1000"/>
    <b v="0"/>
    <b v="0"/>
    <b v="0"/>
    <x v="0"/>
    <x v="12"/>
    <n v="88.070000000000007"/>
    <n v="0"/>
    <n v="0"/>
    <n v="2"/>
    <x v="2"/>
    <m/>
  </r>
  <r>
    <x v="1283"/>
    <d v="2026-04-11T00:00:00"/>
    <d v="2026-04-13T00:00:00"/>
    <d v="2026-04-17T00:00:00"/>
    <d v="2026-04-17T00:00:00"/>
    <x v="3"/>
    <x v="7"/>
    <x v="3"/>
    <x v="1"/>
    <n v="636.1"/>
    <n v="1475.1"/>
    <n v="9074000"/>
    <b v="0"/>
    <b v="0"/>
    <n v="5000"/>
    <b v="0"/>
    <b v="0"/>
    <b v="0"/>
    <x v="0"/>
    <x v="40"/>
    <n v="29.501999999999999"/>
    <n v="0"/>
    <n v="0"/>
    <n v="4"/>
    <x v="4"/>
    <m/>
  </r>
  <r>
    <x v="1284"/>
    <d v="2026-01-10T00:00:00"/>
    <d v="2026-01-12T00:00:00"/>
    <d v="2026-01-16T00:00:00"/>
    <d v="2026-01-16T00:00:00"/>
    <x v="1"/>
    <x v="11"/>
    <x v="3"/>
    <x v="1"/>
    <n v="663.5"/>
    <n v="3197.9"/>
    <n v="9001000"/>
    <b v="0"/>
    <b v="0"/>
    <n v="5000"/>
    <b v="0"/>
    <b v="0"/>
    <b v="0"/>
    <x v="0"/>
    <x v="33"/>
    <n v="63.958000000000013"/>
    <n v="0"/>
    <n v="0"/>
    <n v="4"/>
    <x v="3"/>
    <m/>
  </r>
  <r>
    <x v="1285"/>
    <d v="2026-02-03T00:00:00"/>
    <d v="2026-02-04T00:00:00"/>
    <d v="2026-02-08T00:00:00"/>
    <d v="2026-02-08T00:00:00"/>
    <x v="0"/>
    <x v="3"/>
    <x v="5"/>
    <x v="0"/>
    <n v="1046.9000000000001"/>
    <n v="1379.8"/>
    <n v="10080000"/>
    <b v="0"/>
    <b v="0"/>
    <n v="1500"/>
    <b v="0"/>
    <b v="0"/>
    <b v="0"/>
    <x v="0"/>
    <x v="47"/>
    <n v="91.986666666666665"/>
    <n v="0"/>
    <n v="0"/>
    <n v="4"/>
    <x v="5"/>
    <m/>
  </r>
  <r>
    <x v="1286"/>
    <d v="2026-02-25T00:00:00"/>
    <d v="2026-02-26T00:00:00"/>
    <d v="2026-03-02T00:00:00"/>
    <d v="2026-03-02T00:00:00"/>
    <x v="2"/>
    <x v="4"/>
    <x v="3"/>
    <x v="3"/>
    <n v="691.4"/>
    <n v="411"/>
    <n v="7097000"/>
    <b v="0"/>
    <b v="0"/>
    <n v="1000"/>
    <b v="0"/>
    <b v="0"/>
    <b v="0"/>
    <x v="0"/>
    <x v="4"/>
    <n v="41.099999999999987"/>
    <n v="0"/>
    <n v="0"/>
    <n v="4"/>
    <x v="5"/>
    <m/>
  </r>
  <r>
    <x v="1287"/>
    <d v="2026-04-17T00:00:00"/>
    <d v="2026-04-19T00:00:00"/>
    <d v="2026-04-20T00:00:00"/>
    <d v="2026-04-21T00:00:00"/>
    <x v="2"/>
    <x v="8"/>
    <x v="2"/>
    <x v="0"/>
    <n v="10.9"/>
    <n v="1341.8"/>
    <n v="1082000"/>
    <b v="0"/>
    <b v="0"/>
    <n v="1500"/>
    <b v="0"/>
    <b v="0"/>
    <b v="0"/>
    <x v="1"/>
    <x v="18"/>
    <n v="89.453333333333333"/>
    <n v="0"/>
    <n v="0"/>
    <n v="2"/>
    <x v="4"/>
    <n v="1"/>
  </r>
  <r>
    <x v="1288"/>
    <d v="2026-06-05T00:00:00"/>
    <d v="2026-06-06T00:00:00"/>
    <d v="2026-06-08T00:00:00"/>
    <d v="2026-06-10T00:00:00"/>
    <x v="3"/>
    <x v="2"/>
    <x v="5"/>
    <x v="3"/>
    <n v="296.2"/>
    <n v="118"/>
    <n v="3293000"/>
    <b v="0"/>
    <b v="0"/>
    <n v="1000"/>
    <b v="0"/>
    <b v="0"/>
    <b v="0"/>
    <x v="1"/>
    <x v="14"/>
    <n v="11.8"/>
    <n v="0"/>
    <n v="0"/>
    <n v="4"/>
    <x v="1"/>
    <n v="2"/>
  </r>
  <r>
    <x v="1289"/>
    <d v="2026-06-15T00:00:00"/>
    <d v="2026-06-16T00:00:00"/>
    <d v="2026-06-19T00:00:00"/>
    <d v="2026-06-18T00:00:00"/>
    <x v="3"/>
    <x v="8"/>
    <x v="2"/>
    <x v="2"/>
    <n v="580.4"/>
    <n v="12117.3"/>
    <n v="12592000"/>
    <b v="0"/>
    <b v="0"/>
    <n v="16000"/>
    <b v="0"/>
    <b v="0"/>
    <b v="0"/>
    <x v="0"/>
    <x v="15"/>
    <n v="75.733124999999987"/>
    <n v="0"/>
    <n v="0"/>
    <n v="2"/>
    <x v="1"/>
    <m/>
  </r>
  <r>
    <x v="1290"/>
    <d v="2026-02-24T00:00:00"/>
    <d v="2026-02-25T00:00:00"/>
    <d v="2026-03-01T00:00:00"/>
    <d v="2026-03-02T00:00:00"/>
    <x v="2"/>
    <x v="1"/>
    <x v="1"/>
    <x v="1"/>
    <n v="306.7"/>
    <n v="818.1"/>
    <n v="5053000"/>
    <b v="0"/>
    <b v="0"/>
    <n v="5000"/>
    <b v="0"/>
    <b v="0"/>
    <b v="0"/>
    <x v="1"/>
    <x v="16"/>
    <n v="16.361999999999998"/>
    <n v="0"/>
    <n v="0"/>
    <n v="5"/>
    <x v="5"/>
    <n v="1"/>
  </r>
  <r>
    <x v="1291"/>
    <d v="2026-05-12T00:00:00"/>
    <d v="2026-05-13T00:00:00"/>
    <d v="2026-05-14T00:00:00"/>
    <d v="2026-05-15T00:00:00"/>
    <x v="2"/>
    <x v="8"/>
    <x v="3"/>
    <x v="2"/>
    <n v="17.5"/>
    <n v="10094.9"/>
    <n v="4328000"/>
    <b v="0"/>
    <b v="0"/>
    <n v="16000"/>
    <b v="0"/>
    <b v="0"/>
    <b v="0"/>
    <x v="1"/>
    <x v="18"/>
    <n v="63.093124999999993"/>
    <n v="0"/>
    <n v="0"/>
    <n v="2"/>
    <x v="2"/>
    <n v="1"/>
  </r>
  <r>
    <x v="1292"/>
    <d v="2026-02-10T00:00:00"/>
    <d v="2026-02-10T00:00:00"/>
    <d v="2026-02-13T00:00:00"/>
    <d v="2026-02-15T00:00:00"/>
    <x v="3"/>
    <x v="6"/>
    <x v="5"/>
    <x v="0"/>
    <n v="510.5"/>
    <n v="964.7"/>
    <n v="5942000"/>
    <b v="0"/>
    <b v="0"/>
    <n v="1500"/>
    <b v="0"/>
    <b v="0"/>
    <b v="0"/>
    <x v="1"/>
    <x v="13"/>
    <n v="64.313333333333333"/>
    <n v="0"/>
    <n v="0"/>
    <n v="5"/>
    <x v="5"/>
    <n v="2"/>
  </r>
  <r>
    <x v="1293"/>
    <d v="2026-02-06T00:00:00"/>
    <d v="2026-02-07T00:00:00"/>
    <d v="2026-02-11T00:00:00"/>
    <d v="2026-02-12T00:00:00"/>
    <x v="2"/>
    <x v="4"/>
    <x v="0"/>
    <x v="1"/>
    <n v="677.3"/>
    <n v="2245"/>
    <n v="9725000"/>
    <b v="0"/>
    <b v="0"/>
    <n v="5000"/>
    <b v="0"/>
    <b v="0"/>
    <b v="0"/>
    <x v="1"/>
    <x v="4"/>
    <n v="44.9"/>
    <n v="0"/>
    <n v="0"/>
    <n v="5"/>
    <x v="5"/>
    <n v="1"/>
  </r>
  <r>
    <x v="1294"/>
    <d v="2026-03-23T00:00:00"/>
    <d v="2026-03-25T00:00:00"/>
    <d v="2026-03-29T00:00:00"/>
    <d v="2026-03-28T00:00:00"/>
    <x v="0"/>
    <x v="9"/>
    <x v="0"/>
    <x v="1"/>
    <n v="612.4"/>
    <n v="3711.6"/>
    <n v="10482000"/>
    <b v="0"/>
    <b v="0"/>
    <n v="5000"/>
    <b v="0"/>
    <b v="0"/>
    <b v="0"/>
    <x v="0"/>
    <x v="44"/>
    <n v="74.231999999999999"/>
    <n v="0"/>
    <n v="0"/>
    <n v="3"/>
    <x v="6"/>
    <m/>
  </r>
  <r>
    <x v="1295"/>
    <d v="2026-04-11T00:00:00"/>
    <d v="2026-04-12T00:00:00"/>
    <d v="2026-04-16T00:00:00"/>
    <d v="2026-04-17T00:00:00"/>
    <x v="1"/>
    <x v="4"/>
    <x v="1"/>
    <x v="2"/>
    <n v="805.7"/>
    <n v="6056.9"/>
    <n v="15130000"/>
    <b v="0"/>
    <b v="0"/>
    <n v="16000"/>
    <b v="0"/>
    <b v="0"/>
    <b v="0"/>
    <x v="1"/>
    <x v="38"/>
    <n v="37.855625000000003"/>
    <n v="0"/>
    <n v="0"/>
    <n v="5"/>
    <x v="4"/>
    <n v="1"/>
  </r>
  <r>
    <x v="1296"/>
    <d v="2026-05-10T00:00:00"/>
    <d v="2026-05-11T00:00:00"/>
    <d v="2026-05-13T00:00:00"/>
    <d v="2026-05-14T00:00:00"/>
    <x v="2"/>
    <x v="0"/>
    <x v="2"/>
    <x v="1"/>
    <n v="278.3"/>
    <n v="3143.7"/>
    <n v="5689000"/>
    <b v="0"/>
    <b v="0"/>
    <n v="5000"/>
    <b v="0"/>
    <b v="0"/>
    <b v="0"/>
    <x v="1"/>
    <x v="7"/>
    <n v="62.874000000000002"/>
    <n v="0"/>
    <n v="0"/>
    <n v="3"/>
    <x v="2"/>
    <n v="1"/>
  </r>
  <r>
    <x v="1297"/>
    <d v="2026-05-12T00:00:00"/>
    <d v="2026-05-12T00:00:00"/>
    <d v="2026-05-15T00:00:00"/>
    <d v="2026-05-15T00:00:00"/>
    <x v="1"/>
    <x v="9"/>
    <x v="0"/>
    <x v="0"/>
    <n v="446.3"/>
    <n v="646.6"/>
    <n v="5233000"/>
    <b v="0"/>
    <b v="0"/>
    <n v="1500"/>
    <b v="0"/>
    <b v="0"/>
    <b v="0"/>
    <x v="0"/>
    <x v="24"/>
    <n v="43.106666666666669"/>
    <n v="0"/>
    <n v="0"/>
    <n v="3"/>
    <x v="2"/>
    <m/>
  </r>
  <r>
    <x v="1298"/>
    <d v="2026-06-23T00:00:00"/>
    <d v="2026-06-24T00:00:00"/>
    <d v="2026-06-27T00:00:00"/>
    <d v="2026-06-26T00:00:00"/>
    <x v="0"/>
    <x v="11"/>
    <x v="3"/>
    <x v="1"/>
    <n v="470.4"/>
    <n v="807.5"/>
    <n v="7576000"/>
    <b v="0"/>
    <b v="0"/>
    <n v="5000"/>
    <b v="0"/>
    <b v="0"/>
    <b v="0"/>
    <x v="0"/>
    <x v="36"/>
    <n v="16.149999999999999"/>
    <n v="0"/>
    <n v="0"/>
    <n v="2"/>
    <x v="1"/>
    <m/>
  </r>
  <r>
    <x v="1299"/>
    <d v="2026-03-26T00:00:00"/>
    <d v="2026-03-27T00:00:00"/>
    <d v="2026-03-28T00:00:00"/>
    <d v="2026-03-28T00:00:00"/>
    <x v="1"/>
    <x v="10"/>
    <x v="1"/>
    <x v="1"/>
    <n v="29.3"/>
    <n v="3058.3"/>
    <n v="2031000"/>
    <b v="0"/>
    <b v="0"/>
    <n v="5000"/>
    <b v="0"/>
    <b v="0"/>
    <b v="0"/>
    <x v="0"/>
    <x v="27"/>
    <n v="61.165999999999997"/>
    <n v="0"/>
    <n v="0"/>
    <n v="1"/>
    <x v="6"/>
    <m/>
  </r>
  <r>
    <x v="1300"/>
    <d v="2026-03-13T00:00:00"/>
    <d v="2026-03-14T00:00:00"/>
    <d v="2026-03-17T00:00:00"/>
    <d v="2026-03-17T00:00:00"/>
    <x v="1"/>
    <x v="9"/>
    <x v="0"/>
    <x v="1"/>
    <n v="443.7"/>
    <n v="4018.1"/>
    <n v="8305000"/>
    <b v="0"/>
    <b v="0"/>
    <n v="5000"/>
    <b v="0"/>
    <b v="0"/>
    <b v="0"/>
    <x v="0"/>
    <x v="24"/>
    <n v="80.361999999999995"/>
    <n v="0"/>
    <n v="0"/>
    <n v="3"/>
    <x v="6"/>
    <m/>
  </r>
  <r>
    <x v="1301"/>
    <d v="2026-03-28T00:00:00"/>
    <d v="2026-03-29T00:00:00"/>
    <d v="2026-03-31T00:00:00"/>
    <d v="2026-04-02T00:00:00"/>
    <x v="2"/>
    <x v="2"/>
    <x v="1"/>
    <x v="2"/>
    <n v="276"/>
    <n v="12747"/>
    <n v="9825000"/>
    <b v="0"/>
    <b v="0"/>
    <n v="16000"/>
    <b v="0"/>
    <b v="0"/>
    <b v="0"/>
    <x v="1"/>
    <x v="29"/>
    <n v="79.668750000000003"/>
    <n v="0"/>
    <n v="0"/>
    <n v="4"/>
    <x v="6"/>
    <n v="2"/>
  </r>
  <r>
    <x v="1302"/>
    <d v="2026-03-08T00:00:00"/>
    <d v="2026-03-08T00:00:00"/>
    <d v="2026-03-11T00:00:00"/>
    <d v="2026-03-14T00:00:00"/>
    <x v="2"/>
    <x v="7"/>
    <x v="2"/>
    <x v="0"/>
    <n v="181.7"/>
    <n v="1368.8"/>
    <n v="2941000"/>
    <b v="0"/>
    <b v="0"/>
    <n v="1500"/>
    <b v="0"/>
    <b v="0"/>
    <b v="0"/>
    <x v="1"/>
    <x v="10"/>
    <n v="91.253333333333316"/>
    <n v="0"/>
    <n v="0"/>
    <n v="6"/>
    <x v="6"/>
    <n v="3"/>
  </r>
  <r>
    <x v="1303"/>
    <d v="2026-03-20T00:00:00"/>
    <d v="2026-03-20T00:00:00"/>
    <d v="2026-03-23T00:00:00"/>
    <d v="2026-03-23T00:00:00"/>
    <x v="1"/>
    <x v="2"/>
    <x v="0"/>
    <x v="0"/>
    <n v="307.5"/>
    <n v="1357.7"/>
    <n v="3691000"/>
    <b v="0"/>
    <b v="0"/>
    <n v="1500"/>
    <b v="0"/>
    <b v="0"/>
    <b v="0"/>
    <x v="0"/>
    <x v="2"/>
    <n v="90.513333333333335"/>
    <n v="0"/>
    <n v="0"/>
    <n v="3"/>
    <x v="6"/>
    <m/>
  </r>
  <r>
    <x v="1304"/>
    <d v="2026-02-16T00:00:00"/>
    <d v="2026-02-17T00:00:00"/>
    <d v="2026-02-20T00:00:00"/>
    <d v="2026-02-20T00:00:00"/>
    <x v="3"/>
    <x v="6"/>
    <x v="1"/>
    <x v="2"/>
    <n v="439.7"/>
    <n v="6891.8"/>
    <n v="11950000"/>
    <b v="0"/>
    <b v="0"/>
    <n v="16000"/>
    <b v="0"/>
    <b v="0"/>
    <b v="0"/>
    <x v="0"/>
    <x v="13"/>
    <n v="43.073749999999997"/>
    <n v="0"/>
    <n v="0"/>
    <n v="3"/>
    <x v="5"/>
    <m/>
  </r>
  <r>
    <x v="1305"/>
    <d v="2026-02-28T00:00:00"/>
    <d v="2026-03-02T00:00:00"/>
    <d v="2026-03-04T00:00:00"/>
    <d v="2026-03-05T00:00:00"/>
    <x v="1"/>
    <x v="7"/>
    <x v="5"/>
    <x v="3"/>
    <n v="152.19999999999999"/>
    <n v="109.7"/>
    <n v="1785000"/>
    <b v="0"/>
    <b v="0"/>
    <n v="1000"/>
    <b v="0"/>
    <b v="0"/>
    <b v="0"/>
    <x v="1"/>
    <x v="26"/>
    <n v="10.97"/>
    <n v="0"/>
    <n v="0"/>
    <n v="3"/>
    <x v="6"/>
    <n v="1"/>
  </r>
  <r>
    <x v="1306"/>
    <d v="2026-02-26T00:00:00"/>
    <d v="2026-02-27T00:00:00"/>
    <d v="2026-03-03T00:00:00"/>
    <d v="2026-03-03T00:00:00"/>
    <x v="1"/>
    <x v="5"/>
    <x v="3"/>
    <x v="0"/>
    <n v="342"/>
    <n v="315.10000000000002"/>
    <n v="4227000"/>
    <b v="0"/>
    <b v="0"/>
    <n v="1500"/>
    <b v="0"/>
    <b v="0"/>
    <b v="0"/>
    <x v="0"/>
    <x v="5"/>
    <n v="21.006666666666671"/>
    <n v="0"/>
    <n v="0"/>
    <n v="4"/>
    <x v="5"/>
    <m/>
  </r>
  <r>
    <x v="1307"/>
    <d v="2026-04-28T00:00:00"/>
    <d v="2026-04-29T00:00:00"/>
    <d v="2026-05-01T00:00:00"/>
    <d v="2026-05-01T00:00:00"/>
    <x v="1"/>
    <x v="7"/>
    <x v="0"/>
    <x v="0"/>
    <n v="150.30000000000001"/>
    <n v="1320.7"/>
    <n v="2239000"/>
    <b v="0"/>
    <b v="0"/>
    <n v="1500"/>
    <b v="0"/>
    <b v="0"/>
    <b v="0"/>
    <x v="0"/>
    <x v="26"/>
    <n v="88.046666666666667"/>
    <n v="0"/>
    <n v="0"/>
    <n v="2"/>
    <x v="4"/>
    <m/>
  </r>
  <r>
    <x v="1308"/>
    <d v="2026-06-12T00:00:00"/>
    <d v="2026-06-12T00:00:00"/>
    <d v="2026-06-16T00:00:00"/>
    <d v="2026-06-16T00:00:00"/>
    <x v="1"/>
    <x v="3"/>
    <x v="5"/>
    <x v="3"/>
    <n v="853.4"/>
    <n v="705.3"/>
    <n v="8379000"/>
    <b v="0"/>
    <b v="0"/>
    <n v="1000"/>
    <b v="0"/>
    <b v="0"/>
    <b v="0"/>
    <x v="0"/>
    <x v="35"/>
    <n v="70.529999999999987"/>
    <n v="0"/>
    <n v="0"/>
    <n v="4"/>
    <x v="1"/>
    <m/>
  </r>
  <r>
    <x v="1309"/>
    <d v="2026-02-23T00:00:00"/>
    <d v="2026-02-23T00:00:00"/>
    <d v="2026-02-26T00:00:00"/>
    <d v="2026-02-27T00:00:00"/>
    <x v="1"/>
    <x v="5"/>
    <x v="1"/>
    <x v="3"/>
    <n v="335.2"/>
    <n v="162.80000000000001"/>
    <n v="3170000"/>
    <b v="0"/>
    <b v="0"/>
    <n v="1000"/>
    <b v="0"/>
    <b v="0"/>
    <b v="0"/>
    <x v="1"/>
    <x v="5"/>
    <n v="16.28"/>
    <n v="0"/>
    <n v="0"/>
    <n v="4"/>
    <x v="5"/>
    <n v="1"/>
  </r>
  <r>
    <x v="1310"/>
    <d v="2026-03-01T00:00:00"/>
    <d v="2026-03-03T00:00:00"/>
    <d v="2026-03-06T00:00:00"/>
    <d v="2026-03-07T00:00:00"/>
    <x v="2"/>
    <x v="9"/>
    <x v="3"/>
    <x v="0"/>
    <n v="455.1"/>
    <n v="888"/>
    <n v="5265000"/>
    <b v="0"/>
    <b v="0"/>
    <n v="1500"/>
    <b v="0"/>
    <b v="0"/>
    <b v="0"/>
    <x v="1"/>
    <x v="20"/>
    <n v="59.2"/>
    <n v="0"/>
    <n v="0"/>
    <n v="4"/>
    <x v="6"/>
    <n v="1"/>
  </r>
  <r>
    <x v="1311"/>
    <d v="2026-02-14T00:00:00"/>
    <d v="2026-02-14T00:00:00"/>
    <d v="2026-02-15T00:00:00"/>
    <d v="2026-02-17T00:00:00"/>
    <x v="2"/>
    <x v="10"/>
    <x v="1"/>
    <x v="2"/>
    <n v="54.4"/>
    <n v="4414.2"/>
    <n v="3825000"/>
    <b v="0"/>
    <b v="0"/>
    <n v="16000"/>
    <b v="0"/>
    <b v="0"/>
    <b v="0"/>
    <x v="1"/>
    <x v="34"/>
    <n v="27.588750000000001"/>
    <n v="0"/>
    <n v="0"/>
    <n v="3"/>
    <x v="5"/>
    <n v="2"/>
  </r>
  <r>
    <x v="1312"/>
    <d v="2026-05-14T00:00:00"/>
    <d v="2026-05-15T00:00:00"/>
    <d v="2026-05-19T00:00:00"/>
    <d v="2026-05-19T00:00:00"/>
    <x v="3"/>
    <x v="6"/>
    <x v="3"/>
    <x v="0"/>
    <n v="485.3"/>
    <n v="774.6"/>
    <n v="5261000"/>
    <b v="0"/>
    <b v="0"/>
    <n v="1500"/>
    <b v="0"/>
    <b v="0"/>
    <b v="0"/>
    <x v="0"/>
    <x v="13"/>
    <n v="51.64"/>
    <n v="0"/>
    <n v="0"/>
    <n v="4"/>
    <x v="2"/>
    <m/>
  </r>
  <r>
    <x v="1313"/>
    <d v="2026-01-25T00:00:00"/>
    <d v="2026-01-26T00:00:00"/>
    <d v="2026-01-29T00:00:00"/>
    <d v="2026-01-29T00:00:00"/>
    <x v="2"/>
    <x v="2"/>
    <x v="0"/>
    <x v="1"/>
    <n v="270"/>
    <n v="1549.3"/>
    <n v="5106000"/>
    <b v="0"/>
    <b v="0"/>
    <n v="5000"/>
    <b v="0"/>
    <b v="0"/>
    <b v="0"/>
    <x v="0"/>
    <x v="29"/>
    <n v="30.986000000000001"/>
    <n v="0"/>
    <n v="0"/>
    <n v="3"/>
    <x v="3"/>
    <m/>
  </r>
  <r>
    <x v="1314"/>
    <d v="2026-04-05T00:00:00"/>
    <d v="2026-04-06T00:00:00"/>
    <d v="2026-04-11T00:00:00"/>
    <d v="2026-04-12T00:00:00"/>
    <x v="2"/>
    <x v="3"/>
    <x v="5"/>
    <x v="0"/>
    <n v="885"/>
    <n v="1126.8"/>
    <n v="10708000"/>
    <b v="0"/>
    <b v="0"/>
    <n v="1500"/>
    <b v="0"/>
    <b v="0"/>
    <b v="0"/>
    <x v="1"/>
    <x v="3"/>
    <n v="75.12"/>
    <n v="0"/>
    <n v="0"/>
    <n v="6"/>
    <x v="4"/>
    <n v="1"/>
  </r>
  <r>
    <x v="1315"/>
    <d v="2026-01-09T00:00:00"/>
    <d v="2026-01-09T00:00:00"/>
    <d v="2026-01-11T00:00:00"/>
    <d v="2026-01-11T00:00:00"/>
    <x v="1"/>
    <x v="7"/>
    <x v="3"/>
    <x v="1"/>
    <n v="148.4"/>
    <n v="1037.3"/>
    <n v="3134000"/>
    <b v="0"/>
    <b v="0"/>
    <n v="5000"/>
    <b v="0"/>
    <b v="0"/>
    <b v="0"/>
    <x v="0"/>
    <x v="26"/>
    <n v="20.745999999999999"/>
    <n v="0"/>
    <n v="0"/>
    <n v="2"/>
    <x v="3"/>
    <m/>
  </r>
  <r>
    <x v="1316"/>
    <d v="2026-01-10T00:00:00"/>
    <d v="2026-01-11T00:00:00"/>
    <d v="2026-01-13T00:00:00"/>
    <d v="2026-01-13T00:00:00"/>
    <x v="2"/>
    <x v="7"/>
    <x v="5"/>
    <x v="3"/>
    <n v="199.3"/>
    <n v="88.6"/>
    <n v="2038000"/>
    <b v="0"/>
    <b v="0"/>
    <n v="1000"/>
    <b v="0"/>
    <b v="0"/>
    <b v="0"/>
    <x v="0"/>
    <x v="10"/>
    <n v="8.86"/>
    <n v="0"/>
    <n v="0"/>
    <n v="2"/>
    <x v="3"/>
    <m/>
  </r>
  <r>
    <x v="1317"/>
    <d v="2026-03-23T00:00:00"/>
    <d v="2026-03-23T00:00:00"/>
    <d v="2026-03-25T00:00:00"/>
    <d v="2026-03-25T00:00:00"/>
    <x v="2"/>
    <x v="0"/>
    <x v="0"/>
    <x v="3"/>
    <n v="264.2"/>
    <n v="696.1"/>
    <n v="3342000"/>
    <b v="0"/>
    <b v="0"/>
    <n v="1000"/>
    <b v="0"/>
    <b v="0"/>
    <b v="0"/>
    <x v="0"/>
    <x v="7"/>
    <n v="69.61"/>
    <n v="0"/>
    <n v="0"/>
    <n v="2"/>
    <x v="6"/>
    <m/>
  </r>
  <r>
    <x v="1318"/>
    <d v="2026-02-27T00:00:00"/>
    <d v="2026-02-28T00:00:00"/>
    <d v="2026-03-02T00:00:00"/>
    <d v="2026-03-02T00:00:00"/>
    <x v="0"/>
    <x v="2"/>
    <x v="3"/>
    <x v="1"/>
    <n v="174.5"/>
    <n v="3288.8"/>
    <n v="4588000"/>
    <b v="0"/>
    <b v="0"/>
    <n v="5000"/>
    <b v="0"/>
    <b v="0"/>
    <b v="0"/>
    <x v="0"/>
    <x v="23"/>
    <n v="65.775999999999996"/>
    <n v="0"/>
    <n v="0"/>
    <n v="2"/>
    <x v="5"/>
    <m/>
  </r>
  <r>
    <x v="1319"/>
    <d v="2026-02-26T00:00:00"/>
    <d v="2026-02-27T00:00:00"/>
    <d v="2026-03-02T00:00:00"/>
    <d v="2026-03-03T00:00:00"/>
    <x v="0"/>
    <x v="11"/>
    <x v="5"/>
    <x v="3"/>
    <n v="467.7"/>
    <n v="725.9"/>
    <n v="4566000"/>
    <b v="0"/>
    <b v="0"/>
    <n v="1000"/>
    <b v="0"/>
    <b v="0"/>
    <b v="0"/>
    <x v="1"/>
    <x v="36"/>
    <n v="72.59"/>
    <n v="0"/>
    <n v="0"/>
    <n v="4"/>
    <x v="5"/>
    <n v="1"/>
  </r>
  <r>
    <x v="1320"/>
    <d v="2026-05-09T00:00:00"/>
    <d v="2026-05-10T00:00:00"/>
    <d v="2026-05-14T00:00:00"/>
    <d v="2026-05-14T00:00:00"/>
    <x v="1"/>
    <x v="11"/>
    <x v="2"/>
    <x v="0"/>
    <n v="676.6"/>
    <n v="449.7"/>
    <n v="7306000"/>
    <b v="0"/>
    <b v="0"/>
    <n v="1500"/>
    <b v="0"/>
    <b v="0"/>
    <b v="0"/>
    <x v="0"/>
    <x v="33"/>
    <n v="29.98"/>
    <n v="0"/>
    <n v="0"/>
    <n v="4"/>
    <x v="2"/>
    <m/>
  </r>
  <r>
    <x v="1321"/>
    <d v="2026-04-06T00:00:00"/>
    <d v="2026-04-07T00:00:00"/>
    <d v="2026-04-09T00:00:00"/>
    <m/>
    <x v="2"/>
    <x v="0"/>
    <x v="2"/>
    <x v="1"/>
    <n v="291.5"/>
    <n v="2995.1"/>
    <n v="5567000"/>
    <b v="0"/>
    <b v="0"/>
    <n v="5000"/>
    <b v="0"/>
    <b v="0"/>
    <b v="0"/>
    <x v="2"/>
    <x v="7"/>
    <n v="59.902000000000001"/>
    <n v="0"/>
    <n v="0"/>
    <m/>
    <x v="4"/>
    <m/>
  </r>
  <r>
    <x v="1322"/>
    <d v="2026-02-26T00:00:00"/>
    <d v="2026-02-27T00:00:00"/>
    <d v="2026-03-01T00:00:00"/>
    <d v="2026-03-01T00:00:00"/>
    <x v="1"/>
    <x v="8"/>
    <x v="2"/>
    <x v="1"/>
    <n v="54.9"/>
    <n v="1225.4000000000001"/>
    <n v="1907000"/>
    <b v="0"/>
    <b v="0"/>
    <n v="5000"/>
    <b v="0"/>
    <b v="0"/>
    <b v="0"/>
    <x v="0"/>
    <x v="28"/>
    <n v="24.507999999999999"/>
    <n v="0"/>
    <n v="0"/>
    <n v="2"/>
    <x v="5"/>
    <m/>
  </r>
  <r>
    <x v="1323"/>
    <d v="2026-04-12T00:00:00"/>
    <d v="2026-04-13T00:00:00"/>
    <d v="2026-04-16T00:00:00"/>
    <d v="2026-04-16T00:00:00"/>
    <x v="1"/>
    <x v="9"/>
    <x v="5"/>
    <x v="1"/>
    <n v="447.1"/>
    <n v="3625.8"/>
    <n v="7880000"/>
    <b v="0"/>
    <b v="0"/>
    <n v="5000"/>
    <b v="0"/>
    <b v="0"/>
    <b v="0"/>
    <x v="0"/>
    <x v="24"/>
    <n v="72.516000000000005"/>
    <n v="0"/>
    <n v="0"/>
    <n v="3"/>
    <x v="4"/>
    <m/>
  </r>
  <r>
    <x v="1324"/>
    <d v="2026-03-25T00:00:00"/>
    <d v="2026-03-27T00:00:00"/>
    <d v="2026-03-30T00:00:00"/>
    <d v="2026-03-30T00:00:00"/>
    <x v="1"/>
    <x v="5"/>
    <x v="5"/>
    <x v="1"/>
    <n v="307"/>
    <n v="2013.8"/>
    <n v="5497000"/>
    <b v="0"/>
    <b v="0"/>
    <n v="5000"/>
    <b v="0"/>
    <b v="0"/>
    <b v="0"/>
    <x v="0"/>
    <x v="5"/>
    <n v="40.276000000000003"/>
    <n v="0"/>
    <n v="0"/>
    <n v="3"/>
    <x v="6"/>
    <m/>
  </r>
  <r>
    <x v="1325"/>
    <d v="2026-02-22T00:00:00"/>
    <d v="2026-02-23T00:00:00"/>
    <d v="2026-02-26T00:00:00"/>
    <d v="2026-02-27T00:00:00"/>
    <x v="2"/>
    <x v="2"/>
    <x v="3"/>
    <x v="0"/>
    <n v="304.10000000000002"/>
    <n v="1106.3"/>
    <n v="3648000"/>
    <b v="0"/>
    <b v="0"/>
    <n v="1500"/>
    <b v="0"/>
    <b v="0"/>
    <b v="0"/>
    <x v="1"/>
    <x v="29"/>
    <n v="73.75333333333333"/>
    <n v="0"/>
    <n v="0"/>
    <n v="4"/>
    <x v="5"/>
    <n v="1"/>
  </r>
  <r>
    <x v="1326"/>
    <d v="2026-01-11T00:00:00"/>
    <d v="2026-01-12T00:00:00"/>
    <d v="2026-01-16T00:00:00"/>
    <d v="2026-01-18T00:00:00"/>
    <x v="2"/>
    <x v="3"/>
    <x v="0"/>
    <x v="0"/>
    <n v="966.4"/>
    <n v="357.7"/>
    <n v="9018000"/>
    <b v="0"/>
    <b v="0"/>
    <n v="1500"/>
    <b v="0"/>
    <b v="0"/>
    <b v="0"/>
    <x v="1"/>
    <x v="3"/>
    <n v="23.846666666666671"/>
    <n v="0"/>
    <n v="0"/>
    <n v="6"/>
    <x v="3"/>
    <n v="2"/>
  </r>
  <r>
    <x v="1327"/>
    <d v="2026-02-02T00:00:00"/>
    <d v="2026-02-03T00:00:00"/>
    <d v="2026-02-05T00:00:00"/>
    <d v="2026-02-05T00:00:00"/>
    <x v="3"/>
    <x v="4"/>
    <x v="3"/>
    <x v="2"/>
    <n v="142.69999999999999"/>
    <n v="6954"/>
    <n v="5622000"/>
    <b v="0"/>
    <b v="0"/>
    <n v="16000"/>
    <b v="0"/>
    <b v="0"/>
    <b v="0"/>
    <x v="0"/>
    <x v="46"/>
    <n v="43.462499999999999"/>
    <n v="0"/>
    <n v="0"/>
    <n v="2"/>
    <x v="5"/>
    <m/>
  </r>
  <r>
    <x v="1328"/>
    <d v="2026-02-13T00:00:00"/>
    <d v="2026-02-15T00:00:00"/>
    <d v="2026-02-18T00:00:00"/>
    <d v="2026-02-18T00:00:00"/>
    <x v="2"/>
    <x v="5"/>
    <x v="3"/>
    <x v="1"/>
    <n v="311.2"/>
    <n v="1804.5"/>
    <n v="4644000"/>
    <b v="0"/>
    <b v="0"/>
    <n v="5000"/>
    <b v="0"/>
    <b v="0"/>
    <b v="0"/>
    <x v="0"/>
    <x v="17"/>
    <n v="36.090000000000003"/>
    <n v="0"/>
    <n v="0"/>
    <n v="3"/>
    <x v="5"/>
    <m/>
  </r>
  <r>
    <x v="1329"/>
    <d v="2026-04-25T00:00:00"/>
    <d v="2026-04-25T00:00:00"/>
    <d v="2026-04-28T00:00:00"/>
    <d v="2026-04-28T00:00:00"/>
    <x v="0"/>
    <x v="11"/>
    <x v="0"/>
    <x v="1"/>
    <n v="444.2"/>
    <n v="3397.6"/>
    <n v="6558000"/>
    <b v="0"/>
    <b v="0"/>
    <n v="5000"/>
    <b v="0"/>
    <b v="0"/>
    <b v="0"/>
    <x v="0"/>
    <x v="36"/>
    <n v="67.951999999999998"/>
    <n v="0"/>
    <n v="0"/>
    <n v="3"/>
    <x v="4"/>
    <m/>
  </r>
  <r>
    <x v="1330"/>
    <d v="2026-05-20T00:00:00"/>
    <d v="2026-05-20T00:00:00"/>
    <d v="2026-05-23T00:00:00"/>
    <d v="2026-05-24T00:00:00"/>
    <x v="3"/>
    <x v="5"/>
    <x v="5"/>
    <x v="2"/>
    <n v="450.1"/>
    <n v="7552.9"/>
    <n v="10964000"/>
    <b v="0"/>
    <b v="0"/>
    <n v="16000"/>
    <b v="0"/>
    <b v="0"/>
    <b v="0"/>
    <x v="1"/>
    <x v="37"/>
    <n v="47.205624999999998"/>
    <n v="0"/>
    <n v="0"/>
    <n v="4"/>
    <x v="2"/>
    <n v="1"/>
  </r>
  <r>
    <x v="1331"/>
    <d v="2026-05-09T00:00:00"/>
    <d v="2026-05-10T00:00:00"/>
    <d v="2026-05-14T00:00:00"/>
    <d v="2026-05-14T00:00:00"/>
    <x v="1"/>
    <x v="3"/>
    <x v="2"/>
    <x v="1"/>
    <n v="924.5"/>
    <n v="3138"/>
    <n v="13680000"/>
    <b v="0"/>
    <b v="0"/>
    <n v="5000"/>
    <b v="0"/>
    <b v="0"/>
    <b v="0"/>
    <x v="0"/>
    <x v="35"/>
    <n v="62.760000000000012"/>
    <n v="0"/>
    <n v="0"/>
    <n v="4"/>
    <x v="2"/>
    <m/>
  </r>
  <r>
    <x v="1332"/>
    <d v="2026-03-21T00:00:00"/>
    <d v="2026-03-22T00:00:00"/>
    <d v="2026-03-24T00:00:00"/>
    <d v="2026-03-26T00:00:00"/>
    <x v="0"/>
    <x v="5"/>
    <x v="2"/>
    <x v="1"/>
    <n v="175"/>
    <n v="3493.3"/>
    <n v="3898000"/>
    <b v="0"/>
    <b v="0"/>
    <n v="5000"/>
    <b v="0"/>
    <b v="0"/>
    <b v="0"/>
    <x v="1"/>
    <x v="8"/>
    <n v="69.866"/>
    <n v="0"/>
    <n v="0"/>
    <n v="4"/>
    <x v="6"/>
    <n v="2"/>
  </r>
  <r>
    <x v="1333"/>
    <d v="2026-05-19T00:00:00"/>
    <d v="2026-05-20T00:00:00"/>
    <d v="2026-05-24T00:00:00"/>
    <d v="2026-05-24T00:00:00"/>
    <x v="2"/>
    <x v="11"/>
    <x v="3"/>
    <x v="3"/>
    <n v="438.4"/>
    <n v="765.7"/>
    <n v="4894000"/>
    <b v="0"/>
    <b v="0"/>
    <n v="1000"/>
    <b v="0"/>
    <b v="0"/>
    <b v="0"/>
    <x v="0"/>
    <x v="41"/>
    <n v="76.570000000000007"/>
    <n v="0"/>
    <n v="0"/>
    <n v="4"/>
    <x v="2"/>
    <m/>
  </r>
  <r>
    <x v="1334"/>
    <d v="2026-03-08T00:00:00"/>
    <d v="2026-03-09T00:00:00"/>
    <d v="2026-03-12T00:00:00"/>
    <d v="2026-03-12T00:00:00"/>
    <x v="3"/>
    <x v="6"/>
    <x v="4"/>
    <x v="3"/>
    <n v="458.4"/>
    <n v="322.2"/>
    <n v="4559000"/>
    <b v="0"/>
    <b v="0"/>
    <n v="1000"/>
    <b v="0"/>
    <b v="0"/>
    <b v="0"/>
    <x v="0"/>
    <x v="13"/>
    <n v="32.22"/>
    <n v="0"/>
    <n v="0"/>
    <n v="3"/>
    <x v="6"/>
    <m/>
  </r>
  <r>
    <x v="1335"/>
    <d v="2026-03-20T00:00:00"/>
    <d v="2026-03-21T00:00:00"/>
    <d v="2026-03-23T00:00:00"/>
    <d v="2026-03-23T00:00:00"/>
    <x v="1"/>
    <x v="7"/>
    <x v="5"/>
    <x v="3"/>
    <n v="148.6"/>
    <n v="813.7"/>
    <n v="2366000"/>
    <b v="0"/>
    <b v="0"/>
    <n v="1000"/>
    <b v="0"/>
    <b v="0"/>
    <b v="0"/>
    <x v="0"/>
    <x v="26"/>
    <n v="81.37"/>
    <n v="0"/>
    <n v="0"/>
    <n v="2"/>
    <x v="6"/>
    <m/>
  </r>
  <r>
    <x v="1336"/>
    <d v="2026-03-24T00:00:00"/>
    <d v="2026-03-24T00:00:00"/>
    <d v="2026-03-27T00:00:00"/>
    <d v="2026-03-29T00:00:00"/>
    <x v="1"/>
    <x v="1"/>
    <x v="2"/>
    <x v="2"/>
    <n v="332.1"/>
    <n v="13077.5"/>
    <n v="11765000"/>
    <b v="0"/>
    <b v="0"/>
    <n v="16000"/>
    <b v="0"/>
    <b v="0"/>
    <b v="0"/>
    <x v="1"/>
    <x v="25"/>
    <n v="81.734375"/>
    <n v="0"/>
    <n v="0"/>
    <n v="5"/>
    <x v="6"/>
    <n v="2"/>
  </r>
  <r>
    <x v="1337"/>
    <d v="2026-02-05T00:00:00"/>
    <d v="2026-02-06T00:00:00"/>
    <d v="2026-02-09T00:00:00"/>
    <d v="2026-02-09T00:00:00"/>
    <x v="1"/>
    <x v="9"/>
    <x v="1"/>
    <x v="1"/>
    <n v="462.5"/>
    <n v="2875.2"/>
    <n v="7587000"/>
    <b v="0"/>
    <b v="0"/>
    <n v="5000"/>
    <b v="0"/>
    <b v="0"/>
    <b v="0"/>
    <x v="0"/>
    <x v="24"/>
    <n v="57.503999999999998"/>
    <n v="0"/>
    <n v="0"/>
    <n v="3"/>
    <x v="5"/>
    <m/>
  </r>
  <r>
    <x v="1338"/>
    <d v="2026-04-21T00:00:00"/>
    <d v="2026-04-21T00:00:00"/>
    <d v="2026-04-22T00:00:00"/>
    <d v="2026-04-24T00:00:00"/>
    <x v="0"/>
    <x v="6"/>
    <x v="0"/>
    <x v="0"/>
    <n v="23"/>
    <n v="214.7"/>
    <n v="802000"/>
    <b v="0"/>
    <b v="0"/>
    <n v="1500"/>
    <b v="0"/>
    <b v="0"/>
    <b v="0"/>
    <x v="1"/>
    <x v="19"/>
    <n v="14.313333333333331"/>
    <n v="0"/>
    <n v="0"/>
    <n v="3"/>
    <x v="4"/>
    <n v="2"/>
  </r>
  <r>
    <x v="1339"/>
    <d v="2026-06-24T00:00:00"/>
    <d v="2026-06-25T00:00:00"/>
    <d v="2026-06-28T00:00:00"/>
    <d v="2026-06-28T00:00:00"/>
    <x v="2"/>
    <x v="0"/>
    <x v="1"/>
    <x v="2"/>
    <n v="3"/>
    <n v="11744.9"/>
    <n v="9159000"/>
    <b v="0"/>
    <b v="0"/>
    <n v="16000"/>
    <b v="0"/>
    <b v="0"/>
    <b v="0"/>
    <x v="0"/>
    <x v="7"/>
    <n v="73.405625000000001"/>
    <n v="0"/>
    <n v="0"/>
    <n v="3"/>
    <x v="1"/>
    <m/>
  </r>
  <r>
    <x v="1340"/>
    <d v="2026-05-21T00:00:00"/>
    <d v="2026-05-21T00:00:00"/>
    <d v="2026-05-24T00:00:00"/>
    <d v="2026-05-24T00:00:00"/>
    <x v="2"/>
    <x v="1"/>
    <x v="5"/>
    <x v="1"/>
    <n v="300.60000000000002"/>
    <n v="2487.8000000000002"/>
    <n v="5973000"/>
    <b v="0"/>
    <b v="0"/>
    <n v="5000"/>
    <b v="0"/>
    <b v="0"/>
    <b v="0"/>
    <x v="0"/>
    <x v="16"/>
    <n v="49.756000000000007"/>
    <n v="0"/>
    <n v="0"/>
    <n v="3"/>
    <x v="2"/>
    <m/>
  </r>
  <r>
    <x v="1341"/>
    <d v="2026-04-13T00:00:00"/>
    <d v="2026-04-15T00:00:00"/>
    <d v="2026-04-18T00:00:00"/>
    <d v="2026-04-20T00:00:00"/>
    <x v="1"/>
    <x v="5"/>
    <x v="2"/>
    <x v="2"/>
    <n v="331"/>
    <n v="12855"/>
    <n v="10440000"/>
    <b v="0"/>
    <b v="0"/>
    <n v="16000"/>
    <b v="0"/>
    <b v="0"/>
    <b v="0"/>
    <x v="1"/>
    <x v="5"/>
    <n v="80.34375"/>
    <n v="0"/>
    <n v="0"/>
    <n v="5"/>
    <x v="4"/>
    <n v="2"/>
  </r>
  <r>
    <x v="1342"/>
    <d v="2026-06-04T00:00:00"/>
    <d v="2026-06-04T00:00:00"/>
    <d v="2026-06-08T00:00:00"/>
    <d v="2026-06-03T00:00:00"/>
    <x v="0"/>
    <x v="3"/>
    <x v="0"/>
    <x v="1"/>
    <n v="1017"/>
    <n v="2086.6999999999998"/>
    <n v="13333000"/>
    <b v="1"/>
    <b v="0"/>
    <n v="5000"/>
    <b v="0"/>
    <b v="0"/>
    <b v="1"/>
    <x v="3"/>
    <x v="47"/>
    <n v="41.734000000000002"/>
    <n v="0"/>
    <n v="1"/>
    <m/>
    <x v="1"/>
    <m/>
  </r>
  <r>
    <x v="1343"/>
    <d v="2026-05-22T00:00:00"/>
    <d v="2026-05-23T00:00:00"/>
    <d v="2026-05-26T00:00:00"/>
    <d v="2026-05-26T00:00:00"/>
    <x v="1"/>
    <x v="1"/>
    <x v="0"/>
    <x v="2"/>
    <n v="302.10000000000002"/>
    <n v="13465.5"/>
    <n v="10509000"/>
    <b v="0"/>
    <b v="0"/>
    <n v="16000"/>
    <b v="0"/>
    <b v="0"/>
    <b v="0"/>
    <x v="0"/>
    <x v="25"/>
    <n v="84.159374999999997"/>
    <n v="0"/>
    <n v="0"/>
    <n v="3"/>
    <x v="2"/>
    <m/>
  </r>
  <r>
    <x v="1344"/>
    <d v="2026-01-28T00:00:00"/>
    <d v="2026-01-29T00:00:00"/>
    <d v="2026-02-02T00:00:00"/>
    <d v="2026-02-02T00:00:00"/>
    <x v="2"/>
    <x v="4"/>
    <x v="5"/>
    <x v="3"/>
    <n v="673.4"/>
    <n v="441.4"/>
    <n v="6591000"/>
    <b v="0"/>
    <b v="0"/>
    <n v="1000"/>
    <b v="0"/>
    <b v="0"/>
    <b v="0"/>
    <x v="0"/>
    <x v="4"/>
    <n v="44.139999999999993"/>
    <n v="0"/>
    <n v="0"/>
    <n v="4"/>
    <x v="3"/>
    <m/>
  </r>
  <r>
    <x v="1345"/>
    <d v="2026-01-22T00:00:00"/>
    <d v="2026-01-22T00:00:00"/>
    <d v="2026-01-26T00:00:00"/>
    <d v="2026-01-27T00:00:00"/>
    <x v="3"/>
    <x v="8"/>
    <x v="0"/>
    <x v="1"/>
    <n v="613.5"/>
    <n v="3372.4"/>
    <n v="10874000"/>
    <b v="0"/>
    <b v="0"/>
    <n v="5000"/>
    <b v="0"/>
    <b v="0"/>
    <b v="0"/>
    <x v="1"/>
    <x v="15"/>
    <n v="67.447999999999993"/>
    <n v="0"/>
    <n v="0"/>
    <n v="5"/>
    <x v="3"/>
    <n v="1"/>
  </r>
  <r>
    <x v="1346"/>
    <d v="2026-06-23T00:00:00"/>
    <d v="2026-06-25T00:00:00"/>
    <d v="2026-06-29T00:00:00"/>
    <d v="2026-06-29T00:00:00"/>
    <x v="0"/>
    <x v="3"/>
    <x v="1"/>
    <x v="0"/>
    <n v="1011"/>
    <n v="948.8"/>
    <n v="9754000"/>
    <b v="0"/>
    <b v="0"/>
    <n v="1500"/>
    <b v="0"/>
    <b v="0"/>
    <b v="0"/>
    <x v="0"/>
    <x v="47"/>
    <n v="63.25333333333333"/>
    <n v="0"/>
    <n v="0"/>
    <n v="4"/>
    <x v="1"/>
    <m/>
  </r>
  <r>
    <x v="1347"/>
    <d v="2026-04-26T00:00:00"/>
    <d v="2026-04-26T00:00:00"/>
    <d v="2026-04-27T00:00:00"/>
    <d v="2026-04-29T00:00:00"/>
    <x v="3"/>
    <x v="11"/>
    <x v="5"/>
    <x v="1"/>
    <n v="27.8"/>
    <n v="713.2"/>
    <n v="1314000"/>
    <b v="0"/>
    <b v="0"/>
    <n v="5000"/>
    <b v="0"/>
    <b v="0"/>
    <b v="0"/>
    <x v="1"/>
    <x v="39"/>
    <n v="14.263999999999999"/>
    <n v="0"/>
    <n v="0"/>
    <n v="3"/>
    <x v="4"/>
    <n v="2"/>
  </r>
  <r>
    <x v="1348"/>
    <d v="2026-05-14T00:00:00"/>
    <d v="2026-05-15T00:00:00"/>
    <d v="2026-05-19T00:00:00"/>
    <d v="2026-05-20T00:00:00"/>
    <x v="2"/>
    <x v="4"/>
    <x v="5"/>
    <x v="1"/>
    <n v="782.3"/>
    <n v="1152.2"/>
    <n v="11979000"/>
    <b v="0"/>
    <b v="0"/>
    <n v="5000"/>
    <b v="0"/>
    <b v="0"/>
    <b v="0"/>
    <x v="1"/>
    <x v="4"/>
    <n v="23.044"/>
    <n v="0"/>
    <n v="0"/>
    <n v="5"/>
    <x v="2"/>
    <n v="1"/>
  </r>
  <r>
    <x v="1349"/>
    <d v="2026-03-20T00:00:00"/>
    <d v="2026-03-21T00:00:00"/>
    <d v="2026-03-26T00:00:00"/>
    <m/>
    <x v="3"/>
    <x v="9"/>
    <x v="3"/>
    <x v="0"/>
    <n v="960.5"/>
    <n v="1181.7"/>
    <n v="9971000"/>
    <b v="0"/>
    <b v="0"/>
    <n v="1500"/>
    <b v="0"/>
    <b v="0"/>
    <b v="0"/>
    <x v="2"/>
    <x v="31"/>
    <n v="78.78"/>
    <n v="0"/>
    <n v="0"/>
    <m/>
    <x v="6"/>
    <m/>
  </r>
  <r>
    <x v="1350"/>
    <d v="2026-06-24T00:00:00"/>
    <d v="2026-06-25T00:00:00"/>
    <d v="2026-06-27T00:00:00"/>
    <d v="2026-06-27T00:00:00"/>
    <x v="2"/>
    <x v="10"/>
    <x v="5"/>
    <x v="0"/>
    <n v="55.1"/>
    <n v="1120.9000000000001"/>
    <n v="1676000"/>
    <b v="0"/>
    <b v="0"/>
    <n v="1500"/>
    <b v="0"/>
    <b v="0"/>
    <b v="0"/>
    <x v="0"/>
    <x v="34"/>
    <n v="74.726666666666674"/>
    <n v="0"/>
    <n v="0"/>
    <n v="2"/>
    <x v="1"/>
    <m/>
  </r>
  <r>
    <x v="1351"/>
    <d v="2026-02-07T00:00:00"/>
    <d v="2026-02-09T00:00:00"/>
    <d v="2026-02-10T00:00:00"/>
    <d v="2026-02-10T00:00:00"/>
    <x v="1"/>
    <x v="8"/>
    <x v="5"/>
    <x v="3"/>
    <n v="62.4"/>
    <n v="810.9"/>
    <n v="1378000"/>
    <b v="0"/>
    <b v="0"/>
    <n v="1000"/>
    <b v="0"/>
    <b v="0"/>
    <b v="0"/>
    <x v="0"/>
    <x v="28"/>
    <n v="81.089999999999989"/>
    <n v="0"/>
    <n v="0"/>
    <n v="1"/>
    <x v="5"/>
    <m/>
  </r>
  <r>
    <x v="1352"/>
    <d v="2026-03-23T00:00:00"/>
    <d v="2026-03-25T00:00:00"/>
    <d v="2026-03-26T00:00:00"/>
    <d v="2026-03-26T00:00:00"/>
    <x v="1"/>
    <x v="10"/>
    <x v="5"/>
    <x v="2"/>
    <n v="21.6"/>
    <n v="9989.5"/>
    <n v="4097000"/>
    <b v="0"/>
    <b v="0"/>
    <n v="16000"/>
    <b v="0"/>
    <b v="0"/>
    <b v="0"/>
    <x v="0"/>
    <x v="27"/>
    <n v="62.434375000000003"/>
    <n v="0"/>
    <n v="0"/>
    <n v="1"/>
    <x v="6"/>
    <m/>
  </r>
  <r>
    <x v="1353"/>
    <d v="2026-04-15T00:00:00"/>
    <d v="2026-04-16T00:00:00"/>
    <d v="2026-04-18T00:00:00"/>
    <d v="2026-04-19T00:00:00"/>
    <x v="0"/>
    <x v="5"/>
    <x v="2"/>
    <x v="0"/>
    <n v="173.6"/>
    <n v="971.9"/>
    <n v="2878000"/>
    <b v="0"/>
    <b v="0"/>
    <n v="1500"/>
    <b v="0"/>
    <b v="0"/>
    <b v="0"/>
    <x v="1"/>
    <x v="8"/>
    <n v="64.793333333333337"/>
    <n v="0"/>
    <n v="0"/>
    <n v="3"/>
    <x v="4"/>
    <n v="1"/>
  </r>
  <r>
    <x v="1354"/>
    <d v="2026-06-03T00:00:00"/>
    <d v="2026-06-04T00:00:00"/>
    <d v="2026-06-07T00:00:00"/>
    <d v="2026-06-07T00:00:00"/>
    <x v="0"/>
    <x v="11"/>
    <x v="2"/>
    <x v="1"/>
    <n v="508.6"/>
    <n v="1943.6"/>
    <n v="7834000"/>
    <b v="0"/>
    <b v="0"/>
    <n v="5000"/>
    <b v="0"/>
    <b v="0"/>
    <b v="0"/>
    <x v="0"/>
    <x v="36"/>
    <n v="38.871999999999993"/>
    <n v="0"/>
    <n v="0"/>
    <n v="3"/>
    <x v="1"/>
    <m/>
  </r>
  <r>
    <x v="1355"/>
    <d v="2026-03-08T00:00:00"/>
    <d v="2026-03-09T00:00:00"/>
    <d v="2026-03-10T00:00:00"/>
    <d v="2026-03-12T00:00:00"/>
    <x v="1"/>
    <x v="8"/>
    <x v="0"/>
    <x v="2"/>
    <n v="48.1"/>
    <n v="14903.4"/>
    <n v="6074000"/>
    <b v="0"/>
    <b v="0"/>
    <n v="16000"/>
    <b v="0"/>
    <b v="0"/>
    <b v="0"/>
    <x v="1"/>
    <x v="28"/>
    <n v="93.146249999999995"/>
    <n v="0"/>
    <n v="0"/>
    <n v="3"/>
    <x v="6"/>
    <n v="2"/>
  </r>
  <r>
    <x v="1356"/>
    <d v="2026-05-24T00:00:00"/>
    <d v="2026-05-24T00:00:00"/>
    <d v="2026-05-27T00:00:00"/>
    <d v="2026-05-28T00:00:00"/>
    <x v="1"/>
    <x v="5"/>
    <x v="1"/>
    <x v="0"/>
    <n v="330.3"/>
    <n v="948.4"/>
    <n v="3570000"/>
    <b v="0"/>
    <b v="0"/>
    <n v="1500"/>
    <b v="0"/>
    <b v="0"/>
    <b v="0"/>
    <x v="1"/>
    <x v="5"/>
    <n v="63.226666666666667"/>
    <n v="0"/>
    <n v="0"/>
    <n v="4"/>
    <x v="2"/>
    <n v="1"/>
  </r>
  <r>
    <x v="1357"/>
    <d v="2026-03-08T00:00:00"/>
    <d v="2026-03-09T00:00:00"/>
    <d v="2026-03-10T00:00:00"/>
    <d v="2026-03-12T00:00:00"/>
    <x v="1"/>
    <x v="10"/>
    <x v="0"/>
    <x v="3"/>
    <n v="33.9"/>
    <n v="835.2"/>
    <n v="1191000"/>
    <b v="0"/>
    <b v="0"/>
    <n v="1000"/>
    <b v="0"/>
    <b v="0"/>
    <b v="0"/>
    <x v="1"/>
    <x v="27"/>
    <n v="83.52000000000001"/>
    <n v="0"/>
    <n v="0"/>
    <n v="3"/>
    <x v="6"/>
    <n v="2"/>
  </r>
  <r>
    <x v="1358"/>
    <d v="2026-01-30T00:00:00"/>
    <d v="2026-01-31T00:00:00"/>
    <d v="2026-02-03T00:00:00"/>
    <d v="2026-02-03T00:00:00"/>
    <x v="0"/>
    <x v="9"/>
    <x v="2"/>
    <x v="2"/>
    <n v="575.1"/>
    <n v="12211.5"/>
    <n v="15016000"/>
    <b v="0"/>
    <b v="0"/>
    <n v="16000"/>
    <b v="0"/>
    <b v="0"/>
    <b v="0"/>
    <x v="0"/>
    <x v="44"/>
    <n v="76.321874999999991"/>
    <n v="0"/>
    <n v="0"/>
    <n v="3"/>
    <x v="3"/>
    <m/>
  </r>
  <r>
    <x v="1359"/>
    <d v="2026-03-31T00:00:00"/>
    <d v="2026-03-31T00:00:00"/>
    <d v="2026-04-02T00:00:00"/>
    <d v="2026-04-02T00:00:00"/>
    <x v="0"/>
    <x v="8"/>
    <x v="1"/>
    <x v="2"/>
    <n v="131.30000000000001"/>
    <n v="7794.1"/>
    <n v="5373000"/>
    <b v="0"/>
    <b v="0"/>
    <n v="16000"/>
    <b v="0"/>
    <b v="0"/>
    <b v="0"/>
    <x v="0"/>
    <x v="22"/>
    <n v="48.713125000000012"/>
    <n v="0"/>
    <n v="0"/>
    <n v="2"/>
    <x v="6"/>
    <m/>
  </r>
  <r>
    <x v="1360"/>
    <d v="2026-03-25T00:00:00"/>
    <d v="2026-03-25T00:00:00"/>
    <d v="2026-03-28T00:00:00"/>
    <d v="2026-03-29T00:00:00"/>
    <x v="2"/>
    <x v="9"/>
    <x v="1"/>
    <x v="0"/>
    <n v="444.4"/>
    <n v="188.1"/>
    <n v="4467000"/>
    <b v="0"/>
    <b v="0"/>
    <n v="1500"/>
    <b v="0"/>
    <b v="0"/>
    <b v="0"/>
    <x v="1"/>
    <x v="20"/>
    <n v="12.54"/>
    <n v="0"/>
    <n v="0"/>
    <n v="4"/>
    <x v="6"/>
    <n v="1"/>
  </r>
  <r>
    <x v="1361"/>
    <d v="2026-03-10T00:00:00"/>
    <d v="2026-03-11T00:00:00"/>
    <d v="2026-03-14T00:00:00"/>
    <d v="2026-03-14T00:00:00"/>
    <x v="0"/>
    <x v="11"/>
    <x v="5"/>
    <x v="3"/>
    <n v="476.5"/>
    <n v="897.8"/>
    <n v="4763000"/>
    <b v="0"/>
    <b v="0"/>
    <n v="1000"/>
    <b v="0"/>
    <b v="0"/>
    <b v="0"/>
    <x v="0"/>
    <x v="36"/>
    <n v="89.779999999999987"/>
    <n v="0"/>
    <n v="0"/>
    <n v="3"/>
    <x v="6"/>
    <m/>
  </r>
  <r>
    <x v="1362"/>
    <d v="2026-04-09T00:00:00"/>
    <d v="2026-04-10T00:00:00"/>
    <d v="2026-04-14T00:00:00"/>
    <d v="2026-04-14T00:00:00"/>
    <x v="2"/>
    <x v="11"/>
    <x v="3"/>
    <x v="1"/>
    <n v="600.4"/>
    <n v="2484"/>
    <n v="10320000"/>
    <b v="0"/>
    <b v="0"/>
    <n v="5000"/>
    <b v="0"/>
    <b v="0"/>
    <b v="0"/>
    <x v="0"/>
    <x v="41"/>
    <n v="49.68"/>
    <n v="0"/>
    <n v="0"/>
    <n v="4"/>
    <x v="4"/>
    <m/>
  </r>
  <r>
    <x v="1363"/>
    <d v="2026-02-23T00:00:00"/>
    <d v="2026-02-24T00:00:00"/>
    <d v="2026-02-28T00:00:00"/>
    <d v="2026-02-28T00:00:00"/>
    <x v="1"/>
    <x v="3"/>
    <x v="3"/>
    <x v="2"/>
    <n v="856.9"/>
    <n v="8371.7000000000007"/>
    <n v="20538000"/>
    <b v="0"/>
    <b v="0"/>
    <n v="16000"/>
    <b v="0"/>
    <b v="0"/>
    <b v="0"/>
    <x v="0"/>
    <x v="35"/>
    <n v="52.323124999999997"/>
    <n v="0"/>
    <n v="0"/>
    <n v="4"/>
    <x v="5"/>
    <m/>
  </r>
  <r>
    <x v="1364"/>
    <d v="2026-02-02T00:00:00"/>
    <d v="2026-02-03T00:00:00"/>
    <d v="2026-02-05T00:00:00"/>
    <d v="2026-02-05T00:00:00"/>
    <x v="2"/>
    <x v="0"/>
    <x v="0"/>
    <x v="0"/>
    <n v="294.7"/>
    <n v="1351.3"/>
    <n v="3857000"/>
    <b v="0"/>
    <b v="0"/>
    <n v="1500"/>
    <b v="0"/>
    <b v="0"/>
    <b v="0"/>
    <x v="0"/>
    <x v="7"/>
    <n v="90.086666666666659"/>
    <n v="0"/>
    <n v="0"/>
    <n v="2"/>
    <x v="5"/>
    <m/>
  </r>
  <r>
    <x v="1365"/>
    <d v="2026-02-13T00:00:00"/>
    <d v="2026-02-15T00:00:00"/>
    <d v="2026-02-18T00:00:00"/>
    <d v="2026-02-19T00:00:00"/>
    <x v="2"/>
    <x v="0"/>
    <x v="2"/>
    <x v="1"/>
    <n v="321.3"/>
    <n v="2752.3"/>
    <n v="5032000"/>
    <b v="0"/>
    <b v="0"/>
    <n v="5000"/>
    <b v="0"/>
    <b v="0"/>
    <b v="0"/>
    <x v="1"/>
    <x v="7"/>
    <n v="55.046000000000006"/>
    <n v="0"/>
    <n v="0"/>
    <n v="4"/>
    <x v="5"/>
    <n v="1"/>
  </r>
  <r>
    <x v="1366"/>
    <d v="2026-06-03T00:00:00"/>
    <d v="2026-06-03T00:00:00"/>
    <d v="2026-06-05T00:00:00"/>
    <d v="2026-06-05T00:00:00"/>
    <x v="1"/>
    <x v="6"/>
    <x v="2"/>
    <x v="1"/>
    <n v="164.9"/>
    <n v="3400.5"/>
    <n v="4462000"/>
    <b v="0"/>
    <b v="0"/>
    <n v="5000"/>
    <b v="0"/>
    <b v="0"/>
    <b v="0"/>
    <x v="0"/>
    <x v="9"/>
    <n v="68.010000000000005"/>
    <n v="0"/>
    <n v="0"/>
    <n v="2"/>
    <x v="1"/>
    <m/>
  </r>
  <r>
    <x v="1367"/>
    <d v="2026-05-26T00:00:00"/>
    <d v="2026-05-27T00:00:00"/>
    <d v="2026-05-31T00:00:00"/>
    <d v="2026-05-31T00:00:00"/>
    <x v="2"/>
    <x v="4"/>
    <x v="3"/>
    <x v="1"/>
    <n v="727"/>
    <n v="13471.3"/>
    <n v="15599000"/>
    <b v="0"/>
    <b v="0"/>
    <n v="5000"/>
    <b v="1"/>
    <b v="0"/>
    <b v="1"/>
    <x v="0"/>
    <x v="4"/>
    <m/>
    <n v="1"/>
    <n v="1"/>
    <n v="4"/>
    <x v="2"/>
    <m/>
  </r>
  <r>
    <x v="1368"/>
    <d v="2026-04-07T00:00:00"/>
    <d v="2026-04-07T00:00:00"/>
    <d v="2026-04-11T00:00:00"/>
    <d v="2026-04-11T00:00:00"/>
    <x v="2"/>
    <x v="4"/>
    <x v="2"/>
    <x v="1"/>
    <n v="770.1"/>
    <n v="1143.2"/>
    <n v="11151000"/>
    <b v="0"/>
    <b v="0"/>
    <n v="5000"/>
    <b v="0"/>
    <b v="0"/>
    <b v="0"/>
    <x v="0"/>
    <x v="4"/>
    <n v="22.864000000000001"/>
    <n v="0"/>
    <n v="0"/>
    <n v="4"/>
    <x v="4"/>
    <m/>
  </r>
  <r>
    <x v="1369"/>
    <d v="2026-03-19T00:00:00"/>
    <d v="2026-03-20T00:00:00"/>
    <d v="2026-03-24T00:00:00"/>
    <d v="2026-03-25T00:00:00"/>
    <x v="1"/>
    <x v="4"/>
    <x v="1"/>
    <x v="3"/>
    <n v="738.5"/>
    <n v="671"/>
    <n v="6536000"/>
    <b v="0"/>
    <b v="0"/>
    <n v="1000"/>
    <b v="0"/>
    <b v="0"/>
    <b v="0"/>
    <x v="1"/>
    <x v="38"/>
    <n v="67.100000000000009"/>
    <n v="0"/>
    <n v="0"/>
    <n v="5"/>
    <x v="6"/>
    <n v="1"/>
  </r>
  <r>
    <x v="1370"/>
    <d v="2026-03-24T00:00:00"/>
    <d v="2026-03-25T00:00:00"/>
    <d v="2026-03-28T00:00:00"/>
    <d v="2026-03-29T00:00:00"/>
    <x v="3"/>
    <x v="8"/>
    <x v="0"/>
    <x v="1"/>
    <n v="599"/>
    <n v="2748.6"/>
    <n v="10245000"/>
    <b v="0"/>
    <b v="0"/>
    <n v="5000"/>
    <b v="0"/>
    <b v="0"/>
    <b v="0"/>
    <x v="1"/>
    <x v="15"/>
    <n v="54.972000000000001"/>
    <n v="0"/>
    <n v="0"/>
    <n v="4"/>
    <x v="6"/>
    <n v="1"/>
  </r>
  <r>
    <x v="1371"/>
    <d v="2026-03-06T00:00:00"/>
    <d v="2026-03-06T00:00:00"/>
    <d v="2026-03-08T00:00:00"/>
    <d v="2026-03-09T00:00:00"/>
    <x v="0"/>
    <x v="10"/>
    <x v="2"/>
    <x v="1"/>
    <n v="146.19999999999999"/>
    <n v="3560.2"/>
    <n v="3956000"/>
    <b v="0"/>
    <b v="0"/>
    <n v="5000"/>
    <b v="0"/>
    <b v="0"/>
    <b v="0"/>
    <x v="1"/>
    <x v="42"/>
    <n v="71.204000000000008"/>
    <n v="0"/>
    <n v="0"/>
    <n v="3"/>
    <x v="6"/>
    <n v="1"/>
  </r>
  <r>
    <x v="1372"/>
    <d v="2026-03-16T00:00:00"/>
    <d v="2026-03-16T00:00:00"/>
    <d v="2026-03-20T00:00:00"/>
    <d v="2026-03-20T00:00:00"/>
    <x v="3"/>
    <x v="9"/>
    <x v="5"/>
    <x v="1"/>
    <n v="975"/>
    <n v="2982.6"/>
    <n v="12647000"/>
    <b v="0"/>
    <b v="0"/>
    <n v="5000"/>
    <b v="0"/>
    <b v="0"/>
    <b v="0"/>
    <x v="0"/>
    <x v="31"/>
    <n v="59.651999999999987"/>
    <n v="0"/>
    <n v="0"/>
    <n v="4"/>
    <x v="6"/>
    <m/>
  </r>
  <r>
    <x v="1373"/>
    <d v="2026-05-10T00:00:00"/>
    <d v="2026-05-10T00:00:00"/>
    <d v="2026-05-13T00:00:00"/>
    <d v="2026-05-14T00:00:00"/>
    <x v="0"/>
    <x v="11"/>
    <x v="2"/>
    <x v="1"/>
    <n v="455.5"/>
    <n v="3912.9"/>
    <n v="8060000"/>
    <b v="0"/>
    <b v="0"/>
    <n v="5000"/>
    <b v="0"/>
    <b v="0"/>
    <b v="0"/>
    <x v="1"/>
    <x v="36"/>
    <n v="78.25800000000001"/>
    <n v="0"/>
    <n v="0"/>
    <n v="4"/>
    <x v="2"/>
    <n v="1"/>
  </r>
  <r>
    <x v="1374"/>
    <d v="2026-04-21T00:00:00"/>
    <d v="2026-04-21T00:00:00"/>
    <d v="2026-04-22T00:00:00"/>
    <d v="2026-04-22T00:00:00"/>
    <x v="1"/>
    <x v="10"/>
    <x v="1"/>
    <x v="1"/>
    <n v="29.2"/>
    <n v="4017.1"/>
    <n v="2507000"/>
    <b v="0"/>
    <b v="0"/>
    <n v="5000"/>
    <b v="0"/>
    <b v="0"/>
    <b v="0"/>
    <x v="0"/>
    <x v="27"/>
    <n v="80.341999999999999"/>
    <n v="0"/>
    <n v="0"/>
    <n v="1"/>
    <x v="4"/>
    <m/>
  </r>
  <r>
    <x v="1375"/>
    <d v="2026-05-17T00:00:00"/>
    <d v="2026-05-18T00:00:00"/>
    <d v="2026-05-22T00:00:00"/>
    <d v="2026-05-22T00:00:00"/>
    <x v="3"/>
    <x v="10"/>
    <x v="2"/>
    <x v="1"/>
    <n v="616.6"/>
    <n v="4060.5"/>
    <n v="10181000"/>
    <b v="0"/>
    <b v="0"/>
    <n v="5000"/>
    <b v="0"/>
    <b v="0"/>
    <b v="0"/>
    <x v="0"/>
    <x v="32"/>
    <n v="81.210000000000008"/>
    <n v="0"/>
    <n v="0"/>
    <n v="4"/>
    <x v="2"/>
    <m/>
  </r>
  <r>
    <x v="1376"/>
    <d v="2026-05-17T00:00:00"/>
    <d v="2026-05-19T00:00:00"/>
    <d v="2026-05-21T00:00:00"/>
    <d v="2026-05-21T00:00:00"/>
    <x v="2"/>
    <x v="0"/>
    <x v="1"/>
    <x v="3"/>
    <n v="291.89999999999998"/>
    <n v="124.1"/>
    <n v="2905000"/>
    <b v="0"/>
    <b v="0"/>
    <n v="1000"/>
    <b v="0"/>
    <b v="0"/>
    <b v="0"/>
    <x v="0"/>
    <x v="7"/>
    <n v="12.41"/>
    <n v="0"/>
    <n v="0"/>
    <n v="2"/>
    <x v="2"/>
    <m/>
  </r>
  <r>
    <x v="1377"/>
    <d v="2026-02-17T00:00:00"/>
    <d v="2026-02-18T00:00:00"/>
    <d v="2026-02-21T00:00:00"/>
    <d v="2026-02-23T00:00:00"/>
    <x v="0"/>
    <x v="0"/>
    <x v="0"/>
    <x v="1"/>
    <n v="341.3"/>
    <n v="3600.3"/>
    <n v="5834000"/>
    <b v="0"/>
    <b v="0"/>
    <n v="5000"/>
    <b v="0"/>
    <b v="0"/>
    <b v="0"/>
    <x v="1"/>
    <x v="0"/>
    <n v="72.006"/>
    <n v="0"/>
    <n v="0"/>
    <n v="5"/>
    <x v="5"/>
    <n v="2"/>
  </r>
  <r>
    <x v="1378"/>
    <d v="2026-03-10T00:00:00"/>
    <d v="2026-03-11T00:00:00"/>
    <d v="2026-03-12T00:00:00"/>
    <d v="2026-03-12T00:00:00"/>
    <x v="2"/>
    <x v="10"/>
    <x v="5"/>
    <x v="0"/>
    <n v="58.4"/>
    <n v="511.1"/>
    <n v="1308000"/>
    <b v="0"/>
    <b v="0"/>
    <n v="1500"/>
    <b v="0"/>
    <b v="0"/>
    <b v="0"/>
    <x v="0"/>
    <x v="34"/>
    <n v="34.073333333333331"/>
    <n v="0"/>
    <n v="0"/>
    <n v="1"/>
    <x v="6"/>
    <m/>
  </r>
  <r>
    <x v="1379"/>
    <d v="2026-06-19T00:00:00"/>
    <d v="2026-06-20T00:00:00"/>
    <d v="2026-06-23T00:00:00"/>
    <d v="2026-06-23T00:00:00"/>
    <x v="1"/>
    <x v="2"/>
    <x v="3"/>
    <x v="3"/>
    <n v="317.89999999999998"/>
    <n v="649.79999999999995"/>
    <n v="3936000"/>
    <b v="0"/>
    <b v="0"/>
    <n v="1000"/>
    <b v="0"/>
    <b v="0"/>
    <b v="0"/>
    <x v="0"/>
    <x v="2"/>
    <n v="64.97999999999999"/>
    <n v="0"/>
    <n v="0"/>
    <n v="3"/>
    <x v="1"/>
    <m/>
  </r>
  <r>
    <x v="1380"/>
    <d v="2026-01-15T00:00:00"/>
    <d v="2026-01-15T00:00:00"/>
    <d v="2026-01-16T00:00:00"/>
    <d v="2026-01-16T00:00:00"/>
    <x v="1"/>
    <x v="10"/>
    <x v="5"/>
    <x v="2"/>
    <n v="18"/>
    <n v="4938.5"/>
    <n v="2788000"/>
    <b v="0"/>
    <b v="0"/>
    <n v="16000"/>
    <b v="0"/>
    <b v="0"/>
    <b v="0"/>
    <x v="0"/>
    <x v="27"/>
    <n v="30.865625000000001"/>
    <n v="0"/>
    <n v="0"/>
    <n v="1"/>
    <x v="3"/>
    <m/>
  </r>
  <r>
    <x v="1381"/>
    <d v="2026-03-24T00:00:00"/>
    <d v="2026-03-25T00:00:00"/>
    <d v="2026-03-28T00:00:00"/>
    <d v="2026-03-28T00:00:00"/>
    <x v="1"/>
    <x v="2"/>
    <x v="1"/>
    <x v="3"/>
    <n v="312"/>
    <n v="322.2"/>
    <n v="3350000"/>
    <b v="0"/>
    <b v="0"/>
    <n v="1000"/>
    <b v="0"/>
    <b v="0"/>
    <b v="0"/>
    <x v="0"/>
    <x v="2"/>
    <n v="32.22"/>
    <n v="0"/>
    <n v="0"/>
    <n v="3"/>
    <x v="6"/>
    <m/>
  </r>
  <r>
    <x v="1382"/>
    <d v="2026-05-09T00:00:00"/>
    <d v="2026-05-10T00:00:00"/>
    <d v="2026-05-12T00:00:00"/>
    <d v="2026-05-12T00:00:00"/>
    <x v="2"/>
    <x v="6"/>
    <x v="0"/>
    <x v="2"/>
    <n v="138.5"/>
    <n v="3696.4"/>
    <n v="5523000"/>
    <b v="0"/>
    <b v="0"/>
    <n v="16000"/>
    <b v="0"/>
    <b v="0"/>
    <b v="0"/>
    <x v="0"/>
    <x v="6"/>
    <n v="23.102499999999999"/>
    <n v="0"/>
    <n v="0"/>
    <n v="2"/>
    <x v="2"/>
    <m/>
  </r>
  <r>
    <x v="1383"/>
    <d v="2026-04-10T00:00:00"/>
    <d v="2026-04-11T00:00:00"/>
    <d v="2026-04-15T00:00:00"/>
    <d v="2026-04-14T00:00:00"/>
    <x v="1"/>
    <x v="11"/>
    <x v="3"/>
    <x v="0"/>
    <n v="641.79999999999995"/>
    <n v="450.3"/>
    <n v="6251000"/>
    <b v="0"/>
    <b v="0"/>
    <n v="1500"/>
    <b v="0"/>
    <b v="0"/>
    <b v="0"/>
    <x v="0"/>
    <x v="33"/>
    <n v="30.02"/>
    <n v="0"/>
    <n v="0"/>
    <n v="3"/>
    <x v="4"/>
    <m/>
  </r>
  <r>
    <x v="1384"/>
    <d v="2026-02-27T00:00:00"/>
    <d v="2026-02-28T00:00:00"/>
    <d v="2026-03-03T00:00:00"/>
    <d v="2026-03-04T00:00:00"/>
    <x v="2"/>
    <x v="11"/>
    <x v="2"/>
    <x v="1"/>
    <n v="567.20000000000005"/>
    <n v="4440.2"/>
    <n v="10258000"/>
    <b v="0"/>
    <b v="0"/>
    <n v="5000"/>
    <b v="0"/>
    <b v="0"/>
    <b v="0"/>
    <x v="1"/>
    <x v="41"/>
    <n v="88.803999999999988"/>
    <n v="0"/>
    <n v="0"/>
    <n v="4"/>
    <x v="5"/>
    <n v="1"/>
  </r>
  <r>
    <x v="1385"/>
    <d v="2026-04-19T00:00:00"/>
    <d v="2026-04-20T00:00:00"/>
    <d v="2026-04-22T00:00:00"/>
    <d v="2026-04-22T00:00:00"/>
    <x v="1"/>
    <x v="0"/>
    <x v="5"/>
    <x v="2"/>
    <n v="273.3"/>
    <n v="12634.6"/>
    <n v="8676000"/>
    <b v="0"/>
    <b v="0"/>
    <n v="16000"/>
    <b v="0"/>
    <b v="0"/>
    <b v="0"/>
    <x v="0"/>
    <x v="12"/>
    <n v="78.966250000000002"/>
    <n v="0"/>
    <n v="0"/>
    <n v="2"/>
    <x v="4"/>
    <m/>
  </r>
  <r>
    <x v="1386"/>
    <d v="2026-04-05T00:00:00"/>
    <d v="2026-04-07T00:00:00"/>
    <d v="2026-04-09T00:00:00"/>
    <d v="2026-04-09T00:00:00"/>
    <x v="2"/>
    <x v="6"/>
    <x v="5"/>
    <x v="0"/>
    <n v="135.5"/>
    <n v="994.8"/>
    <n v="2439000"/>
    <b v="0"/>
    <b v="0"/>
    <n v="1500"/>
    <b v="0"/>
    <b v="0"/>
    <b v="0"/>
    <x v="0"/>
    <x v="6"/>
    <n v="66.320000000000007"/>
    <n v="0"/>
    <n v="0"/>
    <n v="2"/>
    <x v="4"/>
    <m/>
  </r>
  <r>
    <x v="1387"/>
    <d v="2026-03-11T00:00:00"/>
    <d v="2026-03-13T00:00:00"/>
    <d v="2026-03-17T00:00:00"/>
    <d v="2026-03-18T00:00:00"/>
    <x v="1"/>
    <x v="4"/>
    <x v="1"/>
    <x v="2"/>
    <n v="785.1"/>
    <n v="3225.3"/>
    <n v="14482000"/>
    <b v="0"/>
    <b v="0"/>
    <n v="16000"/>
    <b v="0"/>
    <b v="0"/>
    <b v="0"/>
    <x v="1"/>
    <x v="38"/>
    <n v="20.158124999999998"/>
    <n v="0"/>
    <n v="0"/>
    <n v="5"/>
    <x v="6"/>
    <n v="1"/>
  </r>
  <r>
    <x v="1388"/>
    <d v="2026-05-10T00:00:00"/>
    <d v="2026-05-11T00:00:00"/>
    <d v="2026-05-14T00:00:00"/>
    <d v="2026-05-16T00:00:00"/>
    <x v="1"/>
    <x v="5"/>
    <x v="5"/>
    <x v="3"/>
    <n v="336.8"/>
    <n v="183.9"/>
    <n v="3960000"/>
    <b v="0"/>
    <b v="0"/>
    <n v="1000"/>
    <b v="0"/>
    <b v="0"/>
    <b v="0"/>
    <x v="1"/>
    <x v="5"/>
    <n v="18.39"/>
    <n v="0"/>
    <n v="0"/>
    <n v="5"/>
    <x v="2"/>
    <n v="2"/>
  </r>
  <r>
    <x v="1389"/>
    <d v="2026-04-11T00:00:00"/>
    <d v="2026-04-12T00:00:00"/>
    <d v="2026-04-14T00:00:00"/>
    <d v="2026-04-16T00:00:00"/>
    <x v="2"/>
    <x v="0"/>
    <x v="1"/>
    <x v="3"/>
    <n v="274.7"/>
    <n v="547.4"/>
    <n v="2672000"/>
    <b v="0"/>
    <b v="0"/>
    <n v="1000"/>
    <b v="0"/>
    <b v="0"/>
    <b v="0"/>
    <x v="1"/>
    <x v="7"/>
    <n v="54.74"/>
    <n v="0"/>
    <n v="0"/>
    <n v="4"/>
    <x v="4"/>
    <n v="2"/>
  </r>
  <r>
    <x v="1390"/>
    <d v="2026-06-01T00:00:00"/>
    <d v="2026-06-02T00:00:00"/>
    <d v="2026-06-06T00:00:00"/>
    <d v="2026-06-06T00:00:00"/>
    <x v="1"/>
    <x v="5"/>
    <x v="0"/>
    <x v="1"/>
    <n v="323.89999999999998"/>
    <n v="3839"/>
    <n v="6517000"/>
    <b v="0"/>
    <b v="0"/>
    <n v="5000"/>
    <b v="0"/>
    <b v="0"/>
    <b v="0"/>
    <x v="0"/>
    <x v="5"/>
    <n v="76.78"/>
    <n v="0"/>
    <n v="0"/>
    <n v="4"/>
    <x v="1"/>
    <m/>
  </r>
  <r>
    <x v="1391"/>
    <d v="2026-04-17T00:00:00"/>
    <d v="2026-04-18T00:00:00"/>
    <d v="2026-04-23T00:00:00"/>
    <d v="2026-04-24T00:00:00"/>
    <x v="3"/>
    <x v="10"/>
    <x v="5"/>
    <x v="2"/>
    <n v="616.6"/>
    <n v="9595.7999999999993"/>
    <n v="14270000"/>
    <b v="0"/>
    <b v="0"/>
    <n v="16000"/>
    <b v="0"/>
    <b v="0"/>
    <b v="0"/>
    <x v="1"/>
    <x v="32"/>
    <n v="59.973750000000003"/>
    <n v="0"/>
    <n v="0"/>
    <n v="6"/>
    <x v="4"/>
    <n v="1"/>
  </r>
  <r>
    <x v="1392"/>
    <d v="2026-04-24T00:00:00"/>
    <d v="2026-04-25T00:00:00"/>
    <d v="2026-04-27T00:00:00"/>
    <d v="2026-04-27T00:00:00"/>
    <x v="0"/>
    <x v="2"/>
    <x v="0"/>
    <x v="1"/>
    <n v="169.8"/>
    <n v="3057.8"/>
    <n v="3980000"/>
    <b v="0"/>
    <b v="0"/>
    <n v="5000"/>
    <b v="0"/>
    <b v="0"/>
    <b v="0"/>
    <x v="0"/>
    <x v="23"/>
    <n v="61.155999999999999"/>
    <n v="0"/>
    <n v="0"/>
    <n v="2"/>
    <x v="4"/>
    <m/>
  </r>
  <r>
    <x v="1393"/>
    <d v="2026-06-14T00:00:00"/>
    <d v="2026-06-14T00:00:00"/>
    <d v="2026-06-18T00:00:00"/>
    <d v="2026-06-18T00:00:00"/>
    <x v="0"/>
    <x v="11"/>
    <x v="5"/>
    <x v="0"/>
    <n v="449.4"/>
    <n v="641.20000000000005"/>
    <n v="5677000"/>
    <b v="0"/>
    <b v="0"/>
    <n v="1500"/>
    <b v="0"/>
    <b v="0"/>
    <b v="0"/>
    <x v="0"/>
    <x v="36"/>
    <n v="42.74666666666667"/>
    <n v="0"/>
    <n v="0"/>
    <n v="4"/>
    <x v="1"/>
    <m/>
  </r>
  <r>
    <x v="1394"/>
    <d v="2026-05-01T00:00:00"/>
    <d v="2026-05-01T00:00:00"/>
    <d v="2026-05-03T00:00:00"/>
    <d v="2026-05-03T00:00:00"/>
    <x v="1"/>
    <x v="8"/>
    <x v="5"/>
    <x v="2"/>
    <n v="64.900000000000006"/>
    <n v="2902.9"/>
    <n v="3313000"/>
    <b v="0"/>
    <b v="0"/>
    <n v="16000"/>
    <b v="0"/>
    <b v="0"/>
    <b v="0"/>
    <x v="0"/>
    <x v="28"/>
    <n v="18.143125000000001"/>
    <n v="0"/>
    <n v="0"/>
    <n v="2"/>
    <x v="2"/>
    <m/>
  </r>
  <r>
    <x v="1395"/>
    <d v="2026-04-30T00:00:00"/>
    <d v="2026-04-30T00:00:00"/>
    <d v="2026-05-04T00:00:00"/>
    <d v="2026-05-04T00:00:00"/>
    <x v="3"/>
    <x v="3"/>
    <x v="2"/>
    <x v="2"/>
    <n v="1573.9"/>
    <n v="11029.8"/>
    <n v="31361000"/>
    <b v="0"/>
    <b v="0"/>
    <n v="16000"/>
    <b v="0"/>
    <b v="0"/>
    <b v="0"/>
    <x v="0"/>
    <x v="43"/>
    <n v="68.936250000000001"/>
    <n v="0"/>
    <n v="0"/>
    <n v="4"/>
    <x v="4"/>
    <m/>
  </r>
  <r>
    <x v="1396"/>
    <d v="2026-05-21T00:00:00"/>
    <d v="2026-05-22T00:00:00"/>
    <d v="2026-05-24T00:00:00"/>
    <d v="2026-05-24T00:00:00"/>
    <x v="2"/>
    <x v="6"/>
    <x v="1"/>
    <x v="1"/>
    <n v="132.9"/>
    <n v="3814.5"/>
    <n v="3622000"/>
    <b v="0"/>
    <b v="0"/>
    <n v="5000"/>
    <b v="0"/>
    <b v="0"/>
    <b v="0"/>
    <x v="0"/>
    <x v="6"/>
    <n v="76.290000000000006"/>
    <n v="0"/>
    <n v="0"/>
    <n v="2"/>
    <x v="2"/>
    <m/>
  </r>
  <r>
    <x v="1397"/>
    <d v="2026-01-31T00:00:00"/>
    <d v="2026-02-01T00:00:00"/>
    <d v="2026-02-05T00:00:00"/>
    <d v="2026-02-04T00:00:00"/>
    <x v="2"/>
    <x v="3"/>
    <x v="4"/>
    <x v="1"/>
    <n v="939.7"/>
    <n v="4176.7"/>
    <n v="13480000"/>
    <b v="0"/>
    <b v="0"/>
    <n v="5000"/>
    <b v="0"/>
    <b v="0"/>
    <b v="0"/>
    <x v="0"/>
    <x v="3"/>
    <n v="83.533999999999992"/>
    <n v="0"/>
    <n v="0"/>
    <n v="3"/>
    <x v="5"/>
    <m/>
  </r>
  <r>
    <x v="1398"/>
    <d v="2026-04-28T00:00:00"/>
    <d v="2026-04-29T00:00:00"/>
    <d v="2026-05-03T00:00:00"/>
    <d v="2026-05-04T00:00:00"/>
    <x v="3"/>
    <x v="3"/>
    <x v="5"/>
    <x v="3"/>
    <n v="1464.8"/>
    <n v="769.2"/>
    <n v="11534000"/>
    <b v="0"/>
    <b v="0"/>
    <n v="1000"/>
    <b v="0"/>
    <b v="0"/>
    <b v="0"/>
    <x v="1"/>
    <x v="43"/>
    <n v="76.92"/>
    <n v="0"/>
    <n v="0"/>
    <n v="5"/>
    <x v="4"/>
    <n v="1"/>
  </r>
  <r>
    <x v="1399"/>
    <d v="2026-02-12T00:00:00"/>
    <d v="2026-02-12T00:00:00"/>
    <d v="2026-02-16T00:00:00"/>
    <d v="2026-02-17T00:00:00"/>
    <x v="1"/>
    <x v="4"/>
    <x v="2"/>
    <x v="1"/>
    <n v="743.4"/>
    <n v="4347.7"/>
    <n v="9591000"/>
    <b v="0"/>
    <b v="0"/>
    <n v="5000"/>
    <b v="0"/>
    <b v="0"/>
    <b v="0"/>
    <x v="1"/>
    <x v="38"/>
    <n v="86.953999999999994"/>
    <n v="0"/>
    <n v="0"/>
    <n v="5"/>
    <x v="5"/>
    <n v="1"/>
  </r>
  <r>
    <x v="1400"/>
    <d v="2026-05-24T00:00:00"/>
    <d v="2026-05-24T00:00:00"/>
    <d v="2026-05-28T00:00:00"/>
    <d v="2026-05-27T00:00:00"/>
    <x v="3"/>
    <x v="8"/>
    <x v="5"/>
    <x v="3"/>
    <n v="626.20000000000005"/>
    <n v="872.5"/>
    <n v="5878000"/>
    <b v="0"/>
    <b v="0"/>
    <n v="1000"/>
    <b v="0"/>
    <b v="0"/>
    <b v="0"/>
    <x v="0"/>
    <x v="15"/>
    <n v="87.25"/>
    <n v="0"/>
    <n v="0"/>
    <n v="3"/>
    <x v="2"/>
    <m/>
  </r>
  <r>
    <x v="1401"/>
    <d v="2026-01-14T00:00:00"/>
    <d v="2026-01-15T00:00:00"/>
    <d v="2026-01-17T00:00:00"/>
    <d v="2026-01-17T00:00:00"/>
    <x v="1"/>
    <x v="6"/>
    <x v="5"/>
    <x v="1"/>
    <n v="150.69999999999999"/>
    <n v="4199.7"/>
    <n v="4763000"/>
    <b v="0"/>
    <b v="0"/>
    <n v="5000"/>
    <b v="0"/>
    <b v="0"/>
    <b v="0"/>
    <x v="0"/>
    <x v="9"/>
    <n v="83.993999999999986"/>
    <n v="0"/>
    <n v="0"/>
    <n v="2"/>
    <x v="3"/>
    <m/>
  </r>
  <r>
    <x v="1402"/>
    <d v="2026-01-11T00:00:00"/>
    <d v="2026-01-12T00:00:00"/>
    <d v="2026-01-16T00:00:00"/>
    <d v="2026-01-16T00:00:00"/>
    <x v="1"/>
    <x v="3"/>
    <x v="5"/>
    <x v="3"/>
    <n v="841.8"/>
    <m/>
    <n v="6465000"/>
    <b v="0"/>
    <b v="1"/>
    <n v="1000"/>
    <b v="0"/>
    <b v="0"/>
    <b v="1"/>
    <x v="0"/>
    <x v="35"/>
    <m/>
    <n v="0"/>
    <n v="1"/>
    <n v="4"/>
    <x v="3"/>
    <m/>
  </r>
  <r>
    <x v="1403"/>
    <d v="2026-04-12T00:00:00"/>
    <d v="2026-04-13T00:00:00"/>
    <d v="2026-04-16T00:00:00"/>
    <d v="2026-04-16T00:00:00"/>
    <x v="1"/>
    <x v="1"/>
    <x v="5"/>
    <x v="2"/>
    <n v="300.89999999999998"/>
    <n v="13925.9"/>
    <n v="9717000"/>
    <b v="0"/>
    <b v="0"/>
    <n v="16000"/>
    <b v="0"/>
    <b v="0"/>
    <b v="0"/>
    <x v="0"/>
    <x v="25"/>
    <n v="87.036875000000009"/>
    <n v="0"/>
    <n v="0"/>
    <n v="3"/>
    <x v="4"/>
    <m/>
  </r>
  <r>
    <x v="1404"/>
    <d v="2026-02-25T00:00:00"/>
    <d v="2026-02-26T00:00:00"/>
    <d v="2026-03-02T00:00:00"/>
    <m/>
    <x v="3"/>
    <x v="7"/>
    <x v="2"/>
    <x v="3"/>
    <n v="655.7"/>
    <n v="747.8"/>
    <n v="6578000"/>
    <b v="0"/>
    <b v="0"/>
    <n v="1000"/>
    <b v="0"/>
    <b v="0"/>
    <b v="0"/>
    <x v="2"/>
    <x v="40"/>
    <n v="74.779999999999987"/>
    <n v="0"/>
    <n v="0"/>
    <m/>
    <x v="5"/>
    <m/>
  </r>
  <r>
    <x v="1405"/>
    <d v="2026-02-18T00:00:00"/>
    <d v="2026-02-19T00:00:00"/>
    <d v="2026-02-21T00:00:00"/>
    <d v="2026-02-21T00:00:00"/>
    <x v="1"/>
    <x v="5"/>
    <x v="3"/>
    <x v="0"/>
    <n v="294.60000000000002"/>
    <n v="1133.4000000000001"/>
    <n v="4017000"/>
    <b v="0"/>
    <b v="0"/>
    <n v="1500"/>
    <b v="0"/>
    <b v="0"/>
    <b v="0"/>
    <x v="0"/>
    <x v="5"/>
    <n v="75.56"/>
    <n v="0"/>
    <n v="0"/>
    <n v="2"/>
    <x v="5"/>
    <m/>
  </r>
  <r>
    <x v="1406"/>
    <d v="2026-06-10T00:00:00"/>
    <d v="2026-06-11T00:00:00"/>
    <d v="2026-06-14T00:00:00"/>
    <d v="2026-06-15T00:00:00"/>
    <x v="3"/>
    <x v="1"/>
    <x v="2"/>
    <x v="3"/>
    <n v="596.1"/>
    <n v="600.1"/>
    <n v="5774000"/>
    <b v="0"/>
    <b v="0"/>
    <n v="1000"/>
    <b v="0"/>
    <b v="0"/>
    <b v="0"/>
    <x v="1"/>
    <x v="21"/>
    <n v="60.010000000000012"/>
    <n v="0"/>
    <n v="0"/>
    <n v="4"/>
    <x v="1"/>
    <n v="1"/>
  </r>
  <r>
    <x v="1407"/>
    <d v="2026-06-22T00:00:00"/>
    <d v="2026-06-23T00:00:00"/>
    <d v="2026-06-25T00:00:00"/>
    <d v="2026-06-28T00:00:00"/>
    <x v="1"/>
    <x v="0"/>
    <x v="1"/>
    <x v="2"/>
    <n v="280.60000000000002"/>
    <n v="11789.7"/>
    <n v="8593000"/>
    <b v="0"/>
    <b v="0"/>
    <n v="16000"/>
    <b v="0"/>
    <b v="0"/>
    <b v="0"/>
    <x v="1"/>
    <x v="12"/>
    <n v="73.685625000000002"/>
    <n v="0"/>
    <n v="0"/>
    <n v="5"/>
    <x v="1"/>
    <n v="3"/>
  </r>
  <r>
    <x v="1408"/>
    <d v="2026-02-18T00:00:00"/>
    <d v="2026-02-20T00:00:00"/>
    <d v="2026-02-23T00:00:00"/>
    <d v="2026-02-25T00:00:00"/>
    <x v="1"/>
    <x v="9"/>
    <x v="0"/>
    <x v="2"/>
    <n v="443.5"/>
    <n v="14788"/>
    <n v="13147000"/>
    <b v="0"/>
    <b v="0"/>
    <n v="16000"/>
    <b v="0"/>
    <b v="0"/>
    <b v="0"/>
    <x v="1"/>
    <x v="24"/>
    <n v="92.424999999999997"/>
    <n v="0"/>
    <n v="0"/>
    <n v="5"/>
    <x v="5"/>
    <n v="2"/>
  </r>
  <r>
    <x v="1409"/>
    <d v="2026-02-25T00:00:00"/>
    <d v="2026-02-27T00:00:00"/>
    <d v="2026-02-28T00:00:00"/>
    <d v="2026-02-28T00:00:00"/>
    <x v="2"/>
    <x v="8"/>
    <x v="5"/>
    <x v="1"/>
    <n v="17.8"/>
    <n v="1937.9"/>
    <n v="1795000"/>
    <b v="0"/>
    <b v="0"/>
    <n v="5000"/>
    <b v="0"/>
    <b v="0"/>
    <b v="0"/>
    <x v="0"/>
    <x v="18"/>
    <n v="38.758000000000003"/>
    <n v="0"/>
    <n v="0"/>
    <n v="1"/>
    <x v="5"/>
    <m/>
  </r>
  <r>
    <x v="1410"/>
    <d v="2026-05-26T00:00:00"/>
    <d v="2026-05-26T00:00:00"/>
    <d v="2026-05-28T00:00:00"/>
    <d v="2026-05-28T00:00:00"/>
    <x v="2"/>
    <x v="7"/>
    <x v="5"/>
    <x v="1"/>
    <n v="186"/>
    <n v="4234.3999999999996"/>
    <n v="5159000"/>
    <b v="0"/>
    <b v="0"/>
    <n v="5000"/>
    <b v="0"/>
    <b v="0"/>
    <b v="0"/>
    <x v="0"/>
    <x v="10"/>
    <n v="84.688000000000002"/>
    <n v="0"/>
    <n v="0"/>
    <n v="2"/>
    <x v="2"/>
    <m/>
  </r>
  <r>
    <x v="1411"/>
    <d v="2026-02-06T00:00:00"/>
    <d v="2026-02-07T00:00:00"/>
    <d v="2026-02-08T00:00:00"/>
    <d v="2026-02-09T00:00:00"/>
    <x v="1"/>
    <x v="10"/>
    <x v="0"/>
    <x v="1"/>
    <n v="22.1"/>
    <n v="2169.5"/>
    <n v="1794000"/>
    <b v="0"/>
    <b v="0"/>
    <n v="5000"/>
    <b v="0"/>
    <b v="0"/>
    <b v="0"/>
    <x v="1"/>
    <x v="27"/>
    <n v="43.39"/>
    <n v="0"/>
    <n v="0"/>
    <n v="2"/>
    <x v="5"/>
    <n v="1"/>
  </r>
  <r>
    <x v="1412"/>
    <d v="2026-01-10T00:00:00"/>
    <d v="2026-01-11T00:00:00"/>
    <d v="2026-01-14T00:00:00"/>
    <d v="2026-01-14T00:00:00"/>
    <x v="3"/>
    <x v="1"/>
    <x v="5"/>
    <x v="0"/>
    <n v="598.6"/>
    <n v="1140.9000000000001"/>
    <n v="6546000"/>
    <b v="0"/>
    <b v="0"/>
    <n v="1500"/>
    <b v="0"/>
    <b v="0"/>
    <b v="0"/>
    <x v="0"/>
    <x v="21"/>
    <n v="76.06"/>
    <n v="0"/>
    <n v="0"/>
    <n v="3"/>
    <x v="3"/>
    <m/>
  </r>
  <r>
    <x v="1413"/>
    <d v="2026-06-10T00:00:00"/>
    <d v="2026-06-11T00:00:00"/>
    <d v="2026-06-15T00:00:00"/>
    <d v="2026-06-15T00:00:00"/>
    <x v="2"/>
    <x v="4"/>
    <x v="3"/>
    <x v="1"/>
    <n v="758.8"/>
    <n v="1486.9"/>
    <n v="9688000"/>
    <b v="0"/>
    <b v="0"/>
    <n v="5000"/>
    <b v="0"/>
    <b v="0"/>
    <b v="0"/>
    <x v="0"/>
    <x v="4"/>
    <n v="29.738"/>
    <n v="0"/>
    <n v="0"/>
    <n v="4"/>
    <x v="1"/>
    <m/>
  </r>
  <r>
    <x v="1414"/>
    <d v="2026-03-18T00:00:00"/>
    <d v="2026-03-19T00:00:00"/>
    <d v="2026-03-22T00:00:00"/>
    <d v="2026-03-22T00:00:00"/>
    <x v="1"/>
    <x v="9"/>
    <x v="3"/>
    <x v="3"/>
    <n v="440.7"/>
    <n v="723.5"/>
    <n v="5164000"/>
    <b v="0"/>
    <b v="0"/>
    <n v="1000"/>
    <b v="0"/>
    <b v="0"/>
    <b v="0"/>
    <x v="0"/>
    <x v="24"/>
    <n v="72.350000000000009"/>
    <n v="0"/>
    <n v="0"/>
    <n v="3"/>
    <x v="6"/>
    <m/>
  </r>
  <r>
    <x v="1415"/>
    <d v="2026-04-16T00:00:00"/>
    <d v="2026-04-17T00:00:00"/>
    <d v="2026-04-21T00:00:00"/>
    <d v="2026-04-21T00:00:00"/>
    <x v="2"/>
    <x v="3"/>
    <x v="0"/>
    <x v="2"/>
    <n v="983.4"/>
    <n v="7806.2"/>
    <n v="22470000"/>
    <b v="0"/>
    <b v="0"/>
    <n v="16000"/>
    <b v="0"/>
    <b v="0"/>
    <b v="0"/>
    <x v="0"/>
    <x v="3"/>
    <n v="48.78875"/>
    <n v="0"/>
    <n v="0"/>
    <n v="4"/>
    <x v="4"/>
    <m/>
  </r>
  <r>
    <x v="1416"/>
    <d v="2026-05-18T00:00:00"/>
    <d v="2026-05-19T00:00:00"/>
    <d v="2026-05-22T00:00:00"/>
    <d v="2026-05-22T00:00:00"/>
    <x v="3"/>
    <x v="5"/>
    <x v="1"/>
    <x v="0"/>
    <n v="504.8"/>
    <n v="634.29999999999995"/>
    <n v="4877000"/>
    <b v="0"/>
    <b v="0"/>
    <n v="1500"/>
    <b v="0"/>
    <b v="0"/>
    <b v="0"/>
    <x v="0"/>
    <x v="37"/>
    <n v="42.286666666666662"/>
    <n v="0"/>
    <n v="0"/>
    <n v="3"/>
    <x v="2"/>
    <m/>
  </r>
  <r>
    <x v="1417"/>
    <d v="2026-04-30T00:00:00"/>
    <d v="2026-05-01T00:00:00"/>
    <d v="2026-05-04T00:00:00"/>
    <d v="2026-05-04T00:00:00"/>
    <x v="3"/>
    <x v="5"/>
    <x v="3"/>
    <x v="0"/>
    <n v="513.6"/>
    <n v="872.9"/>
    <n v="5237000"/>
    <b v="0"/>
    <b v="0"/>
    <n v="1500"/>
    <b v="0"/>
    <b v="0"/>
    <b v="0"/>
    <x v="0"/>
    <x v="37"/>
    <n v="58.193333333333328"/>
    <n v="0"/>
    <n v="0"/>
    <n v="3"/>
    <x v="2"/>
    <m/>
  </r>
  <r>
    <x v="1418"/>
    <d v="2026-04-22T00:00:00"/>
    <d v="2026-04-23T00:00:00"/>
    <d v="2026-04-26T00:00:00"/>
    <d v="2026-04-27T00:00:00"/>
    <x v="0"/>
    <x v="9"/>
    <x v="1"/>
    <x v="0"/>
    <n v="563.1"/>
    <n v="459.2"/>
    <n v="5805000"/>
    <b v="0"/>
    <b v="0"/>
    <n v="1500"/>
    <b v="0"/>
    <b v="0"/>
    <b v="0"/>
    <x v="1"/>
    <x v="44"/>
    <n v="30.61333333333333"/>
    <n v="0"/>
    <n v="0"/>
    <n v="4"/>
    <x v="4"/>
    <n v="1"/>
  </r>
  <r>
    <x v="1419"/>
    <d v="2026-05-31T00:00:00"/>
    <d v="2026-06-01T00:00:00"/>
    <d v="2026-06-03T00:00:00"/>
    <d v="2026-06-03T00:00:00"/>
    <x v="0"/>
    <x v="8"/>
    <x v="1"/>
    <x v="1"/>
    <n v="132.5"/>
    <n v="1720.5"/>
    <n v="12945000"/>
    <b v="0"/>
    <b v="0"/>
    <n v="5000"/>
    <b v="0"/>
    <b v="0"/>
    <b v="0"/>
    <x v="0"/>
    <x v="22"/>
    <n v="34.409999999999997"/>
    <n v="0"/>
    <n v="0"/>
    <n v="2"/>
    <x v="1"/>
    <m/>
  </r>
  <r>
    <x v="1420"/>
    <d v="2026-05-03T00:00:00"/>
    <d v="2026-05-05T00:00:00"/>
    <d v="2026-05-09T00:00:00"/>
    <d v="2026-05-10T00:00:00"/>
    <x v="1"/>
    <x v="11"/>
    <x v="1"/>
    <x v="2"/>
    <n v="647.70000000000005"/>
    <n v="14010.4"/>
    <n v="16968000"/>
    <b v="0"/>
    <b v="0"/>
    <n v="16000"/>
    <b v="0"/>
    <b v="0"/>
    <b v="0"/>
    <x v="1"/>
    <x v="33"/>
    <n v="87.564999999999998"/>
    <n v="0"/>
    <n v="0"/>
    <n v="5"/>
    <x v="2"/>
    <n v="1"/>
  </r>
  <r>
    <x v="1421"/>
    <d v="2026-02-28T00:00:00"/>
    <d v="2026-03-01T00:00:00"/>
    <d v="2026-03-02T00:00:00"/>
    <d v="2026-03-03T00:00:00"/>
    <x v="1"/>
    <x v="10"/>
    <x v="0"/>
    <x v="2"/>
    <n v="22.6"/>
    <n v="14677.7"/>
    <n v="6116000"/>
    <b v="0"/>
    <b v="0"/>
    <n v="16000"/>
    <b v="0"/>
    <b v="0"/>
    <b v="0"/>
    <x v="1"/>
    <x v="27"/>
    <n v="91.735624999999999"/>
    <n v="0"/>
    <n v="0"/>
    <n v="2"/>
    <x v="6"/>
    <n v="1"/>
  </r>
  <r>
    <x v="1422"/>
    <d v="2026-02-22T00:00:00"/>
    <d v="2026-02-23T00:00:00"/>
    <d v="2026-02-24T00:00:00"/>
    <d v="2026-02-24T00:00:00"/>
    <x v="1"/>
    <x v="8"/>
    <x v="5"/>
    <x v="1"/>
    <n v="55.7"/>
    <n v="881.2"/>
    <n v="1509000"/>
    <b v="0"/>
    <b v="0"/>
    <n v="5000"/>
    <b v="0"/>
    <b v="0"/>
    <b v="0"/>
    <x v="0"/>
    <x v="28"/>
    <n v="17.623999999999999"/>
    <n v="0"/>
    <n v="0"/>
    <n v="1"/>
    <x v="5"/>
    <m/>
  </r>
  <r>
    <x v="1423"/>
    <d v="2026-04-01T00:00:00"/>
    <d v="2026-04-02T00:00:00"/>
    <d v="2026-04-06T00:00:00"/>
    <d v="2026-04-06T00:00:00"/>
    <x v="1"/>
    <x v="3"/>
    <x v="3"/>
    <x v="0"/>
    <n v="945.7"/>
    <n v="654.4"/>
    <n v="9681000"/>
    <b v="0"/>
    <b v="0"/>
    <n v="1500"/>
    <b v="0"/>
    <b v="0"/>
    <b v="0"/>
    <x v="0"/>
    <x v="35"/>
    <n v="43.626666666666672"/>
    <n v="0"/>
    <n v="0"/>
    <n v="4"/>
    <x v="4"/>
    <m/>
  </r>
  <r>
    <x v="1424"/>
    <d v="2026-03-25T00:00:00"/>
    <d v="2026-03-26T00:00:00"/>
    <d v="2026-03-30T00:00:00"/>
    <d v="2026-03-31T00:00:00"/>
    <x v="1"/>
    <x v="3"/>
    <x v="0"/>
    <x v="1"/>
    <n v="921"/>
    <n v="828.5"/>
    <n v="12133000"/>
    <b v="0"/>
    <b v="0"/>
    <n v="5000"/>
    <b v="0"/>
    <b v="0"/>
    <b v="0"/>
    <x v="1"/>
    <x v="35"/>
    <n v="16.57"/>
    <n v="0"/>
    <n v="0"/>
    <n v="5"/>
    <x v="6"/>
    <n v="1"/>
  </r>
  <r>
    <x v="1425"/>
    <d v="2026-02-25T00:00:00"/>
    <d v="2026-02-25T00:00:00"/>
    <d v="2026-02-26T00:00:00"/>
    <d v="2026-02-26T00:00:00"/>
    <x v="2"/>
    <x v="8"/>
    <x v="5"/>
    <x v="2"/>
    <n v="18.899999999999999"/>
    <n v="5033.7"/>
    <n v="2664000"/>
    <b v="0"/>
    <b v="0"/>
    <n v="16000"/>
    <b v="0"/>
    <b v="0"/>
    <b v="0"/>
    <x v="0"/>
    <x v="18"/>
    <n v="31.460625"/>
    <n v="0"/>
    <n v="0"/>
    <n v="1"/>
    <x v="5"/>
    <m/>
  </r>
  <r>
    <x v="1426"/>
    <d v="2026-02-13T00:00:00"/>
    <d v="2026-02-15T00:00:00"/>
    <d v="2026-02-18T00:00:00"/>
    <d v="2026-02-21T00:00:00"/>
    <x v="1"/>
    <x v="9"/>
    <x v="1"/>
    <x v="0"/>
    <n v="439.9"/>
    <n v="657.5"/>
    <n v="4643000"/>
    <b v="0"/>
    <b v="0"/>
    <n v="1500"/>
    <b v="0"/>
    <b v="0"/>
    <b v="0"/>
    <x v="1"/>
    <x v="24"/>
    <n v="43.833333333333343"/>
    <n v="0"/>
    <n v="0"/>
    <n v="6"/>
    <x v="5"/>
    <n v="3"/>
  </r>
  <r>
    <x v="1427"/>
    <d v="2026-03-09T00:00:00"/>
    <d v="2026-03-10T00:00:00"/>
    <d v="2026-03-13T00:00:00"/>
    <d v="2026-03-13T00:00:00"/>
    <x v="0"/>
    <x v="2"/>
    <x v="5"/>
    <x v="1"/>
    <n v="179.2"/>
    <n v="2244.1999999999998"/>
    <n v="3778000"/>
    <b v="0"/>
    <b v="0"/>
    <n v="5000"/>
    <b v="0"/>
    <b v="0"/>
    <b v="0"/>
    <x v="0"/>
    <x v="23"/>
    <n v="44.883999999999993"/>
    <n v="0"/>
    <n v="0"/>
    <n v="3"/>
    <x v="6"/>
    <m/>
  </r>
  <r>
    <x v="1428"/>
    <d v="2026-03-31T00:00:00"/>
    <d v="2026-04-01T00:00:00"/>
    <d v="2026-04-04T00:00:00"/>
    <d v="2026-04-05T00:00:00"/>
    <x v="1"/>
    <x v="9"/>
    <x v="5"/>
    <x v="0"/>
    <n v="483.9"/>
    <n v="577.79999999999995"/>
    <n v="5115000"/>
    <b v="0"/>
    <b v="0"/>
    <n v="1500"/>
    <b v="0"/>
    <b v="0"/>
    <b v="0"/>
    <x v="1"/>
    <x v="24"/>
    <n v="38.520000000000003"/>
    <n v="0"/>
    <n v="0"/>
    <n v="4"/>
    <x v="4"/>
    <n v="1"/>
  </r>
  <r>
    <x v="1429"/>
    <d v="2026-05-24T00:00:00"/>
    <d v="2026-05-25T00:00:00"/>
    <d v="2026-05-27T00:00:00"/>
    <d v="2026-05-28T00:00:00"/>
    <x v="3"/>
    <x v="4"/>
    <x v="3"/>
    <x v="1"/>
    <n v="144.4"/>
    <n v="3312.8"/>
    <n v="4424000"/>
    <b v="0"/>
    <b v="0"/>
    <n v="5000"/>
    <b v="0"/>
    <b v="0"/>
    <b v="0"/>
    <x v="1"/>
    <x v="46"/>
    <n v="66.256"/>
    <n v="0"/>
    <n v="0"/>
    <n v="3"/>
    <x v="2"/>
    <n v="1"/>
  </r>
  <r>
    <x v="1430"/>
    <d v="2026-03-15T00:00:00"/>
    <d v="2026-03-16T00:00:00"/>
    <d v="2026-03-18T00:00:00"/>
    <d v="2026-03-19T00:00:00"/>
    <x v="2"/>
    <x v="0"/>
    <x v="1"/>
    <x v="1"/>
    <n v="296.5"/>
    <n v="4169.3"/>
    <n v="6353000"/>
    <b v="0"/>
    <b v="0"/>
    <n v="5000"/>
    <b v="0"/>
    <b v="0"/>
    <b v="0"/>
    <x v="1"/>
    <x v="7"/>
    <n v="83.38600000000001"/>
    <n v="0"/>
    <n v="0"/>
    <n v="3"/>
    <x v="6"/>
    <n v="1"/>
  </r>
  <r>
    <x v="1431"/>
    <d v="2026-04-25T00:00:00"/>
    <d v="2026-04-26T00:00:00"/>
    <d v="2026-04-28T00:00:00"/>
    <d v="2026-04-28T00:00:00"/>
    <x v="1"/>
    <x v="7"/>
    <x v="0"/>
    <x v="2"/>
    <n v="144.80000000000001"/>
    <n v="13356.3"/>
    <n v="7128000"/>
    <b v="0"/>
    <b v="0"/>
    <n v="16000"/>
    <b v="0"/>
    <b v="0"/>
    <b v="0"/>
    <x v="0"/>
    <x v="26"/>
    <n v="83.476874999999993"/>
    <n v="0"/>
    <n v="0"/>
    <n v="2"/>
    <x v="4"/>
    <m/>
  </r>
  <r>
    <x v="1432"/>
    <d v="2026-02-24T00:00:00"/>
    <d v="2026-02-24T00:00:00"/>
    <d v="2026-02-27T00:00:00"/>
    <d v="2026-02-27T00:00:00"/>
    <x v="1"/>
    <x v="1"/>
    <x v="1"/>
    <x v="0"/>
    <n v="313.5"/>
    <n v="850.8"/>
    <n v="4007000"/>
    <b v="0"/>
    <b v="0"/>
    <n v="1500"/>
    <b v="0"/>
    <b v="0"/>
    <b v="0"/>
    <x v="0"/>
    <x v="25"/>
    <n v="56.719999999999992"/>
    <n v="0"/>
    <n v="0"/>
    <n v="3"/>
    <x v="5"/>
    <m/>
  </r>
  <r>
    <x v="1433"/>
    <d v="2026-02-10T00:00:00"/>
    <d v="2026-02-11T00:00:00"/>
    <d v="2026-02-15T00:00:00"/>
    <d v="2026-02-16T00:00:00"/>
    <x v="3"/>
    <x v="9"/>
    <x v="0"/>
    <x v="1"/>
    <n v="889"/>
    <n v="2295"/>
    <n v="13228000"/>
    <b v="0"/>
    <b v="0"/>
    <n v="5000"/>
    <b v="0"/>
    <b v="0"/>
    <b v="0"/>
    <x v="1"/>
    <x v="31"/>
    <n v="45.9"/>
    <n v="0"/>
    <n v="0"/>
    <n v="5"/>
    <x v="5"/>
    <n v="1"/>
  </r>
  <r>
    <x v="1434"/>
    <d v="2026-01-18T00:00:00"/>
    <d v="2026-01-20T00:00:00"/>
    <d v="2026-01-24T00:00:00"/>
    <d v="2026-01-24T00:00:00"/>
    <x v="1"/>
    <x v="11"/>
    <x v="2"/>
    <x v="2"/>
    <n v="623.9"/>
    <n v="11232"/>
    <n v="15635000"/>
    <b v="0"/>
    <b v="0"/>
    <n v="16000"/>
    <b v="0"/>
    <b v="0"/>
    <b v="0"/>
    <x v="0"/>
    <x v="33"/>
    <n v="70.199999999999989"/>
    <n v="0"/>
    <n v="0"/>
    <n v="4"/>
    <x v="3"/>
    <m/>
  </r>
  <r>
    <x v="1435"/>
    <d v="2026-06-30T00:00:00"/>
    <d v="2026-06-30T00:00:00"/>
    <d v="2026-07-04T00:00:00"/>
    <d v="2026-07-04T00:00:00"/>
    <x v="1"/>
    <x v="3"/>
    <x v="3"/>
    <x v="0"/>
    <n v="894.6"/>
    <n v="907.2"/>
    <n v="10509000"/>
    <b v="0"/>
    <b v="0"/>
    <n v="1500"/>
    <b v="0"/>
    <b v="0"/>
    <b v="0"/>
    <x v="0"/>
    <x v="35"/>
    <n v="60.48"/>
    <n v="0"/>
    <n v="0"/>
    <n v="4"/>
    <x v="1"/>
    <m/>
  </r>
  <r>
    <x v="1436"/>
    <d v="2026-06-23T00:00:00"/>
    <d v="2026-06-24T00:00:00"/>
    <d v="2026-06-26T00:00:00"/>
    <d v="2026-06-27T00:00:00"/>
    <x v="2"/>
    <x v="6"/>
    <x v="0"/>
    <x v="0"/>
    <n v="128.69999999999999"/>
    <n v="244"/>
    <n v="1580000"/>
    <b v="0"/>
    <b v="0"/>
    <n v="1500"/>
    <b v="0"/>
    <b v="0"/>
    <b v="0"/>
    <x v="1"/>
    <x v="6"/>
    <n v="16.266666666666669"/>
    <n v="0"/>
    <n v="0"/>
    <n v="3"/>
    <x v="1"/>
    <n v="1"/>
  </r>
  <r>
    <x v="1437"/>
    <d v="2026-04-25T00:00:00"/>
    <d v="2026-04-26T00:00:00"/>
    <d v="2026-04-27T00:00:00"/>
    <d v="2026-04-27T00:00:00"/>
    <x v="2"/>
    <x v="10"/>
    <x v="0"/>
    <x v="2"/>
    <n v="44"/>
    <n v="4195.5"/>
    <n v="3294000"/>
    <b v="0"/>
    <b v="0"/>
    <n v="16000"/>
    <b v="0"/>
    <b v="0"/>
    <b v="0"/>
    <x v="0"/>
    <x v="34"/>
    <n v="26.221875000000001"/>
    <n v="0"/>
    <n v="0"/>
    <n v="1"/>
    <x v="4"/>
    <m/>
  </r>
  <r>
    <x v="1438"/>
    <d v="2026-02-14T00:00:00"/>
    <d v="2026-02-14T00:00:00"/>
    <d v="2026-02-16T00:00:00"/>
    <d v="2026-02-16T00:00:00"/>
    <x v="1"/>
    <x v="7"/>
    <x v="3"/>
    <x v="0"/>
    <n v="151.6"/>
    <n v="533.79999999999995"/>
    <n v="2037000"/>
    <b v="0"/>
    <b v="0"/>
    <n v="1500"/>
    <b v="0"/>
    <b v="0"/>
    <b v="0"/>
    <x v="0"/>
    <x v="26"/>
    <n v="35.586666666666659"/>
    <n v="0"/>
    <n v="0"/>
    <n v="2"/>
    <x v="5"/>
    <m/>
  </r>
  <r>
    <x v="1439"/>
    <d v="2026-02-26T00:00:00"/>
    <d v="2026-02-27T00:00:00"/>
    <d v="2026-02-28T00:00:00"/>
    <d v="2026-03-03T00:00:00"/>
    <x v="2"/>
    <x v="8"/>
    <x v="1"/>
    <x v="1"/>
    <n v="31.3"/>
    <n v="2438.9"/>
    <n v="2033000"/>
    <b v="0"/>
    <b v="0"/>
    <n v="5000"/>
    <b v="0"/>
    <b v="0"/>
    <b v="0"/>
    <x v="1"/>
    <x v="18"/>
    <n v="48.777999999999999"/>
    <n v="0"/>
    <n v="0"/>
    <n v="4"/>
    <x v="5"/>
    <n v="3"/>
  </r>
  <r>
    <x v="1440"/>
    <d v="2026-02-04T00:00:00"/>
    <d v="2026-02-05T00:00:00"/>
    <d v="2026-02-06T00:00:00"/>
    <d v="2026-02-06T00:00:00"/>
    <x v="1"/>
    <x v="8"/>
    <x v="2"/>
    <x v="1"/>
    <n v="56"/>
    <n v="1756.8"/>
    <n v="2021000"/>
    <b v="0"/>
    <b v="0"/>
    <n v="5000"/>
    <b v="0"/>
    <b v="0"/>
    <b v="0"/>
    <x v="0"/>
    <x v="28"/>
    <n v="35.136000000000003"/>
    <n v="0"/>
    <n v="0"/>
    <n v="1"/>
    <x v="5"/>
    <m/>
  </r>
  <r>
    <x v="1441"/>
    <d v="2026-03-09T00:00:00"/>
    <d v="2026-03-09T00:00:00"/>
    <d v="2026-03-10T00:00:00"/>
    <d v="2026-03-12T00:00:00"/>
    <x v="1"/>
    <x v="8"/>
    <x v="1"/>
    <x v="2"/>
    <n v="50.2"/>
    <n v="10604.4"/>
    <n v="4527000"/>
    <b v="0"/>
    <b v="0"/>
    <n v="16000"/>
    <b v="0"/>
    <b v="0"/>
    <b v="0"/>
    <x v="1"/>
    <x v="28"/>
    <n v="66.277500000000003"/>
    <n v="0"/>
    <n v="0"/>
    <n v="3"/>
    <x v="6"/>
    <n v="2"/>
  </r>
  <r>
    <x v="1442"/>
    <d v="2026-02-23T00:00:00"/>
    <d v="2026-02-24T00:00:00"/>
    <d v="2026-02-26T00:00:00"/>
    <d v="2026-02-26T00:00:00"/>
    <x v="1"/>
    <x v="6"/>
    <x v="1"/>
    <x v="2"/>
    <n v="152.5"/>
    <n v="3610.1"/>
    <n v="4757000"/>
    <b v="0"/>
    <b v="0"/>
    <n v="16000"/>
    <b v="0"/>
    <b v="0"/>
    <b v="0"/>
    <x v="0"/>
    <x v="9"/>
    <n v="22.563124999999999"/>
    <n v="0"/>
    <n v="0"/>
    <n v="2"/>
    <x v="5"/>
    <m/>
  </r>
  <r>
    <x v="1443"/>
    <d v="2026-01-20T00:00:00"/>
    <d v="2026-01-21T00:00:00"/>
    <d v="2026-01-23T00:00:00"/>
    <d v="2026-01-23T00:00:00"/>
    <x v="0"/>
    <x v="1"/>
    <x v="3"/>
    <x v="1"/>
    <n v="245.1"/>
    <n v="4212.2"/>
    <n v="5762000"/>
    <b v="0"/>
    <b v="0"/>
    <n v="5000"/>
    <b v="0"/>
    <b v="0"/>
    <b v="0"/>
    <x v="0"/>
    <x v="1"/>
    <n v="84.244"/>
    <n v="0"/>
    <n v="0"/>
    <n v="2"/>
    <x v="3"/>
    <m/>
  </r>
  <r>
    <x v="1444"/>
    <d v="2026-03-18T00:00:00"/>
    <d v="2026-03-19T00:00:00"/>
    <d v="2026-03-22T00:00:00"/>
    <d v="2026-03-24T00:00:00"/>
    <x v="0"/>
    <x v="9"/>
    <x v="1"/>
    <x v="1"/>
    <n v="507.7"/>
    <n v="3404"/>
    <n v="8586000"/>
    <b v="0"/>
    <b v="0"/>
    <n v="5000"/>
    <b v="0"/>
    <b v="0"/>
    <b v="0"/>
    <x v="1"/>
    <x v="44"/>
    <n v="68.08"/>
    <n v="0"/>
    <n v="0"/>
    <n v="5"/>
    <x v="6"/>
    <n v="2"/>
  </r>
  <r>
    <x v="1445"/>
    <d v="2026-03-26T00:00:00"/>
    <d v="2026-03-27T00:00:00"/>
    <d v="2026-03-31T00:00:00"/>
    <d v="2026-03-31T00:00:00"/>
    <x v="2"/>
    <x v="3"/>
    <x v="0"/>
    <x v="0"/>
    <n v="993.3"/>
    <n v="1224.9000000000001"/>
    <n v="8955000"/>
    <b v="0"/>
    <b v="0"/>
    <n v="1500"/>
    <b v="0"/>
    <b v="0"/>
    <b v="0"/>
    <x v="0"/>
    <x v="3"/>
    <n v="81.660000000000011"/>
    <n v="0"/>
    <n v="0"/>
    <n v="4"/>
    <x v="6"/>
    <m/>
  </r>
  <r>
    <x v="1446"/>
    <d v="2026-04-21T00:00:00"/>
    <d v="2026-04-21T00:00:00"/>
    <d v="2026-04-25T00:00:00"/>
    <d v="2026-04-25T00:00:00"/>
    <x v="3"/>
    <x v="8"/>
    <x v="2"/>
    <x v="2"/>
    <n v="629"/>
    <n v="11641.7"/>
    <n v="15622000"/>
    <b v="0"/>
    <b v="0"/>
    <n v="16000"/>
    <b v="0"/>
    <b v="0"/>
    <b v="0"/>
    <x v="0"/>
    <x v="15"/>
    <n v="72.760625000000005"/>
    <n v="0"/>
    <n v="0"/>
    <n v="4"/>
    <x v="4"/>
    <m/>
  </r>
  <r>
    <x v="1447"/>
    <d v="2026-01-21T00:00:00"/>
    <d v="2026-01-22T00:00:00"/>
    <d v="2026-01-24T00:00:00"/>
    <d v="2026-01-24T00:00:00"/>
    <x v="0"/>
    <x v="1"/>
    <x v="5"/>
    <x v="1"/>
    <n v="291.10000000000002"/>
    <n v="2524.5500000000002"/>
    <n v="4515000"/>
    <b v="0"/>
    <b v="0"/>
    <n v="5000"/>
    <b v="0"/>
    <b v="0"/>
    <b v="0"/>
    <x v="0"/>
    <x v="1"/>
    <n v="50.491000000000007"/>
    <n v="0"/>
    <n v="0"/>
    <n v="2"/>
    <x v="3"/>
    <m/>
  </r>
  <r>
    <x v="1448"/>
    <d v="2026-01-23T00:00:00"/>
    <d v="2026-01-24T00:00:00"/>
    <d v="2026-01-27T00:00:00"/>
    <d v="2026-01-28T00:00:00"/>
    <x v="3"/>
    <x v="6"/>
    <x v="1"/>
    <x v="0"/>
    <n v="506"/>
    <n v="1286.7"/>
    <n v="4935000"/>
    <b v="0"/>
    <b v="0"/>
    <n v="1500"/>
    <b v="0"/>
    <b v="0"/>
    <b v="0"/>
    <x v="1"/>
    <x v="13"/>
    <n v="85.78"/>
    <n v="0"/>
    <n v="0"/>
    <n v="4"/>
    <x v="3"/>
    <n v="1"/>
  </r>
  <r>
    <x v="1449"/>
    <d v="2026-05-22T00:00:00"/>
    <d v="2026-05-23T00:00:00"/>
    <d v="2026-05-24T00:00:00"/>
    <d v="2026-05-24T00:00:00"/>
    <x v="0"/>
    <x v="6"/>
    <x v="3"/>
    <x v="1"/>
    <m/>
    <n v="3193.7"/>
    <n v="1486000"/>
    <b v="0"/>
    <b v="1"/>
    <n v="5000"/>
    <b v="0"/>
    <b v="0"/>
    <b v="1"/>
    <x v="0"/>
    <x v="19"/>
    <n v="63.874000000000002"/>
    <n v="0"/>
    <n v="1"/>
    <n v="1"/>
    <x v="2"/>
    <m/>
  </r>
  <r>
    <x v="1450"/>
    <d v="2026-04-29T00:00:00"/>
    <d v="2026-05-01T00:00:00"/>
    <d v="2026-05-03T00:00:00"/>
    <m/>
    <x v="2"/>
    <x v="1"/>
    <x v="5"/>
    <x v="0"/>
    <n v="300"/>
    <n v="381.4"/>
    <n v="3255000"/>
    <b v="0"/>
    <b v="0"/>
    <n v="1500"/>
    <b v="0"/>
    <b v="0"/>
    <b v="0"/>
    <x v="2"/>
    <x v="16"/>
    <n v="25.426666666666659"/>
    <n v="0"/>
    <n v="0"/>
    <m/>
    <x v="2"/>
    <m/>
  </r>
  <r>
    <x v="1451"/>
    <d v="2026-04-04T00:00:00"/>
    <d v="2026-04-04T00:00:00"/>
    <d v="2026-04-08T00:00:00"/>
    <d v="2026-04-08T00:00:00"/>
    <x v="3"/>
    <x v="9"/>
    <x v="5"/>
    <x v="1"/>
    <n v="894"/>
    <n v="1670.2"/>
    <n v="13608000"/>
    <b v="0"/>
    <b v="0"/>
    <n v="5000"/>
    <b v="0"/>
    <b v="0"/>
    <b v="0"/>
    <x v="0"/>
    <x v="31"/>
    <n v="33.404000000000003"/>
    <n v="0"/>
    <n v="0"/>
    <n v="4"/>
    <x v="4"/>
    <m/>
  </r>
  <r>
    <x v="1452"/>
    <d v="2026-03-10T00:00:00"/>
    <d v="2026-03-11T00:00:00"/>
    <d v="2026-03-14T00:00:00"/>
    <d v="2026-03-14T00:00:00"/>
    <x v="3"/>
    <x v="2"/>
    <x v="3"/>
    <x v="1"/>
    <n v="307.89999999999998"/>
    <n v="784"/>
    <n v="4526000"/>
    <b v="0"/>
    <b v="0"/>
    <n v="5000"/>
    <b v="0"/>
    <b v="0"/>
    <b v="0"/>
    <x v="0"/>
    <x v="14"/>
    <n v="15.68"/>
    <n v="0"/>
    <n v="0"/>
    <n v="3"/>
    <x v="6"/>
    <m/>
  </r>
  <r>
    <x v="1453"/>
    <d v="2026-03-18T00:00:00"/>
    <d v="2026-03-19T00:00:00"/>
    <d v="2026-03-22T00:00:00"/>
    <d v="2026-03-22T00:00:00"/>
    <x v="0"/>
    <x v="9"/>
    <x v="3"/>
    <x v="2"/>
    <n v="537.9"/>
    <n v="13413"/>
    <n v="13444000"/>
    <b v="0"/>
    <b v="0"/>
    <n v="16000"/>
    <b v="0"/>
    <b v="0"/>
    <b v="0"/>
    <x v="0"/>
    <x v="44"/>
    <n v="83.831249999999997"/>
    <n v="0"/>
    <n v="0"/>
    <n v="3"/>
    <x v="6"/>
    <m/>
  </r>
  <r>
    <x v="1454"/>
    <d v="2026-04-13T00:00:00"/>
    <d v="2026-04-14T00:00:00"/>
    <d v="2026-04-17T00:00:00"/>
    <d v="2026-04-19T00:00:00"/>
    <x v="0"/>
    <x v="0"/>
    <x v="5"/>
    <x v="3"/>
    <n v="320.8"/>
    <n v="667.8"/>
    <n v="4070000"/>
    <b v="0"/>
    <b v="0"/>
    <n v="1000"/>
    <b v="0"/>
    <b v="0"/>
    <b v="0"/>
    <x v="1"/>
    <x v="0"/>
    <n v="66.78"/>
    <n v="0"/>
    <n v="0"/>
    <n v="5"/>
    <x v="4"/>
    <n v="2"/>
  </r>
  <r>
    <x v="1455"/>
    <d v="2026-02-06T00:00:00"/>
    <d v="2026-02-07T00:00:00"/>
    <d v="2026-02-09T00:00:00"/>
    <d v="2026-02-09T00:00:00"/>
    <x v="0"/>
    <x v="1"/>
    <x v="5"/>
    <x v="0"/>
    <n v="242.1"/>
    <n v="159.9"/>
    <n v="3266000"/>
    <b v="0"/>
    <b v="0"/>
    <n v="1500"/>
    <b v="0"/>
    <b v="0"/>
    <b v="0"/>
    <x v="0"/>
    <x v="1"/>
    <n v="10.66"/>
    <n v="0"/>
    <n v="0"/>
    <n v="2"/>
    <x v="5"/>
    <m/>
  </r>
  <r>
    <x v="1456"/>
    <d v="2026-02-14T00:00:00"/>
    <d v="2026-02-15T00:00:00"/>
    <d v="2026-02-18T00:00:00"/>
    <d v="2026-02-18T00:00:00"/>
    <x v="1"/>
    <x v="5"/>
    <x v="2"/>
    <x v="0"/>
    <n v="310.8"/>
    <n v="267.60000000000002"/>
    <n v="29080000"/>
    <b v="0"/>
    <b v="0"/>
    <n v="1500"/>
    <b v="0"/>
    <b v="0"/>
    <b v="0"/>
    <x v="0"/>
    <x v="5"/>
    <n v="17.84"/>
    <n v="0"/>
    <n v="0"/>
    <n v="3"/>
    <x v="5"/>
    <m/>
  </r>
  <r>
    <x v="1457"/>
    <d v="2026-04-23T00:00:00"/>
    <d v="2026-04-24T00:00:00"/>
    <d v="2026-04-27T00:00:00"/>
    <d v="2026-04-27T00:00:00"/>
    <x v="3"/>
    <x v="5"/>
    <x v="5"/>
    <x v="1"/>
    <n v="466.3"/>
    <n v="1754.5"/>
    <n v="6573000"/>
    <b v="0"/>
    <b v="0"/>
    <n v="5000"/>
    <b v="0"/>
    <b v="0"/>
    <b v="0"/>
    <x v="0"/>
    <x v="37"/>
    <n v="35.090000000000003"/>
    <n v="0"/>
    <n v="0"/>
    <n v="3"/>
    <x v="4"/>
    <m/>
  </r>
  <r>
    <x v="1458"/>
    <d v="2026-02-26T00:00:00"/>
    <d v="2026-02-27T00:00:00"/>
    <d v="2026-03-02T00:00:00"/>
    <d v="2026-03-02T00:00:00"/>
    <x v="1"/>
    <x v="2"/>
    <x v="1"/>
    <x v="1"/>
    <n v="312.8"/>
    <n v="4334"/>
    <n v="5888000"/>
    <b v="0"/>
    <b v="0"/>
    <n v="5000"/>
    <b v="0"/>
    <b v="0"/>
    <b v="0"/>
    <x v="0"/>
    <x v="2"/>
    <n v="86.68"/>
    <n v="0"/>
    <n v="0"/>
    <n v="3"/>
    <x v="5"/>
    <m/>
  </r>
  <r>
    <x v="1459"/>
    <d v="2026-04-09T00:00:00"/>
    <d v="2026-04-09T00:00:00"/>
    <d v="2026-04-12T00:00:00"/>
    <d v="2026-04-12T00:00:00"/>
    <x v="0"/>
    <x v="11"/>
    <x v="1"/>
    <x v="0"/>
    <n v="457"/>
    <n v="1116.7"/>
    <n v="5117000"/>
    <b v="0"/>
    <b v="0"/>
    <n v="1500"/>
    <b v="0"/>
    <b v="0"/>
    <b v="0"/>
    <x v="0"/>
    <x v="36"/>
    <n v="74.446666666666673"/>
    <n v="0"/>
    <n v="0"/>
    <n v="3"/>
    <x v="4"/>
    <m/>
  </r>
  <r>
    <x v="1460"/>
    <d v="2026-02-23T00:00:00"/>
    <d v="2026-02-24T00:00:00"/>
    <d v="2026-02-28T00:00:00"/>
    <d v="2026-02-28T00:00:00"/>
    <x v="1"/>
    <x v="3"/>
    <x v="3"/>
    <x v="1"/>
    <n v="935.5"/>
    <n v="3287.9"/>
    <n v="12886000"/>
    <b v="0"/>
    <b v="0"/>
    <n v="5000"/>
    <b v="0"/>
    <b v="0"/>
    <b v="0"/>
    <x v="0"/>
    <x v="35"/>
    <n v="65.75800000000001"/>
    <n v="0"/>
    <n v="0"/>
    <n v="4"/>
    <x v="5"/>
    <m/>
  </r>
  <r>
    <x v="1461"/>
    <d v="2026-01-31T00:00:00"/>
    <d v="2026-02-02T00:00:00"/>
    <d v="2026-02-05T00:00:00"/>
    <d v="2026-02-05T00:00:00"/>
    <x v="2"/>
    <x v="2"/>
    <x v="2"/>
    <x v="0"/>
    <n v="288.89999999999998"/>
    <n v="364.7"/>
    <n v="3092000"/>
    <b v="0"/>
    <b v="0"/>
    <n v="1500"/>
    <b v="0"/>
    <b v="0"/>
    <b v="0"/>
    <x v="0"/>
    <x v="29"/>
    <n v="24.313333333333329"/>
    <n v="0"/>
    <n v="0"/>
    <n v="3"/>
    <x v="5"/>
    <m/>
  </r>
  <r>
    <x v="1462"/>
    <d v="2026-05-01T00:00:00"/>
    <d v="2026-05-01T00:00:00"/>
    <d v="2026-05-05T00:00:00"/>
    <d v="2026-05-06T00:00:00"/>
    <x v="3"/>
    <x v="8"/>
    <x v="2"/>
    <x v="0"/>
    <n v="601.5"/>
    <n v="817.9"/>
    <n v="6722000"/>
    <b v="0"/>
    <b v="0"/>
    <n v="1500"/>
    <b v="0"/>
    <b v="0"/>
    <b v="0"/>
    <x v="1"/>
    <x v="15"/>
    <n v="54.526666666666671"/>
    <n v="0"/>
    <n v="0"/>
    <n v="5"/>
    <x v="2"/>
    <n v="1"/>
  </r>
  <r>
    <x v="1463"/>
    <d v="2026-05-09T00:00:00"/>
    <d v="2026-05-10T00:00:00"/>
    <d v="2026-05-14T00:00:00"/>
    <d v="2026-05-13T00:00:00"/>
    <x v="2"/>
    <x v="11"/>
    <x v="0"/>
    <x v="2"/>
    <n v="557.6"/>
    <n v="2632.3"/>
    <n v="12091000"/>
    <b v="0"/>
    <b v="0"/>
    <n v="16000"/>
    <b v="0"/>
    <b v="0"/>
    <b v="0"/>
    <x v="0"/>
    <x v="41"/>
    <n v="16.451875000000001"/>
    <n v="0"/>
    <n v="0"/>
    <n v="3"/>
    <x v="2"/>
    <m/>
  </r>
  <r>
    <x v="1464"/>
    <d v="2026-01-15T00:00:00"/>
    <d v="2026-01-15T00:00:00"/>
    <d v="2026-01-18T00:00:00"/>
    <d v="2026-01-19T00:00:00"/>
    <x v="2"/>
    <x v="9"/>
    <x v="0"/>
    <x v="0"/>
    <n v="451.7"/>
    <n v="866.3"/>
    <n v="5318000"/>
    <b v="0"/>
    <b v="0"/>
    <n v="1500"/>
    <b v="0"/>
    <b v="0"/>
    <b v="0"/>
    <x v="1"/>
    <x v="20"/>
    <n v="57.753333333333337"/>
    <n v="0"/>
    <n v="0"/>
    <n v="4"/>
    <x v="3"/>
    <n v="1"/>
  </r>
  <r>
    <x v="1465"/>
    <d v="2026-03-15T00:00:00"/>
    <d v="2026-03-15T00:00:00"/>
    <d v="2026-03-18T00:00:00"/>
    <d v="2026-03-18T00:00:00"/>
    <x v="0"/>
    <x v="11"/>
    <x v="0"/>
    <x v="2"/>
    <n v="483.3"/>
    <n v="3816.1"/>
    <n v="11549000"/>
    <b v="0"/>
    <b v="0"/>
    <n v="16000"/>
    <b v="0"/>
    <b v="0"/>
    <b v="0"/>
    <x v="0"/>
    <x v="36"/>
    <n v="23.850625000000001"/>
    <n v="0"/>
    <n v="0"/>
    <n v="3"/>
    <x v="6"/>
    <m/>
  </r>
  <r>
    <x v="1466"/>
    <d v="2026-06-22T00:00:00"/>
    <d v="2026-06-23T00:00:00"/>
    <d v="2026-06-26T00:00:00"/>
    <d v="2026-06-26T00:00:00"/>
    <x v="2"/>
    <x v="11"/>
    <x v="5"/>
    <x v="1"/>
    <n v="566.70000000000005"/>
    <n v="1786.2"/>
    <n v="8362000"/>
    <b v="0"/>
    <b v="0"/>
    <n v="5000"/>
    <b v="0"/>
    <b v="0"/>
    <b v="0"/>
    <x v="0"/>
    <x v="41"/>
    <n v="35.723999999999997"/>
    <n v="0"/>
    <n v="0"/>
    <n v="3"/>
    <x v="1"/>
    <m/>
  </r>
  <r>
    <x v="1467"/>
    <d v="2026-06-25T00:00:00"/>
    <d v="2026-06-26T00:00:00"/>
    <d v="2026-06-30T00:00:00"/>
    <d v="2026-06-30T00:00:00"/>
    <x v="3"/>
    <x v="6"/>
    <x v="5"/>
    <x v="2"/>
    <n v="482.7"/>
    <n v="12371.9"/>
    <n v="12553000"/>
    <b v="0"/>
    <b v="0"/>
    <n v="16000"/>
    <b v="0"/>
    <b v="0"/>
    <b v="0"/>
    <x v="0"/>
    <x v="13"/>
    <n v="77.324375000000003"/>
    <n v="0"/>
    <n v="0"/>
    <n v="4"/>
    <x v="1"/>
    <m/>
  </r>
  <r>
    <x v="1468"/>
    <d v="2026-04-04T00:00:00"/>
    <d v="2026-04-06T00:00:00"/>
    <d v="2026-04-09T00:00:00"/>
    <d v="2026-04-09T00:00:00"/>
    <x v="2"/>
    <x v="1"/>
    <x v="3"/>
    <x v="0"/>
    <n v="338.6"/>
    <n v="303.8"/>
    <n v="3800000"/>
    <b v="0"/>
    <b v="0"/>
    <n v="1500"/>
    <b v="0"/>
    <b v="0"/>
    <b v="0"/>
    <x v="0"/>
    <x v="16"/>
    <n v="20.25333333333333"/>
    <n v="0"/>
    <n v="0"/>
    <n v="3"/>
    <x v="4"/>
    <m/>
  </r>
  <r>
    <x v="1469"/>
    <d v="2026-06-04T00:00:00"/>
    <d v="2026-06-05T00:00:00"/>
    <d v="2026-06-07T00:00:00"/>
    <d v="2026-06-07T00:00:00"/>
    <x v="1"/>
    <x v="10"/>
    <x v="0"/>
    <x v="0"/>
    <n v="151"/>
    <n v="953"/>
    <n v="2183000"/>
    <b v="0"/>
    <b v="0"/>
    <n v="1500"/>
    <b v="0"/>
    <b v="0"/>
    <b v="0"/>
    <x v="0"/>
    <x v="27"/>
    <n v="63.533333333333331"/>
    <n v="0"/>
    <n v="0"/>
    <n v="2"/>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0C201E-56EF-44D3-9D78-866C5B5F49E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8:N9" firstHeaderRow="1" firstDataRow="1" firstDataCol="0"/>
  <pivotFields count="26">
    <pivotField showAll="0"/>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pivotField showAll="0"/>
  </pivotFields>
  <rowItems count="1">
    <i/>
  </rowItems>
  <colItems count="1">
    <i/>
  </colItems>
  <dataFields count="1">
    <dataField name="Average of Data_Quality_Issue_Flag" fld="22" subtotal="average" baseField="0" baseItem="9" numFmtId="9"/>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0174A4-7540-4CB2-B99F-50335BE5998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11" firstHeaderRow="1" firstDataRow="1" firstDataCol="1"/>
  <pivotFields count="26">
    <pivotField showAll="0"/>
    <pivotField numFmtId="164" showAll="0"/>
    <pivotField numFmtId="164" showAll="0"/>
    <pivotField numFmtId="164"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dataField="1" showAll="0"/>
  </pivotFields>
  <rowFields count="1">
    <field x="24"/>
  </rowFields>
  <rowItems count="8">
    <i>
      <x/>
    </i>
    <i>
      <x v="1"/>
    </i>
    <i>
      <x v="2"/>
    </i>
    <i>
      <x v="3"/>
    </i>
    <i>
      <x v="4"/>
    </i>
    <i>
      <x v="5"/>
    </i>
    <i>
      <x v="6"/>
    </i>
    <i t="grand">
      <x/>
    </i>
  </rowItems>
  <colItems count="1">
    <i/>
  </colItems>
  <dataFields count="1">
    <dataField name="Average Delay ( Days )" fld="25" subtotal="average"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698CA-5871-4292-AF7E-D3F10BA93F5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11" firstHeaderRow="0" firstDataRow="1" firstDataCol="1"/>
  <pivotFields count="26">
    <pivotField dataField="1" showAll="0"/>
    <pivotField numFmtId="164" showAll="0"/>
    <pivotField numFmtId="164" showAll="0"/>
    <pivotField numFmtId="164"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s>
  <rowFields count="1">
    <field x="24"/>
  </rowFields>
  <rowItems count="8">
    <i>
      <x/>
    </i>
    <i>
      <x v="1"/>
    </i>
    <i>
      <x v="2"/>
    </i>
    <i>
      <x v="3"/>
    </i>
    <i>
      <x v="4"/>
    </i>
    <i>
      <x v="5"/>
    </i>
    <i>
      <x v="6"/>
    </i>
    <i t="grand">
      <x/>
    </i>
  </rowItems>
  <colFields count="1">
    <field x="-2"/>
  </colFields>
  <colItems count="3">
    <i>
      <x/>
    </i>
    <i i="1">
      <x v="1"/>
    </i>
    <i i="2">
      <x v="2"/>
    </i>
  </colItems>
  <dataFields count="3">
    <dataField name="Shipment Count" fld="0" subtotal="count" baseField="19" baseItem="0"/>
    <dataField name="Shipment Cost" fld="11" baseField="19" baseItem="0"/>
    <dataField name="Average Shipping Cost" fld="11" subtotal="average"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1A15D8-3EF6-4AB3-8A20-D91C128B8D3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6:B23" firstHeaderRow="1" firstDataRow="1" firstDataCol="1"/>
  <pivotFields count="26">
    <pivotField dataField="1" showAll="0"/>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8">
        <item x="3"/>
        <item x="5"/>
        <item x="6"/>
        <item x="4"/>
        <item x="2"/>
        <item x="1"/>
        <item h="1" x="0"/>
        <item t="default"/>
      </items>
    </pivotField>
    <pivotField showAll="0"/>
  </pivotFields>
  <rowFields count="1">
    <field x="24"/>
  </rowFields>
  <rowItems count="7">
    <i>
      <x/>
    </i>
    <i>
      <x v="1"/>
    </i>
    <i>
      <x v="2"/>
    </i>
    <i>
      <x v="3"/>
    </i>
    <i>
      <x v="4"/>
    </i>
    <i>
      <x v="5"/>
    </i>
    <i t="grand">
      <x/>
    </i>
  </rowItems>
  <colItems count="1">
    <i/>
  </colItems>
  <dataFields count="1">
    <dataField name="Shipment Count" fld="0" subtotal="count" baseField="2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93E654-5CE1-4390-A14A-46CC5B5D63E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3:N4" firstHeaderRow="1" firstDataRow="1" firstDataCol="0"/>
  <pivotFields count="26">
    <pivotField showAll="0"/>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 showAll="0"/>
  </pivotFields>
  <rowItems count="1">
    <i/>
  </rowItems>
  <colItems count="1">
    <i/>
  </colItems>
  <dataFields count="1">
    <dataField name="Average of Delivery_Time_Days" fld="23" subtotal="average" baseField="0" baseItem="170849435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B9204B-3BCF-48BC-9EE9-169AA2E007F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3:I11" firstHeaderRow="1" firstDataRow="2" firstDataCol="1"/>
  <pivotFields count="26">
    <pivotField dataField="1" showAll="0"/>
    <pivotField numFmtId="164" showAll="0"/>
    <pivotField numFmtId="164" showAll="0"/>
    <pivotField numFmtId="164"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Col" showAll="0">
      <items count="5">
        <item h="1" x="3"/>
        <item x="1"/>
        <item h="1" x="2"/>
        <item x="0"/>
        <item t="default"/>
      </items>
    </pivotField>
    <pivotField showAll="0"/>
    <pivotField showAll="0"/>
    <pivotField showAll="0"/>
    <pivotField showAll="0"/>
    <pivotField showAll="0"/>
    <pivotField axis="axisRow" showAll="0" sortType="ascending">
      <items count="8">
        <item x="3"/>
        <item x="5"/>
        <item x="6"/>
        <item x="4"/>
        <item x="2"/>
        <item x="1"/>
        <item h="1" x="0"/>
        <item t="default"/>
      </items>
    </pivotField>
    <pivotField showAll="0"/>
  </pivotFields>
  <rowFields count="1">
    <field x="24"/>
  </rowFields>
  <rowItems count="7">
    <i>
      <x/>
    </i>
    <i>
      <x v="1"/>
    </i>
    <i>
      <x v="2"/>
    </i>
    <i>
      <x v="3"/>
    </i>
    <i>
      <x v="4"/>
    </i>
    <i>
      <x v="5"/>
    </i>
    <i t="grand">
      <x/>
    </i>
  </rowItems>
  <colFields count="1">
    <field x="18"/>
  </colFields>
  <colItems count="3">
    <i>
      <x v="1"/>
    </i>
    <i>
      <x v="3"/>
    </i>
    <i t="grand">
      <x/>
    </i>
  </colItems>
  <dataFields count="1">
    <dataField name="Count of Shipment_ID" fld="0" subtotal="count" showDataAs="percentOfRow" baseField="0" baseItem="0" numFmtId="10"/>
  </dataFields>
  <chartFormats count="2">
    <chartFormat chart="2" format="4" series="1">
      <pivotArea type="data" outline="0" fieldPosition="0">
        <references count="2">
          <reference field="4294967294" count="1" selected="0">
            <x v="0"/>
          </reference>
          <reference field="18" count="1" selected="0">
            <x v="1"/>
          </reference>
        </references>
      </pivotArea>
    </chartFormat>
    <chartFormat chart="2" format="5"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8DCF42-453F-4CE6-A30B-D757E62EC80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6:G18" firstHeaderRow="1" firstDataRow="2" firstDataCol="1"/>
  <pivotFields count="26">
    <pivotField dataField="1" showAll="0">
      <items count="1471">
        <item x="885"/>
        <item x="1282"/>
        <item x="642"/>
        <item x="583"/>
        <item x="1105"/>
        <item x="587"/>
        <item x="643"/>
        <item x="835"/>
        <item x="1229"/>
        <item x="806"/>
        <item x="456"/>
        <item x="1035"/>
        <item x="555"/>
        <item x="1416"/>
        <item x="1373"/>
        <item x="135"/>
        <item x="1176"/>
        <item x="1154"/>
        <item x="994"/>
        <item x="1132"/>
        <item x="1423"/>
        <item x="1441"/>
        <item x="1057"/>
        <item x="108"/>
        <item x="971"/>
        <item x="660"/>
        <item x="1188"/>
        <item x="650"/>
        <item x="929"/>
        <item x="81"/>
        <item x="225"/>
        <item x="349"/>
        <item x="183"/>
        <item x="757"/>
        <item x="1406"/>
        <item x="1134"/>
        <item x="1009"/>
        <item x="1192"/>
        <item x="964"/>
        <item x="590"/>
        <item x="1358"/>
        <item x="961"/>
        <item x="703"/>
        <item x="159"/>
        <item x="105"/>
        <item x="675"/>
        <item x="1100"/>
        <item x="663"/>
        <item x="367"/>
        <item x="56"/>
        <item x="1121"/>
        <item x="19"/>
        <item x="707"/>
        <item x="1222"/>
        <item x="406"/>
        <item x="666"/>
        <item x="226"/>
        <item x="892"/>
        <item x="270"/>
        <item x="106"/>
        <item x="690"/>
        <item x="1001"/>
        <item x="791"/>
        <item x="210"/>
        <item x="1372"/>
        <item x="85"/>
        <item x="619"/>
        <item x="63"/>
        <item x="974"/>
        <item x="912"/>
        <item x="14"/>
        <item x="754"/>
        <item x="672"/>
        <item x="945"/>
        <item x="735"/>
        <item x="987"/>
        <item x="39"/>
        <item x="767"/>
        <item x="131"/>
        <item x="866"/>
        <item x="716"/>
        <item x="287"/>
        <item x="770"/>
        <item x="365"/>
        <item x="768"/>
        <item x="628"/>
        <item x="325"/>
        <item x="1458"/>
        <item x="527"/>
        <item x="559"/>
        <item x="904"/>
        <item x="1410"/>
        <item x="692"/>
        <item x="1068"/>
        <item x="755"/>
        <item x="1325"/>
        <item x="500"/>
        <item x="728"/>
        <item x="1347"/>
        <item x="242"/>
        <item x="414"/>
        <item x="164"/>
        <item x="733"/>
        <item x="1218"/>
        <item x="785"/>
        <item x="718"/>
        <item x="664"/>
        <item x="165"/>
        <item x="963"/>
        <item x="411"/>
        <item x="702"/>
        <item x="291"/>
        <item x="1283"/>
        <item x="336"/>
        <item x="1025"/>
        <item x="118"/>
        <item x="1087"/>
        <item x="748"/>
        <item x="801"/>
        <item x="1091"/>
        <item x="669"/>
        <item x="1462"/>
        <item x="1269"/>
        <item x="97"/>
        <item x="114"/>
        <item x="899"/>
        <item x="429"/>
        <item x="1155"/>
        <item x="174"/>
        <item x="468"/>
        <item x="1454"/>
        <item x="914"/>
        <item x="955"/>
        <item x="875"/>
        <item x="1356"/>
        <item x="475"/>
        <item x="593"/>
        <item x="714"/>
        <item x="561"/>
        <item x="567"/>
        <item x="442"/>
        <item x="124"/>
        <item x="851"/>
        <item x="1260"/>
        <item x="821"/>
        <item x="797"/>
        <item x="1251"/>
        <item x="457"/>
        <item x="867"/>
        <item x="1119"/>
        <item x="1242"/>
        <item x="1223"/>
        <item x="1213"/>
        <item x="1073"/>
        <item x="1147"/>
        <item x="369"/>
        <item x="503"/>
        <item x="1174"/>
        <item x="484"/>
        <item x="1043"/>
        <item x="1206"/>
        <item x="1394"/>
        <item x="954"/>
        <item x="195"/>
        <item x="928"/>
        <item x="722"/>
        <item x="1421"/>
        <item x="937"/>
        <item x="117"/>
        <item x="936"/>
        <item x="436"/>
        <item x="556"/>
        <item x="897"/>
        <item x="939"/>
        <item x="339"/>
        <item x="157"/>
        <item x="993"/>
        <item x="828"/>
        <item x="513"/>
        <item x="377"/>
        <item x="1165"/>
        <item x="906"/>
        <item x="701"/>
        <item x="713"/>
        <item x="69"/>
        <item x="960"/>
        <item x="1256"/>
        <item x="1378"/>
        <item x="358"/>
        <item x="1432"/>
        <item x="1159"/>
        <item x="1015"/>
        <item x="206"/>
        <item x="931"/>
        <item x="695"/>
        <item x="494"/>
        <item x="285"/>
        <item x="1263"/>
        <item x="218"/>
        <item x="450"/>
        <item x="1355"/>
        <item x="1393"/>
        <item x="1271"/>
        <item x="182"/>
        <item x="705"/>
        <item x="1405"/>
        <item x="1333"/>
        <item x="1226"/>
        <item x="266"/>
        <item x="440"/>
        <item x="351"/>
        <item x="623"/>
        <item x="865"/>
        <item x="668"/>
        <item x="953"/>
        <item x="648"/>
        <item x="1380"/>
        <item x="1063"/>
        <item x="223"/>
        <item x="1280"/>
        <item x="34"/>
        <item x="335"/>
        <item x="957"/>
        <item x="796"/>
        <item x="570"/>
        <item x="1187"/>
        <item x="860"/>
        <item x="614"/>
        <item x="862"/>
        <item x="1191"/>
        <item x="1360"/>
        <item x="113"/>
        <item x="989"/>
        <item x="283"/>
        <item x="951"/>
        <item x="744"/>
        <item x="260"/>
        <item x="143"/>
        <item x="795"/>
        <item x="175"/>
        <item x="82"/>
        <item x="1415"/>
        <item x="592"/>
        <item x="394"/>
        <item x="170"/>
        <item x="1143"/>
        <item x="1273"/>
        <item x="91"/>
        <item x="723"/>
        <item x="751"/>
        <item x="803"/>
        <item x="911"/>
        <item x="1440"/>
        <item x="1234"/>
        <item x="317"/>
        <item x="810"/>
        <item x="659"/>
        <item x="1046"/>
        <item x="846"/>
        <item x="9"/>
        <item x="557"/>
        <item x="214"/>
        <item x="1241"/>
        <item x="1108"/>
        <item x="986"/>
        <item x="327"/>
        <item x="418"/>
        <item x="746"/>
        <item x="1095"/>
        <item x="1391"/>
        <item x="250"/>
        <item x="141"/>
        <item x="1003"/>
        <item x="638"/>
        <item x="139"/>
        <item x="180"/>
        <item x="1445"/>
        <item x="92"/>
        <item x="1008"/>
        <item x="1265"/>
        <item x="696"/>
        <item x="792"/>
        <item x="459"/>
        <item x="1185"/>
        <item x="1037"/>
        <item x="345"/>
        <item x="426"/>
        <item x="328"/>
        <item x="1362"/>
        <item x="73"/>
        <item x="535"/>
        <item x="462"/>
        <item x="431"/>
        <item x="1266"/>
        <item x="27"/>
        <item x="1386"/>
        <item x="420"/>
        <item x="197"/>
        <item x="460"/>
        <item x="574"/>
        <item x="915"/>
        <item x="1166"/>
        <item x="739"/>
        <item x="271"/>
        <item x="1116"/>
        <item x="747"/>
        <item x="70"/>
        <item x="724"/>
        <item x="402"/>
        <item x="47"/>
        <item x="66"/>
        <item x="644"/>
        <item x="409"/>
        <item x="1118"/>
        <item x="603"/>
        <item x="1417"/>
        <item x="58"/>
        <item x="1297"/>
        <item x="552"/>
        <item x="605"/>
        <item x="1131"/>
        <item x="586"/>
        <item x="148"/>
        <item x="471"/>
        <item x="303"/>
        <item x="573"/>
        <item x="917"/>
        <item x="430"/>
        <item x="551"/>
        <item x="842"/>
        <item x="1459"/>
        <item x="470"/>
        <item x="308"/>
        <item x="545"/>
        <item x="727"/>
        <item x="1047"/>
        <item x="661"/>
        <item x="1384"/>
        <item x="926"/>
        <item x="35"/>
        <item x="1060"/>
        <item x="997"/>
        <item x="166"/>
        <item x="1451"/>
        <item x="161"/>
        <item x="1240"/>
        <item x="386"/>
        <item x="883"/>
        <item x="538"/>
        <item x="665"/>
        <item x="137"/>
        <item x="208"/>
        <item x="488"/>
        <item x="269"/>
        <item x="45"/>
        <item x="435"/>
        <item x="1058"/>
        <item x="839"/>
        <item x="158"/>
        <item x="698"/>
        <item x="886"/>
        <item x="304"/>
        <item x="640"/>
        <item x="383"/>
        <item x="923"/>
        <item x="46"/>
        <item x="977"/>
        <item x="277"/>
        <item x="879"/>
        <item x="1094"/>
        <item x="405"/>
        <item x="255"/>
        <item x="848"/>
        <item x="799"/>
        <item x="347"/>
        <item x="544"/>
        <item x="602"/>
        <item x="425"/>
        <item x="1361"/>
        <item x="1377"/>
        <item x="169"/>
        <item x="187"/>
        <item x="299"/>
        <item x="981"/>
        <item x="1277"/>
        <item x="1448"/>
        <item x="884"/>
        <item x="1419"/>
        <item x="743"/>
        <item x="812"/>
        <item x="514"/>
        <item x="1364"/>
        <item x="1334"/>
        <item x="620"/>
        <item x="99"/>
        <item x="991"/>
        <item x="1036"/>
        <item x="1337"/>
        <item x="404"/>
        <item x="1129"/>
        <item x="1268"/>
        <item x="1396"/>
        <item x="1252"/>
        <item x="1224"/>
        <item x="782"/>
        <item x="199"/>
        <item x="1349"/>
        <item x="1138"/>
        <item x="878"/>
        <item x="572"/>
        <item x="505"/>
        <item x="399"/>
        <item x="1022"/>
        <item x="3"/>
        <item x="910"/>
        <item x="123"/>
        <item x="160"/>
        <item x="1026"/>
        <item x="1363"/>
        <item x="504"/>
        <item x="202"/>
        <item x="927"/>
        <item x="2"/>
        <item x="36"/>
        <item x="608"/>
        <item x="311"/>
        <item x="96"/>
        <item x="115"/>
        <item x="37"/>
        <item x="309"/>
        <item x="230"/>
        <item x="1061"/>
        <item x="25"/>
        <item x="18"/>
        <item x="734"/>
        <item x="479"/>
        <item x="776"/>
        <item x="1189"/>
        <item x="497"/>
        <item x="41"/>
        <item x="857"/>
        <item x="1290"/>
        <item x="604"/>
        <item x="1111"/>
        <item x="990"/>
        <item x="760"/>
        <item x="725"/>
        <item x="512"/>
        <item x="759"/>
        <item x="807"/>
        <item x="898"/>
        <item x="4"/>
        <item x="1233"/>
        <item x="224"/>
        <item x="985"/>
        <item x="1389"/>
        <item x="1017"/>
        <item x="771"/>
        <item x="543"/>
        <item x="1443"/>
        <item x="818"/>
        <item x="78"/>
        <item x="129"/>
        <item x="1255"/>
        <item x="203"/>
        <item x="685"/>
        <item x="1461"/>
        <item x="585"/>
        <item x="968"/>
        <item x="1195"/>
        <item x="1126"/>
        <item x="216"/>
        <item x="1243"/>
        <item x="1062"/>
        <item x="1437"/>
        <item x="890"/>
        <item x="1173"/>
        <item x="507"/>
        <item x="473"/>
        <item x="95"/>
        <item x="721"/>
        <item x="110"/>
        <item x="178"/>
        <item x="967"/>
        <item x="1324"/>
        <item x="448"/>
        <item x="62"/>
        <item x="1079"/>
        <item x="1248"/>
        <item x="1146"/>
        <item x="57"/>
        <item x="943"/>
        <item x="1376"/>
        <item x="65"/>
        <item x="136"/>
        <item x="924"/>
        <item x="1167"/>
        <item x="104"/>
        <item x="1034"/>
        <item x="920"/>
        <item x="172"/>
        <item x="822"/>
        <item x="1350"/>
        <item x="581"/>
        <item x="882"/>
        <item x="978"/>
        <item x="476"/>
        <item x="880"/>
        <item x="1408"/>
        <item x="1215"/>
        <item x="1435"/>
        <item x="1130"/>
        <item x="1082"/>
        <item x="477"/>
        <item x="508"/>
        <item x="1050"/>
        <item x="930"/>
        <item x="1171"/>
        <item x="647"/>
        <item x="699"/>
        <item x="1371"/>
        <item x="1056"/>
        <item x="77"/>
        <item x="677"/>
        <item x="1318"/>
        <item x="852"/>
        <item x="154"/>
        <item x="449"/>
        <item x="244"/>
        <item x="421"/>
        <item x="901"/>
        <item x="858"/>
        <item x="243"/>
        <item x="682"/>
        <item x="333"/>
        <item x="340"/>
        <item x="626"/>
        <item x="1140"/>
        <item x="300"/>
        <item x="827"/>
        <item x="1320"/>
        <item x="719"/>
        <item x="591"/>
        <item x="51"/>
        <item x="525"/>
        <item x="708"/>
        <item x="1178"/>
        <item x="589"/>
        <item x="432"/>
        <item x="562"/>
        <item x="1246"/>
        <item x="350"/>
        <item x="466"/>
        <item x="609"/>
        <item x="54"/>
        <item x="873"/>
        <item x="1312"/>
        <item x="815"/>
        <item x="566"/>
        <item x="1080"/>
        <item x="61"/>
        <item x="474"/>
        <item x="1428"/>
        <item x="1327"/>
        <item x="1413"/>
        <item x="1399"/>
        <item x="550"/>
        <item x="539"/>
        <item x="301"/>
        <item x="1152"/>
        <item x="222"/>
        <item x="134"/>
        <item x="662"/>
        <item x="580"/>
        <item x="1120"/>
        <item x="487"/>
        <item x="530"/>
        <item x="1314"/>
        <item x="190"/>
        <item x="621"/>
        <item x="1076"/>
        <item x="599"/>
        <item x="181"/>
        <item x="338"/>
        <item x="501"/>
        <item x="144"/>
        <item x="1219"/>
        <item x="947"/>
        <item x="256"/>
        <item x="391"/>
        <item x="265"/>
        <item x="492"/>
        <item x="1365"/>
        <item x="811"/>
        <item x="610"/>
        <item x="1000"/>
        <item x="261"/>
        <item x="289"/>
        <item x="464"/>
        <item x="542"/>
        <item x="1418"/>
        <item x="86"/>
        <item x="594"/>
        <item x="684"/>
        <item x="16"/>
        <item x="201"/>
        <item x="1164"/>
        <item x="17"/>
        <item x="1259"/>
        <item x="786"/>
        <item x="31"/>
        <item x="992"/>
        <item x="1343"/>
        <item x="461"/>
        <item x="388"/>
        <item x="563"/>
        <item x="1024"/>
        <item x="355"/>
        <item x="284"/>
        <item x="357"/>
        <item x="239"/>
        <item x="50"/>
        <item x="641"/>
        <item x="1239"/>
        <item x="657"/>
        <item x="1150"/>
        <item x="252"/>
        <item x="1302"/>
        <item x="312"/>
        <item x="248"/>
        <item x="634"/>
        <item x="393"/>
        <item x="1303"/>
        <item x="1083"/>
        <item x="520"/>
        <item x="1093"/>
        <item x="60"/>
        <item x="893"/>
        <item x="654"/>
        <item x="1199"/>
        <item x="1244"/>
        <item x="1281"/>
        <item x="1342"/>
        <item x="499"/>
        <item x="778"/>
        <item x="1310"/>
        <item x="1424"/>
        <item x="1368"/>
        <item x="1298"/>
        <item x="463"/>
        <item x="445"/>
        <item x="439"/>
        <item x="938"/>
        <item x="1128"/>
        <item x="76"/>
        <item x="1096"/>
        <item x="1092"/>
        <item x="949"/>
        <item x="1179"/>
        <item x="305"/>
        <item x="632"/>
        <item x="611"/>
        <item x="1010"/>
        <item x="1293"/>
        <item x="493"/>
        <item x="483"/>
        <item x="693"/>
        <item x="837"/>
        <item x="321"/>
        <item x="416"/>
        <item x="577"/>
        <item x="871"/>
        <item x="337"/>
        <item x="750"/>
        <item x="207"/>
        <item x="1018"/>
        <item x="773"/>
        <item x="314"/>
        <item x="419"/>
        <item x="55"/>
        <item x="472"/>
        <item x="1313"/>
        <item x="177"/>
        <item x="1346"/>
        <item x="1133"/>
        <item x="1151"/>
        <item x="1430"/>
        <item x="1197"/>
        <item x="788"/>
        <item x="1041"/>
        <item x="1038"/>
        <item x="413"/>
        <item x="962"/>
        <item x="315"/>
        <item x="146"/>
        <item x="697"/>
        <item x="1071"/>
        <item x="830"/>
        <item x="1284"/>
        <item x="1434"/>
        <item x="173"/>
        <item x="366"/>
        <item x="1397"/>
        <item x="1077"/>
        <item x="282"/>
        <item x="694"/>
        <item x="74"/>
        <item x="307"/>
        <item x="809"/>
        <item x="1299"/>
        <item x="359"/>
        <item x="548"/>
        <item x="12"/>
        <item x="903"/>
        <item x="615"/>
        <item x="101"/>
        <item x="762"/>
        <item x="983"/>
        <item x="412"/>
        <item x="1385"/>
        <item x="674"/>
        <item x="458"/>
        <item x="639"/>
        <item x="819"/>
        <item x="231"/>
        <item x="1345"/>
        <item x="1123"/>
        <item x="433"/>
        <item x="1021"/>
        <item x="1395"/>
        <item x="428"/>
        <item x="826"/>
        <item x="952"/>
        <item x="742"/>
        <item x="982"/>
        <item x="841"/>
        <item x="48"/>
        <item x="730"/>
        <item x="1014"/>
        <item x="824"/>
        <item x="1088"/>
        <item x="7"/>
        <item x="1329"/>
        <item x="221"/>
        <item x="523"/>
        <item x="112"/>
        <item x="726"/>
        <item x="1439"/>
        <item x="1322"/>
        <item x="1193"/>
        <item x="948"/>
        <item x="1261"/>
        <item x="482"/>
        <item x="1033"/>
        <item x="88"/>
        <item x="198"/>
        <item x="546"/>
        <item x="316"/>
        <item x="1141"/>
        <item x="729"/>
        <item x="1019"/>
        <item x="1054"/>
        <item x="127"/>
        <item x="1379"/>
        <item x="397"/>
        <item x="212"/>
        <item x="1338"/>
        <item x="700"/>
        <item x="1052"/>
        <item x="1452"/>
        <item x="777"/>
        <item x="761"/>
        <item x="595"/>
        <item x="1104"/>
        <item x="627"/>
        <item x="1407"/>
        <item x="1414"/>
        <item x="565"/>
        <item x="793"/>
        <item x="1354"/>
        <item x="293"/>
        <item x="625"/>
        <item x="149"/>
        <item x="840"/>
        <item x="1145"/>
        <item x="653"/>
        <item x="909"/>
        <item x="522"/>
        <item x="600"/>
        <item x="1075"/>
        <item x="1086"/>
        <item x="1381"/>
        <item x="72"/>
        <item x="606"/>
        <item x="1335"/>
        <item x="1309"/>
        <item x="560"/>
        <item x="1186"/>
        <item x="83"/>
        <item x="295"/>
        <item x="1205"/>
        <item x="1081"/>
        <item x="681"/>
        <item x="913"/>
        <item x="1348"/>
        <item x="1449"/>
        <item x="323"/>
        <item x="374"/>
        <item x="667"/>
        <item x="354"/>
        <item x="616"/>
        <item x="64"/>
        <item x="329"/>
        <item x="185"/>
        <item x="868"/>
        <item x="1390"/>
        <item x="382"/>
        <item x="84"/>
        <item x="116"/>
        <item x="558"/>
        <item x="706"/>
        <item x="1209"/>
        <item x="1098"/>
        <item x="877"/>
        <item x="298"/>
        <item x="1023"/>
        <item x="656"/>
        <item x="1136"/>
        <item x="888"/>
        <item x="655"/>
        <item x="1090"/>
        <item x="1426"/>
        <item x="922"/>
        <item x="1124"/>
        <item x="769"/>
        <item x="1272"/>
        <item x="731"/>
        <item x="1114"/>
        <item x="241"/>
        <item x="817"/>
        <item x="1422"/>
        <item x="322"/>
        <item x="950"/>
        <item x="273"/>
        <item x="452"/>
        <item x="564"/>
        <item x="596"/>
        <item x="756"/>
        <item x="1030"/>
        <item x="658"/>
        <item x="979"/>
        <item x="1042"/>
        <item x="71"/>
        <item x="1149"/>
        <item x="1279"/>
        <item x="671"/>
        <item x="1438"/>
        <item x="902"/>
        <item x="209"/>
        <item x="524"/>
        <item x="1467"/>
        <item x="5"/>
        <item x="836"/>
        <item x="1330"/>
        <item x="43"/>
        <item x="521"/>
        <item x="1099"/>
        <item x="346"/>
        <item x="678"/>
        <item x="670"/>
        <item x="1336"/>
        <item x="1455"/>
        <item x="1005"/>
        <item x="480"/>
        <item x="109"/>
        <item x="907"/>
        <item x="1103"/>
        <item x="1211"/>
        <item x="1383"/>
        <item x="999"/>
        <item x="1237"/>
        <item x="403"/>
        <item x="808"/>
        <item x="1264"/>
        <item x="975"/>
        <item x="691"/>
        <item x="763"/>
        <item x="191"/>
        <item x="10"/>
        <item x="451"/>
        <item x="969"/>
        <item x="1331"/>
        <item x="330"/>
        <item x="447"/>
        <item x="887"/>
        <item x="1044"/>
        <item x="1235"/>
        <item x="1412"/>
        <item x="834"/>
        <item x="268"/>
        <item x="765"/>
        <item x="364"/>
        <item x="1135"/>
        <item x="869"/>
        <item x="59"/>
        <item x="780"/>
        <item x="531"/>
        <item x="874"/>
        <item x="434"/>
        <item x="196"/>
        <item x="712"/>
        <item x="1064"/>
        <item x="942"/>
        <item x="1212"/>
        <item x="988"/>
        <item x="631"/>
        <item x="319"/>
        <item x="220"/>
        <item x="772"/>
        <item x="1016"/>
        <item x="1139"/>
        <item x="410"/>
        <item x="833"/>
        <item x="353"/>
        <item x="87"/>
        <item x="850"/>
        <item x="89"/>
        <item x="1156"/>
        <item x="1247"/>
        <item x="1353"/>
        <item x="79"/>
        <item x="790"/>
        <item x="356"/>
        <item x="784"/>
        <item x="959"/>
        <item x="1097"/>
        <item x="360"/>
        <item x="331"/>
        <item x="646"/>
        <item x="205"/>
        <item x="831"/>
        <item x="194"/>
        <item x="732"/>
        <item x="534"/>
        <item x="422"/>
        <item x="934"/>
        <item x="578"/>
        <item x="970"/>
        <item x="789"/>
        <item x="381"/>
        <item x="424"/>
        <item x="1286"/>
        <item x="554"/>
        <item x="944"/>
        <item x="1253"/>
        <item x="1446"/>
        <item x="1207"/>
        <item x="1431"/>
        <item x="870"/>
        <item x="1183"/>
        <item x="1344"/>
        <item x="1148"/>
        <item x="262"/>
        <item x="571"/>
        <item x="168"/>
        <item x="389"/>
        <item x="437"/>
        <item x="257"/>
        <item x="200"/>
        <item x="1028"/>
        <item x="152"/>
        <item x="1127"/>
        <item x="1301"/>
        <item x="588"/>
        <item x="372"/>
        <item x="1433"/>
        <item x="254"/>
        <item x="1013"/>
        <item x="332"/>
        <item x="617"/>
        <item x="1157"/>
        <item x="1262"/>
        <item x="344"/>
        <item x="294"/>
        <item x="774"/>
        <item x="100"/>
        <item x="120"/>
        <item x="398"/>
        <item x="689"/>
        <item x="622"/>
        <item x="444"/>
        <item x="1102"/>
        <item x="1161"/>
        <item x="575"/>
        <item x="965"/>
        <item x="1392"/>
        <item x="1072"/>
        <item x="186"/>
        <item x="49"/>
        <item x="138"/>
        <item x="334"/>
        <item x="147"/>
        <item x="1112"/>
        <item x="1106"/>
        <item x="132"/>
        <item x="233"/>
        <item x="704"/>
        <item x="854"/>
        <item x="1069"/>
        <item x="972"/>
        <item x="387"/>
        <item x="1066"/>
        <item x="1311"/>
        <item x="423"/>
        <item x="1230"/>
        <item x="1051"/>
        <item x="1387"/>
        <item x="1359"/>
        <item x="537"/>
        <item x="1181"/>
        <item x="1326"/>
        <item x="1401"/>
        <item x="805"/>
        <item x="569"/>
        <item x="652"/>
        <item x="1402"/>
        <item x="162"/>
        <item x="249"/>
        <item x="1341"/>
        <item x="306"/>
        <item x="908"/>
        <item x="528"/>
        <item x="576"/>
        <item x="635"/>
        <item x="80"/>
        <item x="766"/>
        <item x="861"/>
        <item x="582"/>
        <item x="1332"/>
        <item x="1049"/>
        <item x="380"/>
        <item x="33"/>
        <item x="253"/>
        <item x="465"/>
        <item x="1463"/>
        <item x="1194"/>
        <item x="352"/>
        <item x="518"/>
        <item x="496"/>
        <item x="832"/>
        <item x="234"/>
        <item x="1357"/>
        <item x="167"/>
        <item x="895"/>
        <item x="455"/>
        <item x="843"/>
        <item x="1352"/>
        <item x="373"/>
        <item x="541"/>
        <item x="1319"/>
        <item x="1232"/>
        <item x="469"/>
        <item x="1142"/>
        <item x="6"/>
        <item x="1375"/>
        <item x="229"/>
        <item x="94"/>
        <item x="240"/>
        <item x="453"/>
        <item x="1172"/>
        <item x="1070"/>
        <item x="1351"/>
        <item x="1177"/>
        <item x="188"/>
        <item x="267"/>
        <item x="618"/>
        <item x="1382"/>
        <item x="1113"/>
        <item x="341"/>
        <item x="753"/>
        <item x="44"/>
        <item x="1089"/>
        <item x="1436"/>
        <item x="443"/>
        <item x="103"/>
        <item x="30"/>
        <item x="1367"/>
        <item x="813"/>
        <item x="119"/>
        <item x="1012"/>
        <item x="597"/>
        <item x="533"/>
        <item x="637"/>
        <item x="752"/>
        <item x="318"/>
        <item x="1464"/>
        <item x="67"/>
        <item x="363"/>
        <item x="823"/>
        <item x="171"/>
        <item x="758"/>
        <item x="90"/>
        <item x="1055"/>
        <item x="849"/>
        <item x="1404"/>
        <item x="38"/>
        <item x="343"/>
        <item x="679"/>
        <item x="876"/>
        <item x="1315"/>
        <item x="1084"/>
        <item x="313"/>
        <item x="302"/>
        <item x="919"/>
        <item x="176"/>
        <item x="1125"/>
        <item x="0"/>
        <item x="845"/>
        <item x="511"/>
        <item x="779"/>
        <item x="1006"/>
        <item x="855"/>
        <item x="1228"/>
        <item x="1456"/>
        <item x="737"/>
        <item x="415"/>
        <item x="1469"/>
        <item x="1144"/>
        <item x="21"/>
        <item x="1398"/>
        <item x="1465"/>
        <item x="709"/>
        <item x="607"/>
        <item x="438"/>
        <item x="102"/>
        <item x="1216"/>
        <item x="1291"/>
        <item x="683"/>
        <item x="853"/>
        <item x="1160"/>
        <item x="52"/>
        <item x="371"/>
        <item x="519"/>
        <item x="1221"/>
        <item x="232"/>
        <item x="1031"/>
        <item x="259"/>
        <item x="1257"/>
        <item x="844"/>
        <item x="715"/>
        <item x="297"/>
        <item x="370"/>
        <item x="1369"/>
        <item x="1276"/>
        <item x="1425"/>
        <item x="872"/>
        <item x="290"/>
        <item x="710"/>
        <item x="1202"/>
        <item x="624"/>
        <item x="838"/>
        <item x="107"/>
        <item x="1366"/>
        <item x="264"/>
        <item x="613"/>
        <item x="258"/>
        <item x="802"/>
        <item x="645"/>
        <item x="361"/>
        <item x="98"/>
        <item x="156"/>
        <item x="1250"/>
        <item x="246"/>
        <item x="211"/>
        <item x="1117"/>
        <item x="847"/>
        <item x="342"/>
        <item x="384"/>
        <item x="247"/>
        <item x="900"/>
        <item x="1374"/>
        <item x="881"/>
        <item x="408"/>
        <item x="1317"/>
        <item x="1444"/>
        <item x="320"/>
        <item x="1208"/>
        <item x="204"/>
        <item x="446"/>
        <item x="1045"/>
        <item x="22"/>
        <item x="140"/>
        <item x="973"/>
        <item x="781"/>
        <item x="1321"/>
        <item x="1175"/>
        <item x="348"/>
        <item x="279"/>
        <item x="385"/>
        <item x="20"/>
        <item x="814"/>
        <item x="859"/>
        <item x="686"/>
        <item x="151"/>
        <item x="1065"/>
        <item x="454"/>
        <item x="128"/>
        <item x="1270"/>
        <item x="1004"/>
        <item x="276"/>
        <item x="227"/>
        <item x="749"/>
        <item x="717"/>
        <item x="940"/>
        <item x="502"/>
        <item x="1447"/>
        <item x="630"/>
        <item x="612"/>
        <item x="1201"/>
        <item x="362"/>
        <item x="215"/>
        <item x="996"/>
        <item x="506"/>
        <item x="741"/>
        <item x="1258"/>
        <item x="401"/>
        <item x="1180"/>
        <item x="958"/>
        <item x="800"/>
        <item x="375"/>
        <item x="1039"/>
        <item x="219"/>
        <item x="281"/>
        <item x="125"/>
        <item x="28"/>
        <item x="237"/>
        <item x="236"/>
        <item x="1170"/>
        <item x="1460"/>
        <item x="775"/>
        <item x="495"/>
        <item x="1340"/>
        <item x="310"/>
        <item x="130"/>
        <item x="764"/>
        <item x="745"/>
        <item x="379"/>
        <item x="68"/>
        <item x="1305"/>
        <item x="23"/>
        <item x="1203"/>
        <item x="1163"/>
        <item x="946"/>
        <item x="485"/>
        <item x="1307"/>
        <item x="1169"/>
        <item x="1292"/>
        <item x="1295"/>
        <item x="1078"/>
        <item x="286"/>
        <item x="1002"/>
        <item x="274"/>
        <item x="740"/>
        <item x="676"/>
        <item x="1328"/>
        <item x="296"/>
        <item x="1316"/>
        <item x="1427"/>
        <item x="15"/>
        <item x="579"/>
        <item x="1210"/>
        <item x="1059"/>
        <item x="8"/>
        <item x="390"/>
        <item x="680"/>
        <item x="1388"/>
        <item x="292"/>
        <item x="687"/>
        <item x="1196"/>
        <item x="863"/>
        <item x="891"/>
        <item x="29"/>
        <item x="1300"/>
        <item x="368"/>
        <item x="32"/>
        <item x="509"/>
        <item x="1085"/>
        <item x="816"/>
        <item x="392"/>
        <item x="515"/>
        <item x="1101"/>
        <item x="1288"/>
        <item x="486"/>
        <item x="126"/>
        <item x="1466"/>
        <item x="489"/>
        <item x="53"/>
        <item x="1420"/>
        <item x="467"/>
        <item x="1074"/>
        <item x="491"/>
        <item x="1107"/>
        <item x="553"/>
        <item x="783"/>
        <item x="280"/>
        <item x="179"/>
        <item x="1304"/>
        <item x="516"/>
        <item x="1236"/>
        <item x="568"/>
        <item x="995"/>
        <item x="956"/>
        <item x="145"/>
        <item x="720"/>
        <item x="1168"/>
        <item x="980"/>
        <item x="1053"/>
        <item x="1287"/>
        <item x="1182"/>
        <item x="184"/>
        <item x="649"/>
        <item x="1217"/>
        <item x="1278"/>
        <item x="547"/>
        <item x="111"/>
        <item x="192"/>
        <item x="193"/>
        <item x="932"/>
        <item x="1220"/>
        <item x="75"/>
        <item x="894"/>
        <item x="1296"/>
        <item x="1453"/>
        <item x="1109"/>
        <item x="217"/>
        <item x="984"/>
        <item x="42"/>
        <item x="1442"/>
        <item x="407"/>
        <item x="1115"/>
        <item x="736"/>
        <item x="251"/>
        <item x="966"/>
        <item x="1231"/>
        <item x="1137"/>
        <item x="235"/>
        <item x="245"/>
        <item x="998"/>
        <item x="189"/>
        <item x="629"/>
        <item x="633"/>
        <item x="1011"/>
        <item x="1020"/>
        <item x="1289"/>
        <item x="976"/>
        <item x="378"/>
        <item x="1249"/>
        <item x="278"/>
        <item x="150"/>
        <item x="738"/>
        <item x="935"/>
        <item x="933"/>
        <item x="526"/>
        <item x="1411"/>
        <item x="1267"/>
        <item x="598"/>
        <item x="517"/>
        <item x="1370"/>
        <item x="1"/>
        <item x="142"/>
        <item x="896"/>
        <item x="478"/>
        <item x="1294"/>
        <item x="1214"/>
        <item x="395"/>
        <item x="417"/>
        <item x="1339"/>
        <item x="921"/>
        <item x="1198"/>
        <item x="529"/>
        <item x="673"/>
        <item x="820"/>
        <item x="13"/>
        <item x="1308"/>
        <item x="825"/>
        <item x="228"/>
        <item x="1323"/>
        <item x="532"/>
        <item x="601"/>
        <item x="549"/>
        <item x="1409"/>
        <item x="40"/>
        <item x="490"/>
        <item x="794"/>
        <item x="925"/>
        <item x="121"/>
        <item x="1457"/>
        <item x="441"/>
        <item x="798"/>
        <item x="636"/>
        <item x="941"/>
        <item x="163"/>
        <item x="93"/>
        <item x="1040"/>
        <item x="288"/>
        <item x="1254"/>
        <item x="1007"/>
        <item x="1048"/>
        <item x="1275"/>
        <item x="1184"/>
        <item x="1245"/>
        <item x="1403"/>
        <item x="540"/>
        <item x="1400"/>
        <item x="1122"/>
        <item x="889"/>
        <item x="1200"/>
        <item x="1227"/>
        <item x="536"/>
        <item x="24"/>
        <item x="400"/>
        <item x="326"/>
        <item x="1274"/>
        <item x="856"/>
        <item x="122"/>
        <item x="155"/>
        <item x="1153"/>
        <item x="1238"/>
        <item x="1027"/>
        <item x="916"/>
        <item x="275"/>
        <item x="1285"/>
        <item x="11"/>
        <item x="1032"/>
        <item x="1029"/>
        <item x="498"/>
        <item x="376"/>
        <item x="1450"/>
        <item x="427"/>
        <item x="1204"/>
        <item x="213"/>
        <item x="133"/>
        <item x="1110"/>
        <item x="688"/>
        <item x="804"/>
        <item x="263"/>
        <item x="829"/>
        <item x="272"/>
        <item x="238"/>
        <item x="864"/>
        <item x="905"/>
        <item x="396"/>
        <item x="26"/>
        <item x="510"/>
        <item x="1225"/>
        <item x="787"/>
        <item x="324"/>
        <item x="1190"/>
        <item x="1067"/>
        <item x="1468"/>
        <item x="1429"/>
        <item x="1306"/>
        <item x="481"/>
        <item x="1162"/>
        <item x="918"/>
        <item x="651"/>
        <item x="153"/>
        <item x="711"/>
        <item x="584"/>
        <item x="1158"/>
        <item t="default"/>
      </items>
    </pivotField>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Col" showAll="0">
      <items count="5">
        <item h="1" x="3"/>
        <item x="1"/>
        <item h="1" x="2"/>
        <item x="0"/>
        <item t="default"/>
      </items>
    </pivotField>
    <pivotField showAll="0"/>
    <pivotField showAll="0"/>
    <pivotField showAll="0"/>
    <pivotField showAll="0"/>
    <pivotField showAll="0"/>
    <pivotField numFmtId="14" showAll="0"/>
    <pivotField showAll="0"/>
  </pivotFields>
  <rowItems count="1">
    <i/>
  </rowItems>
  <colFields count="1">
    <field x="18"/>
  </colFields>
  <colItems count="3">
    <i>
      <x v="1"/>
    </i>
    <i>
      <x v="3"/>
    </i>
    <i t="grand">
      <x/>
    </i>
  </colItems>
  <dataFields count="1">
    <dataField name="Count of Ship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0C5CB0-08EB-4794-BC8A-D805B80C318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J10" firstHeaderRow="1" firstDataRow="1" firstDataCol="1"/>
  <pivotFields count="26">
    <pivotField showAll="0"/>
    <pivotField numFmtId="164" showAll="0"/>
    <pivotField numFmtId="164" showAll="0"/>
    <pivotField numFmtId="164" showAll="0"/>
    <pivotField showAll="0"/>
    <pivotField showAll="0">
      <items count="5">
        <item x="2"/>
        <item x="0"/>
        <item x="3"/>
        <item x="1"/>
        <item t="default"/>
      </items>
    </pivotField>
    <pivotField showAll="0"/>
    <pivotField axis="axisRow"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7">
    <i>
      <x/>
    </i>
    <i>
      <x v="1"/>
    </i>
    <i>
      <x v="2"/>
    </i>
    <i>
      <x v="3"/>
    </i>
    <i>
      <x v="4"/>
    </i>
    <i>
      <x v="5"/>
    </i>
    <i t="grand">
      <x/>
    </i>
  </rowItems>
  <colItems count="1">
    <i/>
  </colItems>
  <dataFields count="1">
    <dataField name="Average Delay ( Days )" fld="25"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0606FA-1116-4D9A-B0E7-F494B01C91F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M10" firstHeaderRow="1" firstDataRow="1" firstDataCol="1"/>
  <pivotFields count="26">
    <pivotField showAll="0"/>
    <pivotField numFmtId="164" showAll="0"/>
    <pivotField numFmtId="164" showAll="0"/>
    <pivotField numFmtId="164" showAll="0"/>
    <pivotField showAll="0"/>
    <pivotField showAll="0">
      <items count="5">
        <item x="2"/>
        <item x="0"/>
        <item x="3"/>
        <item x="1"/>
        <item t="default"/>
      </items>
    </pivotField>
    <pivotField showAll="0"/>
    <pivotField axis="axisRow" showAll="0">
      <items count="7">
        <item x="5"/>
        <item x="3"/>
        <item x="2"/>
        <item x="0"/>
        <item x="1"/>
        <item x="4"/>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Average Shipping Cost" fld="11"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9A7EE4-C885-4B29-87EC-A6414DB1F0F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26">
    <pivotField dataField="1" showAll="0"/>
    <pivotField numFmtId="164" showAll="0"/>
    <pivotField numFmtId="164" showAll="0"/>
    <pivotField numFmtId="164" showAll="0"/>
    <pivotField showAll="0"/>
    <pivotField showAll="0">
      <items count="5">
        <item x="2"/>
        <item x="0"/>
        <item x="3"/>
        <item x="1"/>
        <item t="default"/>
      </items>
    </pivotField>
    <pivotField showAll="0"/>
    <pivotField axis="axisRow"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hpment Count"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C91E8B-BD7B-45D3-B920-226CB0665D3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G11" firstHeaderRow="1" firstDataRow="2" firstDataCol="1"/>
  <pivotFields count="26">
    <pivotField dataField="1" showAll="0"/>
    <pivotField numFmtId="164" showAll="0"/>
    <pivotField numFmtId="164" showAll="0"/>
    <pivotField numFmtId="164" showAll="0"/>
    <pivotField showAll="0"/>
    <pivotField showAll="0">
      <items count="5">
        <item x="2"/>
        <item x="0"/>
        <item x="3"/>
        <item x="1"/>
        <item t="default"/>
      </items>
    </pivotField>
    <pivotField showAll="0"/>
    <pivotField axis="axisRow" showAll="0" sortType="descending">
      <items count="7">
        <item x="5"/>
        <item x="3"/>
        <item x="2"/>
        <item x="0"/>
        <item x="1"/>
        <item x="4"/>
        <item t="default"/>
      </items>
      <autoSortScope>
        <pivotArea dataOnly="0" outline="0" fieldPosition="0">
          <references count="2">
            <reference field="4294967294" count="1" selected="0">
              <x v="0"/>
            </reference>
            <reference field="18" count="1" selected="0">
              <x v="3"/>
            </reference>
          </references>
        </pivotArea>
      </autoSortScope>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Col" showAll="0">
      <items count="5">
        <item h="1" x="3"/>
        <item x="1"/>
        <item h="1" x="2"/>
        <item x="0"/>
        <item t="default"/>
      </items>
    </pivotField>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Fields count="1">
    <field x="18"/>
  </colFields>
  <colItems count="3">
    <i>
      <x v="1"/>
    </i>
    <i>
      <x v="3"/>
    </i>
    <i t="grand">
      <x/>
    </i>
  </colItems>
  <dataFields count="1">
    <dataField name="Count of Shipment_ID" fld="0" subtotal="count" showDataAs="percentOfRow" baseField="0" baseItem="0" numFmtId="10"/>
  </dataFields>
  <chartFormats count="4">
    <chartFormat chart="0" format="0" series="1">
      <pivotArea type="data" outline="0" fieldPosition="0">
        <references count="2">
          <reference field="4294967294" count="1" selected="0">
            <x v="0"/>
          </reference>
          <reference field="18" count="1" selected="0">
            <x v="1"/>
          </reference>
        </references>
      </pivotArea>
    </chartFormat>
    <chartFormat chart="0" format="1" series="1">
      <pivotArea type="data" outline="0" fieldPosition="0">
        <references count="2">
          <reference field="4294967294" count="1" selected="0">
            <x v="0"/>
          </reference>
          <reference field="18" count="1" selected="0">
            <x v="3"/>
          </reference>
        </references>
      </pivotArea>
    </chartFormat>
    <chartFormat chart="2" format="4" series="1">
      <pivotArea type="data" outline="0" fieldPosition="0">
        <references count="2">
          <reference field="4294967294" count="1" selected="0">
            <x v="0"/>
          </reference>
          <reference field="18" count="1" selected="0">
            <x v="1"/>
          </reference>
        </references>
      </pivotArea>
    </chartFormat>
    <chartFormat chart="2" format="5"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66B90E-CE65-4A78-9872-749BA0ABA77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M8" firstHeaderRow="1" firstDataRow="1" firstDataCol="1"/>
  <pivotFields count="26">
    <pivotField showAll="0"/>
    <pivotField numFmtId="164" showAll="0"/>
    <pivotField numFmtId="164" showAll="0"/>
    <pivotField numFmtId="164" showAll="0"/>
    <pivotField showAll="0"/>
    <pivotField axis="axisRow"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Average Shipping Cost" fld="11"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891961-57DD-4106-A0C8-4CC7F28345A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26">
    <pivotField dataField="1" showAll="0"/>
    <pivotField numFmtId="164" showAll="0"/>
    <pivotField numFmtId="164" showAll="0"/>
    <pivotField numFmtId="164" showAll="0"/>
    <pivotField showAll="0"/>
    <pivotField axis="axisRow"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hipment Count"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862D382-B066-4FCC-B85A-610F95E1A3C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G9" firstHeaderRow="1" firstDataRow="2" firstDataCol="1"/>
  <pivotFields count="26">
    <pivotField dataField="1" showAll="0"/>
    <pivotField numFmtId="164" showAll="0"/>
    <pivotField numFmtId="164" showAll="0"/>
    <pivotField numFmtId="164" showAll="0"/>
    <pivotField showAll="0"/>
    <pivotField axis="axisRow"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Col" showAll="0">
      <items count="5">
        <item h="1" x="3"/>
        <item x="1"/>
        <item h="1" x="2"/>
        <item x="0"/>
        <item t="default"/>
      </items>
    </pivotField>
    <pivotField showAll="0"/>
    <pivotField showAll="0"/>
    <pivotField showAll="0"/>
    <pivotField showAll="0"/>
    <pivotField showAll="0"/>
    <pivotField showAll="0"/>
    <pivotField showAll="0"/>
  </pivotFields>
  <rowFields count="1">
    <field x="5"/>
  </rowFields>
  <rowItems count="5">
    <i>
      <x/>
    </i>
    <i>
      <x v="1"/>
    </i>
    <i>
      <x v="2"/>
    </i>
    <i>
      <x v="3"/>
    </i>
    <i t="grand">
      <x/>
    </i>
  </rowItems>
  <colFields count="1">
    <field x="18"/>
  </colFields>
  <colItems count="3">
    <i>
      <x v="1"/>
    </i>
    <i>
      <x v="3"/>
    </i>
    <i t="grand">
      <x/>
    </i>
  </colItems>
  <dataFields count="1">
    <dataField name="Count of Shipment_ID" fld="0" subtotal="count" showDataAs="percentOfRow" baseField="0" baseItem="0" numFmtId="10"/>
  </dataFields>
  <chartFormats count="4">
    <chartFormat chart="0" format="0" series="1">
      <pivotArea type="data" outline="0" fieldPosition="0">
        <references count="2">
          <reference field="4294967294" count="1" selected="0">
            <x v="0"/>
          </reference>
          <reference field="18" count="1" selected="0">
            <x v="1"/>
          </reference>
        </references>
      </pivotArea>
    </chartFormat>
    <chartFormat chart="0" format="1" series="1">
      <pivotArea type="data" outline="0" fieldPosition="0">
        <references count="2">
          <reference field="4294967294" count="1" selected="0">
            <x v="0"/>
          </reference>
          <reference field="18" count="1" selected="0">
            <x v="3"/>
          </reference>
        </references>
      </pivotArea>
    </chartFormat>
    <chartFormat chart="2" format="4" series="1">
      <pivotArea type="data" outline="0" fieldPosition="0">
        <references count="2">
          <reference field="4294967294" count="1" selected="0">
            <x v="0"/>
          </reference>
          <reference field="18" count="1" selected="0">
            <x v="1"/>
          </reference>
        </references>
      </pivotArea>
    </chartFormat>
    <chartFormat chart="2" format="5"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F8E29F2-FA70-4315-B8C5-D9B6E6B8737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J8" firstHeaderRow="1" firstDataRow="1" firstDataCol="1"/>
  <pivotFields count="26">
    <pivotField showAll="0"/>
    <pivotField numFmtId="164" showAll="0"/>
    <pivotField numFmtId="164" showAll="0"/>
    <pivotField numFmtId="164" showAll="0"/>
    <pivotField showAll="0"/>
    <pivotField axis="axisRow"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Averagr Delay Days" fld="25"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075EEB-9DC0-46B6-A24B-794CA8410B9F}"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J8" firstHeaderRow="1" firstDataRow="1" firstDataCol="1"/>
  <pivotFields count="26">
    <pivotField showAll="0"/>
    <pivotField numFmtId="164" showAll="0"/>
    <pivotField numFmtId="164" showAll="0"/>
    <pivotField numFmtId="164" showAll="0"/>
    <pivotField showAll="0"/>
    <pivotField showAll="0">
      <items count="5">
        <item x="2"/>
        <item x="0"/>
        <item x="3"/>
        <item x="1"/>
        <item t="default"/>
      </items>
    </pivotField>
    <pivotField showAll="0"/>
    <pivotField showAll="0">
      <items count="7">
        <item x="5"/>
        <item x="3"/>
        <item x="2"/>
        <item x="0"/>
        <item x="1"/>
        <item x="4"/>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8"/>
  </rowFields>
  <rowItems count="5">
    <i>
      <x/>
    </i>
    <i>
      <x v="1"/>
    </i>
    <i>
      <x v="2"/>
    </i>
    <i>
      <x v="3"/>
    </i>
    <i t="grand">
      <x/>
    </i>
  </rowItems>
  <colItems count="1">
    <i/>
  </colItems>
  <dataFields count="1">
    <dataField name="Average Delay ( Days )" fld="25"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B4175D2-FA0D-4C16-BF70-6B0ADE2CE58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26">
    <pivotField dataField="1" showAll="0"/>
    <pivotField numFmtId="164" showAll="0"/>
    <pivotField numFmtId="164" showAll="0"/>
    <pivotField numFmtId="164" showAll="0"/>
    <pivotField showAll="0"/>
    <pivotField showAll="0">
      <items count="5">
        <item x="2"/>
        <item x="0"/>
        <item x="3"/>
        <item x="1"/>
        <item t="default"/>
      </items>
    </pivotField>
    <pivotField showAll="0"/>
    <pivotField showAll="0">
      <items count="7">
        <item x="5"/>
        <item x="3"/>
        <item x="2"/>
        <item x="0"/>
        <item x="1"/>
        <item x="4"/>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hipment Count"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875C04B-78F4-45A6-BCF3-8C8DE9B24B63}"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G9" firstHeaderRow="1" firstDataRow="2" firstDataCol="1"/>
  <pivotFields count="26">
    <pivotField dataField="1" showAll="0"/>
    <pivotField numFmtId="164" showAll="0"/>
    <pivotField numFmtId="164" showAll="0"/>
    <pivotField numFmtId="164" showAll="0"/>
    <pivotField showAll="0"/>
    <pivotField showAll="0">
      <items count="5">
        <item x="2"/>
        <item x="0"/>
        <item x="3"/>
        <item x="1"/>
        <item t="default"/>
      </items>
    </pivotField>
    <pivotField showAll="0"/>
    <pivotField showAll="0">
      <items count="7">
        <item x="5"/>
        <item x="3"/>
        <item x="2"/>
        <item x="0"/>
        <item x="1"/>
        <item x="4"/>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Col" showAll="0">
      <items count="5">
        <item h="1" x="3"/>
        <item x="1"/>
        <item h="1" x="2"/>
        <item x="0"/>
        <item t="default"/>
      </items>
    </pivotField>
    <pivotField showAll="0"/>
    <pivotField showAll="0"/>
    <pivotField showAll="0"/>
    <pivotField showAll="0"/>
    <pivotField showAll="0"/>
    <pivotField showAll="0"/>
    <pivotField showAll="0"/>
  </pivotFields>
  <rowFields count="1">
    <field x="8"/>
  </rowFields>
  <rowItems count="5">
    <i>
      <x/>
    </i>
    <i>
      <x v="1"/>
    </i>
    <i>
      <x v="2"/>
    </i>
    <i>
      <x v="3"/>
    </i>
    <i t="grand">
      <x/>
    </i>
  </rowItems>
  <colFields count="1">
    <field x="18"/>
  </colFields>
  <colItems count="3">
    <i>
      <x v="1"/>
    </i>
    <i>
      <x v="3"/>
    </i>
    <i t="grand">
      <x/>
    </i>
  </colItems>
  <dataFields count="1">
    <dataField name="Count of Shipment_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2B2FEFB-491F-46B0-B28B-DA25C09B244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3:P8" firstHeaderRow="1" firstDataRow="1" firstDataCol="1"/>
  <pivotFields count="26">
    <pivotField showAll="0"/>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pivotFields>
  <rowFields count="1">
    <field x="8"/>
  </rowFields>
  <rowItems count="5">
    <i>
      <x/>
    </i>
    <i>
      <x v="1"/>
    </i>
    <i>
      <x v="2"/>
    </i>
    <i>
      <x v="3"/>
    </i>
    <i t="grand">
      <x/>
    </i>
  </rowItems>
  <colItems count="1">
    <i/>
  </colItems>
  <dataFields count="1">
    <dataField name="Average Capacity Utilization ( % )" fld="20" subtotal="average" baseField="8"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E7E26CC-5120-42E9-8474-EE2070B390E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B18" firstHeaderRow="1" firstDataRow="1" firstDataCol="1"/>
  <pivotFields count="26">
    <pivotField showAll="0"/>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s>
  <rowFields count="1">
    <field x="8"/>
  </rowFields>
  <rowItems count="5">
    <i>
      <x/>
    </i>
    <i>
      <x v="1"/>
    </i>
    <i>
      <x v="2"/>
    </i>
    <i>
      <x v="3"/>
    </i>
    <i t="grand">
      <x/>
    </i>
  </rowItems>
  <colItems count="1">
    <i/>
  </colItems>
  <dataFields count="1">
    <dataField name="Capacity Error Rate ( % )" fld="21" subtotal="average"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BC5208C-60B5-47FD-B5E1-EB9E380D62B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M8" firstHeaderRow="1" firstDataRow="1" firstDataCol="1"/>
  <pivotFields count="26">
    <pivotField dataField="1" showAll="0"/>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1">
    <field x="8"/>
  </rowFields>
  <rowItems count="5">
    <i>
      <x/>
    </i>
    <i>
      <x v="1"/>
    </i>
    <i>
      <x v="2"/>
    </i>
    <i>
      <x v="3"/>
    </i>
    <i t="grand">
      <x/>
    </i>
  </rowItems>
  <colItems count="1">
    <i/>
  </colItems>
  <dataFields count="1">
    <dataField name="Shipment Count"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4F8677C-2E3E-49D8-A409-F0CCA570E6F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3:P56" firstHeaderRow="1" firstDataRow="1" firstDataCol="1"/>
  <pivotFields count="26">
    <pivotField showAll="0"/>
    <pivotField numFmtId="22" showAll="0"/>
    <pivotField numFmtId="22" showAll="0"/>
    <pivotField numFmtId="22" showAll="0"/>
    <pivotField showAll="0"/>
    <pivotField axis="axisRow" showAll="0">
      <items count="5">
        <item x="2"/>
        <item x="0"/>
        <item x="3"/>
        <item x="1"/>
        <item t="default"/>
      </items>
    </pivotField>
    <pivotField axis="axisRow" showAll="0">
      <items count="13">
        <item x="0"/>
        <item x="1"/>
        <item x="9"/>
        <item x="8"/>
        <item x="3"/>
        <item x="6"/>
        <item x="7"/>
        <item x="5"/>
        <item x="11"/>
        <item x="10"/>
        <item x="4"/>
        <item x="2"/>
        <item t="default"/>
      </items>
    </pivotField>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dataField="1" showAll="0"/>
  </pivotFields>
  <rowFields count="2">
    <field x="5"/>
    <field x="6"/>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Average Delay ( Days )" fld="25"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68070A6-B43E-4397-A8D7-E184579C632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6" firstHeaderRow="1" firstDataRow="1" firstDataCol="1"/>
  <pivotFields count="26">
    <pivotField dataField="1" showAll="0"/>
    <pivotField numFmtId="22" showAll="0"/>
    <pivotField numFmtId="22" showAll="0"/>
    <pivotField numFmtId="22" showAll="0"/>
    <pivotField showAll="0"/>
    <pivotField axis="axisRow" showAll="0">
      <items count="5">
        <item x="2"/>
        <item x="0"/>
        <item x="3"/>
        <item x="1"/>
        <item t="default"/>
      </items>
    </pivotField>
    <pivotField axis="axisRow" showAll="0">
      <items count="13">
        <item x="0"/>
        <item x="1"/>
        <item x="9"/>
        <item x="8"/>
        <item x="3"/>
        <item x="6"/>
        <item x="7"/>
        <item x="5"/>
        <item x="11"/>
        <item x="10"/>
        <item x="4"/>
        <item x="2"/>
        <item t="default"/>
      </items>
    </pivotField>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2">
    <field x="5"/>
    <field x="6"/>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hipment Count"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62E5DAC-4F4D-45CD-B680-ED23849A776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56" firstHeaderRow="1" firstDataRow="1" firstDataCol="1"/>
  <pivotFields count="26">
    <pivotField showAll="0"/>
    <pivotField numFmtId="22" showAll="0"/>
    <pivotField numFmtId="22" showAll="0"/>
    <pivotField numFmtId="22" showAll="0"/>
    <pivotField showAll="0"/>
    <pivotField axis="axisRow" showAll="0">
      <items count="5">
        <item x="2"/>
        <item x="0"/>
        <item x="3"/>
        <item x="1"/>
        <item t="default"/>
      </items>
    </pivotField>
    <pivotField axis="axisRow" showAll="0">
      <items count="13">
        <item x="0"/>
        <item x="1"/>
        <item x="9"/>
        <item x="8"/>
        <item x="3"/>
        <item x="6"/>
        <item x="7"/>
        <item x="5"/>
        <item x="11"/>
        <item x="10"/>
        <item x="4"/>
        <item x="2"/>
        <item t="default"/>
      </items>
    </pivotField>
    <pivotField showAll="0">
      <items count="7">
        <item x="5"/>
        <item x="3"/>
        <item x="2"/>
        <item x="0"/>
        <item x="1"/>
        <item x="4"/>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2">
    <field x="5"/>
    <field x="6"/>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Total Shipping Cost" fld="11"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2C2B6F7-99A8-4941-9004-03ECC0C954E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R3:S9" firstHeaderRow="1" firstDataRow="1" firstDataCol="1"/>
  <pivotFields count="26">
    <pivotField showAll="0"/>
    <pivotField numFmtId="22" showAll="0"/>
    <pivotField numFmtId="22" showAll="0"/>
    <pivotField numFmtId="22" showAll="0"/>
    <pivotField showAll="0"/>
    <pivotField showAll="0">
      <items count="5">
        <item x="2"/>
        <item x="0"/>
        <item x="3"/>
        <item x="1"/>
        <item t="default"/>
      </items>
    </pivotField>
    <pivotField showAll="0"/>
    <pivotField showAll="0">
      <items count="7">
        <item x="5"/>
        <item x="3"/>
        <item x="2"/>
        <item x="0"/>
        <item x="1"/>
        <item x="4"/>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pivotField showAll="0"/>
    <pivotField showAll="0"/>
    <pivotField axis="axisRow" showAll="0" measureFilter="1" sortType="descending">
      <items count="49">
        <item x="7"/>
        <item x="16"/>
        <item x="20"/>
        <item x="18"/>
        <item x="3"/>
        <item x="6"/>
        <item x="10"/>
        <item x="17"/>
        <item x="41"/>
        <item x="34"/>
        <item x="4"/>
        <item x="29"/>
        <item x="0"/>
        <item x="1"/>
        <item x="44"/>
        <item x="22"/>
        <item x="47"/>
        <item x="19"/>
        <item x="45"/>
        <item x="8"/>
        <item x="36"/>
        <item x="42"/>
        <item x="30"/>
        <item x="23"/>
        <item x="11"/>
        <item x="21"/>
        <item x="31"/>
        <item x="15"/>
        <item x="43"/>
        <item x="13"/>
        <item x="40"/>
        <item x="37"/>
        <item x="39"/>
        <item x="32"/>
        <item x="46"/>
        <item x="14"/>
        <item x="12"/>
        <item x="25"/>
        <item x="24"/>
        <item x="28"/>
        <item x="35"/>
        <item x="9"/>
        <item x="26"/>
        <item x="5"/>
        <item x="33"/>
        <item x="27"/>
        <item x="38"/>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s>
  <rowFields count="1">
    <field x="19"/>
  </rowFields>
  <rowItems count="6">
    <i>
      <x v="28"/>
    </i>
    <i>
      <x v="16"/>
    </i>
    <i>
      <x v="40"/>
    </i>
    <i>
      <x v="26"/>
    </i>
    <i>
      <x v="4"/>
    </i>
    <i t="grand">
      <x/>
    </i>
  </rowItems>
  <colItems count="1">
    <i/>
  </colItems>
  <dataFields count="1">
    <dataField name="Average Shipping Cost" fld="11" subtotal="average" baseField="19"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6FF4BEA-CEDE-4E1F-90DC-F73DE61E95A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56" firstHeaderRow="1" firstDataRow="1" firstDataCol="1"/>
  <pivotFields count="26">
    <pivotField showAll="0"/>
    <pivotField numFmtId="22" showAll="0"/>
    <pivotField numFmtId="22" showAll="0"/>
    <pivotField numFmtId="22" showAll="0"/>
    <pivotField showAll="0"/>
    <pivotField axis="axisRow" showAll="0">
      <items count="5">
        <item x="2"/>
        <item x="0"/>
        <item x="3"/>
        <item x="1"/>
        <item t="default"/>
      </items>
    </pivotField>
    <pivotField axis="axisRow" showAll="0">
      <items count="13">
        <item x="0"/>
        <item x="1"/>
        <item x="9"/>
        <item x="8"/>
        <item x="3"/>
        <item x="6"/>
        <item x="7"/>
        <item x="5"/>
        <item x="11"/>
        <item x="10"/>
        <item x="4"/>
        <item x="2"/>
        <item t="default"/>
      </items>
    </pivotField>
    <pivotField showAll="0">
      <items count="7">
        <item x="5"/>
        <item x="3"/>
        <item x="2"/>
        <item x="0"/>
        <item x="1"/>
        <item x="4"/>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rowFields count="2">
    <field x="5"/>
    <field x="6"/>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Average Shipping Cost" fld="11"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9070548-9C2D-4D4F-B80B-EB1C8317CCE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M57" firstHeaderRow="1" firstDataRow="2" firstDataCol="1"/>
  <pivotFields count="26">
    <pivotField dataField="1" showAll="0"/>
    <pivotField numFmtId="22" showAll="0"/>
    <pivotField numFmtId="22" showAll="0"/>
    <pivotField numFmtId="22" showAll="0"/>
    <pivotField showAll="0"/>
    <pivotField axis="axisRow" showAll="0">
      <items count="5">
        <item x="2"/>
        <item x="0"/>
        <item x="3"/>
        <item x="1"/>
        <item t="default"/>
      </items>
    </pivotField>
    <pivotField axis="axisRow" showAll="0">
      <items count="13">
        <item x="0"/>
        <item x="1"/>
        <item x="9"/>
        <item x="8"/>
        <item x="3"/>
        <item x="6"/>
        <item x="7"/>
        <item x="5"/>
        <item x="11"/>
        <item x="10"/>
        <item x="4"/>
        <item x="2"/>
        <item t="default"/>
      </items>
    </pivotField>
    <pivotField showAll="0">
      <items count="7">
        <item x="5"/>
        <item x="3"/>
        <item x="2"/>
        <item x="0"/>
        <item x="1"/>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Col" showAll="0">
      <items count="5">
        <item h="1" x="3"/>
        <item x="1"/>
        <item h="1" x="2"/>
        <item x="0"/>
        <item t="default"/>
      </items>
    </pivotField>
    <pivotField showAll="0"/>
    <pivotField showAll="0"/>
    <pivotField showAll="0"/>
    <pivotField showAll="0"/>
    <pivotField showAll="0"/>
    <pivotField numFmtId="14" showAll="0"/>
    <pivotField showAll="0"/>
  </pivotFields>
  <rowFields count="2">
    <field x="5"/>
    <field x="6"/>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18"/>
  </colFields>
  <colItems count="3">
    <i>
      <x v="1"/>
    </i>
    <i>
      <x v="3"/>
    </i>
    <i t="grand">
      <x/>
    </i>
  </colItems>
  <dataFields count="1">
    <dataField name="Delivery Rate ( % )"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957FD92-CEC4-4617-890F-8143EE2E2B20}" autoFormatId="16" applyNumberFormats="0" applyBorderFormats="0" applyFontFormats="0" applyPatternFormats="0" applyAlignmentFormats="0" applyWidthHeightFormats="0">
  <queryTableRefresh nextId="32">
    <queryTableFields count="26">
      <queryTableField id="1" name="Shipment_ID" tableColumnId="22"/>
      <queryTableField id="2" name="Order_Date" tableColumnId="2"/>
      <queryTableField id="3" name="Ship_Date" tableColumnId="3"/>
      <queryTableField id="4" name="Planned_Delivery_Date" tableColumnId="4"/>
      <queryTableField id="5" name="Actual_Delivery_Date" tableColumnId="5"/>
      <queryTableField id="6" name="Warehouse" tableColumnId="6"/>
      <queryTableField id="7" name="Destination_City" tableColumnId="7"/>
      <queryTableField id="8" name="Carrier" tableColumnId="8"/>
      <queryTableField id="9" name="Vehicle_Type" tableColumnId="9"/>
      <queryTableField id="10" name="Distance_KM" tableColumnId="10"/>
      <queryTableField id="11" name="Weight_KG" tableColumnId="11"/>
      <queryTableField id="12" name="Shipping_Cost" tableColumnId="12"/>
      <queryTableField id="13" name="Date_Error" tableColumnId="13"/>
      <queryTableField id="14" name="Numeric_Error" tableColumnId="14"/>
      <queryTableField id="15" name="Vehicle_Capacity_KG" tableColumnId="15"/>
      <queryTableField id="16" name="Capacity_Error" tableColumnId="16"/>
      <queryTableField id="17" name="Distance_Outlier" tableColumnId="17"/>
      <queryTableField id="18" name="Data_Quality_Issue" tableColumnId="18"/>
      <queryTableField id="19" name="Delivery_Status" tableColumnId="19"/>
      <queryTableField id="30" name="Route" tableColumnId="26"/>
      <queryTableField id="22" name="Capacity_Utilization_Pct" tableColumnId="1"/>
      <queryTableField id="24" name="Capacity_Error_Flag" tableColumnId="23"/>
      <queryTableField id="28" name="Data_Quality_Issue_Flag" tableColumnId="25"/>
      <queryTableField id="26" name="Delivery_Time_Days" tableColumnId="24"/>
      <queryTableField id="20" name="Shipment_Month" tableColumnId="20"/>
      <queryTableField id="21" name="Delay_Day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1" xr10:uid="{FAE9820B-65CC-417A-BF55-FA6C00D78811}" sourceName="Warehouse">
  <pivotTables>
    <pivotTable tabId="12" name="PivotTable8"/>
    <pivotTable tabId="11" name="PivotTable7"/>
    <pivotTable tabId="11" name="PivotTable6"/>
    <pivotTable tabId="11" name="PivotTable5"/>
    <pivotTable tabId="11" name="PivotTable4"/>
    <pivotTable tabId="10" name="PivotTable1"/>
    <pivotTable tabId="10" name="PivotTable2"/>
    <pivotTable tabId="10" name="PivotTable3"/>
    <pivotTable tabId="10" name="PivotTable4"/>
    <pivotTable tabId="10" name="PivotTable5"/>
    <pivotTable tabId="10" name="PivotTable7"/>
    <pivotTable tabId="10" name="PivotTable8"/>
    <pivotTable tabId="15" name="PivotTable1"/>
    <pivotTable tabId="15" name="PivotTable2"/>
    <pivotTable tabId="15" name="PivotTable3"/>
    <pivotTable tabId="15" name="PivotTable4"/>
    <pivotTable tabId="15" name="PivotTable5"/>
    <pivotTable tabId="15" name="PivotTable6"/>
    <pivotTable tabId="13" name="PivotTable1"/>
    <pivotTable tabId="13" name="PivotTable12"/>
    <pivotTable tabId="13" name="PivotTable13"/>
    <pivotTable tabId="13" name="PivotTable14"/>
    <pivotTable tabId="13" name="PivotTable2"/>
    <pivotTable tabId="13" name="PivotTable3"/>
    <pivotTable tabId="12" name="PivotTable10"/>
    <pivotTable tabId="12" name="PivotTable11"/>
    <pivotTable tabId="12" name="PivotTable9"/>
  </pivotTables>
  <data>
    <tabular pivotCacheId="214731709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1" xr10:uid="{78E1408B-F07B-4ADC-B760-2944BF387F60}" sourceName="Vehicle_Type">
  <pivotTables>
    <pivotTable tabId="13" name="PivotTable12"/>
    <pivotTable tabId="11" name="PivotTable4"/>
    <pivotTable tabId="11" name="PivotTable5"/>
    <pivotTable tabId="11" name="PivotTable6"/>
    <pivotTable tabId="11" name="PivotTable7"/>
    <pivotTable tabId="10" name="PivotTable1"/>
    <pivotTable tabId="10" name="PivotTable2"/>
    <pivotTable tabId="10" name="PivotTable3"/>
    <pivotTable tabId="10" name="PivotTable4"/>
    <pivotTable tabId="10" name="PivotTable5"/>
    <pivotTable tabId="10" name="PivotTable7"/>
    <pivotTable tabId="10" name="PivotTable8"/>
    <pivotTable tabId="15" name="PivotTable1"/>
    <pivotTable tabId="15" name="PivotTable2"/>
    <pivotTable tabId="15" name="PivotTable3"/>
    <pivotTable tabId="15" name="PivotTable4"/>
    <pivotTable tabId="15" name="PivotTable5"/>
    <pivotTable tabId="15" name="PivotTable6"/>
    <pivotTable tabId="13" name="PivotTable13"/>
    <pivotTable tabId="13" name="PivotTable14"/>
    <pivotTable tabId="13" name="PivotTable2"/>
    <pivotTable tabId="13" name="PivotTable3"/>
    <pivotTable tabId="12" name="PivotTable10"/>
    <pivotTable tabId="12" name="PivotTable11"/>
    <pivotTable tabId="12" name="PivotTable8"/>
    <pivotTable tabId="12" name="PivotTable9"/>
  </pivotTables>
  <data>
    <tabular pivotCacheId="214731709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8B732CB6-452C-495E-8A86-5024334A9A74}" sourceName="Carrier">
  <pivotTables>
    <pivotTable tabId="11" name="PivotTable4"/>
    <pivotTable tabId="11" name="PivotTable5"/>
    <pivotTable tabId="11" name="PivotTable6"/>
    <pivotTable tabId="11" name="PivotTable7"/>
    <pivotTable tabId="10" name="PivotTable1"/>
    <pivotTable tabId="10" name="PivotTable2"/>
    <pivotTable tabId="10" name="PivotTable3"/>
    <pivotTable tabId="10" name="PivotTable4"/>
    <pivotTable tabId="10" name="PivotTable5"/>
    <pivotTable tabId="10" name="PivotTable7"/>
    <pivotTable tabId="10" name="PivotTable8"/>
    <pivotTable tabId="15" name="PivotTable1"/>
    <pivotTable tabId="15" name="PivotTable2"/>
    <pivotTable tabId="15" name="PivotTable3"/>
    <pivotTable tabId="15" name="PivotTable4"/>
    <pivotTable tabId="15" name="PivotTable5"/>
    <pivotTable tabId="15" name="PivotTable6"/>
    <pivotTable tabId="13" name="PivotTable1"/>
    <pivotTable tabId="13" name="PivotTable12"/>
    <pivotTable tabId="13" name="PivotTable13"/>
    <pivotTable tabId="13" name="PivotTable14"/>
    <pivotTable tabId="13" name="PivotTable2"/>
    <pivotTable tabId="13" name="PivotTable3"/>
    <pivotTable tabId="12" name="PivotTable10"/>
    <pivotTable tabId="12" name="PivotTable11"/>
    <pivotTable tabId="12" name="PivotTable8"/>
    <pivotTable tabId="12" name="PivotTable9"/>
  </pivotTables>
  <data>
    <tabular pivotCacheId="2147317093">
      <items count="6">
        <i x="5" s="1"/>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62CA0324-5825-4356-99B8-0BC55E577C6F}" cache="Slicer_Warehouse1" caption="Warehouse" rowHeight="234950"/>
  <slicer name="Vehicle_Type" xr10:uid="{CFFF12CA-07E2-403B-A3CE-D20857286FA0}" cache="Slicer_Vehicle_Type1" caption="Vehicle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1" xr10:uid="{3A5A13B2-65ED-4BB6-BC7E-57E8CA36B642}" cache="Slicer_Warehouse1" caption="Warehouse" columnCount="2" rowHeight="234950"/>
  <slicer name="Vehicle_Type 1" xr10:uid="{DAF6211E-B0B0-461F-B909-804875B806CC}" cache="Slicer_Vehicle_Type1" caption="Vehicle_Type" columnCount="2" rowHeight="234950"/>
  <slicer name="Carrier" xr10:uid="{41D59D4B-FC88-4C3B-96F4-F504E0D73BCE}" cache="Slicer_Carrier" caption="Carrier" columnCount="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3D6774-1EE9-4DE1-BA41-74E0DCBE9102}" name="Table2" displayName="Table2" ref="A1:Y170" totalsRowShown="0">
  <autoFilter ref="A1:Y170" xr:uid="{8D3D6774-1EE9-4DE1-BA41-74E0DCBE9102}"/>
  <tableColumns count="25">
    <tableColumn id="1" xr3:uid="{FC0ABE60-B78F-4616-89B0-B11D272B90BE}" name="Shipment_ID"/>
    <tableColumn id="2" xr3:uid="{64FD97A4-58B4-45AB-8055-24C6DF7B714D}" name="Order_Date" dataDxfId="34"/>
    <tableColumn id="3" xr3:uid="{7CFEDC30-1A91-4048-AF58-5888C9C70C41}" name="Ship_Date" dataDxfId="33"/>
    <tableColumn id="4" xr3:uid="{E6CA7585-183C-45F0-8D29-7A1E42D649BF}" name="Planned_Delivery_Date" dataDxfId="32"/>
    <tableColumn id="5" xr3:uid="{45BEC97D-DBA2-4E64-8C99-94DB25C263EA}" name="Actual_Delivery_Date" dataDxfId="31"/>
    <tableColumn id="6" xr3:uid="{0B256EDF-61A3-4CD3-A355-1DB0E8D794DE}" name="Warehouse"/>
    <tableColumn id="7" xr3:uid="{75BB03D7-7B32-441F-9E86-65D37FAFA2DD}" name="Destination_City"/>
    <tableColumn id="8" xr3:uid="{B97A03A7-C20C-4118-8683-3DBA7DEBAE18}" name="Carrier"/>
    <tableColumn id="9" xr3:uid="{E4BF302B-3DDB-4B13-B647-6B9A1310C8F9}" name="Vehicle_Type"/>
    <tableColumn id="10" xr3:uid="{9BFB6E20-469F-4F02-BAC3-B692AA141948}" name="Distance_KM"/>
    <tableColumn id="11" xr3:uid="{F5316A57-F87A-413F-813F-D52A9409582D}" name="Weight_KG"/>
    <tableColumn id="12" xr3:uid="{F5E73861-A637-4F90-838E-95CE46C7A9B7}" name="Shipping_Cost"/>
    <tableColumn id="13" xr3:uid="{A17AD03E-6150-435D-B184-880EA20CDFD5}" name="Date_Error"/>
    <tableColumn id="14" xr3:uid="{13ECA894-1BB6-4A25-A3AB-BD0357F56A17}" name="Numeric_Error"/>
    <tableColumn id="15" xr3:uid="{3C9EA988-4DBA-4AEB-ABD9-672176E6FD9C}" name="Vehicle_Capacity_KG"/>
    <tableColumn id="16" xr3:uid="{EE838C42-7D17-434A-A497-D8687220D4D0}" name="Capacity_Error"/>
    <tableColumn id="17" xr3:uid="{87C33B4F-BC8C-4723-87D0-CAAAB79699EB}" name="Distance_Outlier"/>
    <tableColumn id="18" xr3:uid="{6E576D58-ECCD-4DDD-8AF2-893B3E9BAA4A}" name="Data_Quality_Issue"/>
    <tableColumn id="19" xr3:uid="{39C205AF-8BA0-4995-AE5E-2FC18950E689}" name="Delivery_Status"/>
    <tableColumn id="20" xr3:uid="{F5C30252-392D-48BB-A37E-E049C203CEC9}" name="Capacity_Utilization_Pct"/>
    <tableColumn id="21" xr3:uid="{D39E056D-CB71-4830-9F91-0543AC444ACD}" name="Capacity_Error_Flag"/>
    <tableColumn id="22" xr3:uid="{B32B0C8B-EAA4-4756-AA5F-EF57A78EB363}" name="Data_Quality_Issue_Flag"/>
    <tableColumn id="23" xr3:uid="{4010A8E4-94A8-4D8C-93F6-0A9505F05CF4}" name="Delivery_Time_Days"/>
    <tableColumn id="24" xr3:uid="{944398C0-F700-43BE-B3F3-903057902FF8}" name="Shipment_Month" dataDxfId="30"/>
    <tableColumn id="25" xr3:uid="{FDC5F35D-8B45-4966-BA1D-EDC7D05830F8}" name="Delay_Day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8FB80-A39C-4AE4-B53B-AC8FF75CF6A3}" name="Processed_Data" displayName="Processed_Data" ref="A1:Z1471" tableType="queryTable" totalsRowShown="0">
  <autoFilter ref="A1:Z1471" xr:uid="{CD08FB80-A39C-4AE4-B53B-AC8FF75CF6A3}"/>
  <tableColumns count="26">
    <tableColumn id="22" xr3:uid="{5F421DD1-3D74-4D9C-B7F1-68B4EA208095}" uniqueName="22" name="Shipment_ID" queryTableFieldId="1" dataDxfId="28"/>
    <tableColumn id="2" xr3:uid="{4263DF2E-7EB9-4EC6-A1F7-AE97A3293159}" uniqueName="2" name="Order_Date" queryTableFieldId="2" dataDxfId="27"/>
    <tableColumn id="3" xr3:uid="{96F2A78D-4CA0-4E0F-92DC-A27D352F0714}" uniqueName="3" name="Ship_Date" queryTableFieldId="3" dataDxfId="26"/>
    <tableColumn id="4" xr3:uid="{06B027D8-0C1E-4957-A626-408A748A0702}" uniqueName="4" name="Planned_Delivery_Date" queryTableFieldId="4" dataDxfId="25"/>
    <tableColumn id="5" xr3:uid="{5CFA4905-94DD-4281-9BD9-2564F75F1777}" uniqueName="5" name="Actual_Delivery_Date" queryTableFieldId="5" dataDxfId="24"/>
    <tableColumn id="6" xr3:uid="{7EBC081B-D794-473E-903B-294F1C6FF522}" uniqueName="6" name="Warehouse" queryTableFieldId="6" dataDxfId="23"/>
    <tableColumn id="7" xr3:uid="{09AFA4EB-1E8F-40D2-90C7-D09808AD5063}" uniqueName="7" name="Destination_City" queryTableFieldId="7" dataDxfId="22"/>
    <tableColumn id="8" xr3:uid="{DE8FEACE-340C-412D-A8FE-F4A2172EE1D3}" uniqueName="8" name="Carrier" queryTableFieldId="8" dataDxfId="21"/>
    <tableColumn id="9" xr3:uid="{DF9F3A29-6739-4DCB-9273-ED0EAF4461BC}" uniqueName="9" name="Vehicle_Type" queryTableFieldId="9" dataDxfId="20"/>
    <tableColumn id="10" xr3:uid="{50FD06ED-BD5F-4405-9EAD-07AD4BA5819D}" uniqueName="10" name="Distance_KM" queryTableFieldId="10"/>
    <tableColumn id="11" xr3:uid="{532E63BC-1678-44B1-9FA9-2B3E56CE132B}" uniqueName="11" name="Weight_KG" queryTableFieldId="11"/>
    <tableColumn id="12" xr3:uid="{CAD9575B-1997-426B-8FC0-E07FCCDC6F3A}" uniqueName="12" name="Shipping_Cost" queryTableFieldId="12"/>
    <tableColumn id="13" xr3:uid="{2729CCFB-0988-4A3A-9AAA-AAEEB4E19169}" uniqueName="13" name="Date_Error" queryTableFieldId="13"/>
    <tableColumn id="14" xr3:uid="{814B5F4D-6474-46F3-B1E1-3651BA903C8B}" uniqueName="14" name="Numeric_Error" queryTableFieldId="14"/>
    <tableColumn id="15" xr3:uid="{9C8CC568-446D-4DE7-81F5-746F76B5BB89}" uniqueName="15" name="Vehicle_Capacity_KG" queryTableFieldId="15"/>
    <tableColumn id="16" xr3:uid="{1FFF2F7A-DA90-419C-9A98-1B408E4612D0}" uniqueName="16" name="Capacity_Error" queryTableFieldId="16"/>
    <tableColumn id="17" xr3:uid="{799E416B-1461-4D98-9870-D82392FBD488}" uniqueName="17" name="Distance_Outlier" queryTableFieldId="17"/>
    <tableColumn id="18" xr3:uid="{1901DA3C-68A1-444B-9AFB-2C72BE01CFF0}" uniqueName="18" name="Data_Quality_Issue" queryTableFieldId="18"/>
    <tableColumn id="19" xr3:uid="{9ADD8768-CB46-4BF0-8B1D-6D78AAE9EDC3}" uniqueName="19" name="Delivery_Status" queryTableFieldId="19" dataDxfId="19"/>
    <tableColumn id="26" xr3:uid="{23ECFD7E-2355-4C72-B560-B25C5A80BCFA}" uniqueName="26" name="Route" queryTableFieldId="30"/>
    <tableColumn id="1" xr3:uid="{5A304B48-E82A-4232-BC30-45A9E7EB51B9}" uniqueName="1" name="Capacity_Utilization_Pct" queryTableFieldId="22"/>
    <tableColumn id="23" xr3:uid="{43FF43ED-4953-4D53-8933-7B8583D98B94}" uniqueName="23" name="Capacity_Error_Flag" queryTableFieldId="24"/>
    <tableColumn id="25" xr3:uid="{C2DBB897-B509-41C5-BADA-4505358C5BE7}" uniqueName="25" name="Data_Quality_Issue_Flag" queryTableFieldId="28"/>
    <tableColumn id="24" xr3:uid="{0B4877CC-63E3-4FD2-BFE8-D64C1CB8800C}" uniqueName="24" name="Delivery_Time_Days" queryTableFieldId="26"/>
    <tableColumn id="20" xr3:uid="{2267F760-EC4F-4F20-9BB1-F1678F22F2FE}" uniqueName="20" name="Shipment_Month" queryTableFieldId="20" dataDxfId="18"/>
    <tableColumn id="21" xr3:uid="{42EAE624-69D7-467E-B528-4792DD9DD132}" uniqueName="21" name="Delay_Days"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pivotTable" Target="../pivotTables/pivotTable10.xml"/><Relationship Id="rId7" Type="http://schemas.microsoft.com/office/2007/relationships/slicer" Target="../slicers/slicer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vmlDrawing" Target="../drawings/vmlDrawing2.vml"/><Relationship Id="rId5" Type="http://schemas.openxmlformats.org/officeDocument/2006/relationships/drawing" Target="../drawings/drawing1.xml"/><Relationship Id="rId4"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printerSettings" Target="../printerSettings/printerSettings1.bin"/><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defaultRowHeight="14.4" x14ac:dyDescent="0.3"/>
  <sheetData>
    <row r="1" spans="1:2" x14ac:dyDescent="0.3">
      <c r="A1" t="s">
        <v>0</v>
      </c>
      <c r="B1" t="s">
        <v>1</v>
      </c>
    </row>
    <row r="2" spans="1:2" x14ac:dyDescent="0.3">
      <c r="A2" t="s">
        <v>2</v>
      </c>
      <c r="B2">
        <v>1470</v>
      </c>
    </row>
    <row r="3" spans="1:2" x14ac:dyDescent="0.3">
      <c r="A3" t="s">
        <v>3</v>
      </c>
      <c r="B3">
        <v>69.978858350951384</v>
      </c>
    </row>
    <row r="4" spans="1:2" x14ac:dyDescent="0.3">
      <c r="A4" t="s">
        <v>4</v>
      </c>
      <c r="B4">
        <v>30.02114164904863</v>
      </c>
    </row>
    <row r="5" spans="1:2" x14ac:dyDescent="0.3">
      <c r="A5" t="s">
        <v>5</v>
      </c>
      <c r="B5">
        <v>3.1465821000704719</v>
      </c>
    </row>
    <row r="6" spans="1:2" x14ac:dyDescent="0.3">
      <c r="A6" t="s">
        <v>6</v>
      </c>
      <c r="B6">
        <v>1.347417840375587</v>
      </c>
    </row>
    <row r="7" spans="1:2" x14ac:dyDescent="0.3">
      <c r="A7" t="s">
        <v>7</v>
      </c>
      <c r="B7">
        <v>9528795000</v>
      </c>
    </row>
    <row r="8" spans="1:2" x14ac:dyDescent="0.3">
      <c r="A8" t="s">
        <v>8</v>
      </c>
      <c r="B8">
        <v>6491004.768392371</v>
      </c>
    </row>
    <row r="9" spans="1:2" x14ac:dyDescent="0.3">
      <c r="A9" t="s">
        <v>9</v>
      </c>
      <c r="B9">
        <v>16099.27128825669</v>
      </c>
    </row>
    <row r="10" spans="1:2" x14ac:dyDescent="0.3">
      <c r="A10" t="s">
        <v>10</v>
      </c>
      <c r="B10">
        <v>2232.6109376199461</v>
      </c>
    </row>
    <row r="11" spans="1:2" x14ac:dyDescent="0.3">
      <c r="A11" t="s">
        <v>11</v>
      </c>
      <c r="B11">
        <v>1.8367346938775511</v>
      </c>
    </row>
    <row r="12" spans="1:2" x14ac:dyDescent="0.3">
      <c r="A12" t="s">
        <v>12</v>
      </c>
      <c r="B12">
        <v>3</v>
      </c>
    </row>
    <row r="13" spans="1:2" x14ac:dyDescent="0.3">
      <c r="A13" t="s">
        <v>13</v>
      </c>
      <c r="B13">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heetViews>
  <sheetFormatPr defaultRowHeight="14.4" x14ac:dyDescent="0.3"/>
  <sheetData>
    <row r="1" spans="1:6" x14ac:dyDescent="0.3">
      <c r="A1" t="s">
        <v>14</v>
      </c>
      <c r="B1" t="s">
        <v>15</v>
      </c>
      <c r="C1" t="s">
        <v>16</v>
      </c>
      <c r="D1" t="s">
        <v>17</v>
      </c>
      <c r="E1" t="s">
        <v>18</v>
      </c>
      <c r="F1" t="s">
        <v>19</v>
      </c>
    </row>
    <row r="2" spans="1:6" x14ac:dyDescent="0.3">
      <c r="A2" t="s">
        <v>20</v>
      </c>
      <c r="B2">
        <v>333</v>
      </c>
      <c r="C2">
        <v>78.056426332288396</v>
      </c>
      <c r="D2">
        <v>21.9435736677116</v>
      </c>
      <c r="E2">
        <v>1.1857142857142859</v>
      </c>
      <c r="F2">
        <v>5878492.4471299089</v>
      </c>
    </row>
    <row r="3" spans="1:6" x14ac:dyDescent="0.3">
      <c r="A3" t="s">
        <v>21</v>
      </c>
      <c r="B3">
        <v>279</v>
      </c>
      <c r="C3">
        <v>86.090225563909769</v>
      </c>
      <c r="D3">
        <v>13.90977443609022</v>
      </c>
      <c r="E3">
        <v>1.027027027027027</v>
      </c>
      <c r="F3">
        <v>6788050.1792114694</v>
      </c>
    </row>
    <row r="4" spans="1:6" x14ac:dyDescent="0.3">
      <c r="A4" t="s">
        <v>22</v>
      </c>
      <c r="B4">
        <v>311</v>
      </c>
      <c r="C4">
        <v>60.855263157894733</v>
      </c>
      <c r="D4">
        <v>39.144736842105267</v>
      </c>
      <c r="E4">
        <v>1.478991596638656</v>
      </c>
      <c r="F4">
        <v>6792778.1350482311</v>
      </c>
    </row>
    <row r="5" spans="1:6" x14ac:dyDescent="0.3">
      <c r="A5" t="s">
        <v>23</v>
      </c>
      <c r="B5">
        <v>284</v>
      </c>
      <c r="C5">
        <v>66.181818181818187</v>
      </c>
      <c r="D5">
        <v>33.81818181818182</v>
      </c>
      <c r="E5">
        <v>1.279569892473118</v>
      </c>
      <c r="F5">
        <v>6743014.0845070425</v>
      </c>
    </row>
    <row r="6" spans="1:6" x14ac:dyDescent="0.3">
      <c r="A6" t="s">
        <v>24</v>
      </c>
      <c r="B6">
        <v>251</v>
      </c>
      <c r="C6">
        <v>56.79012345679012</v>
      </c>
      <c r="D6">
        <v>43.209876543209873</v>
      </c>
      <c r="E6">
        <v>1.4761904761904761</v>
      </c>
      <c r="F6">
        <v>6316306.7729083663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workbookViewId="0"/>
  </sheetViews>
  <sheetFormatPr defaultRowHeight="14.4" x14ac:dyDescent="0.3"/>
  <sheetData>
    <row r="1" spans="1:6" x14ac:dyDescent="0.3">
      <c r="A1" t="s">
        <v>25</v>
      </c>
      <c r="B1" t="s">
        <v>26</v>
      </c>
      <c r="C1" t="s">
        <v>27</v>
      </c>
      <c r="D1" t="s">
        <v>28</v>
      </c>
      <c r="E1" t="s">
        <v>29</v>
      </c>
      <c r="F1" t="s">
        <v>30</v>
      </c>
    </row>
    <row r="2" spans="1:6" x14ac:dyDescent="0.3">
      <c r="A2" t="s">
        <v>31</v>
      </c>
      <c r="B2">
        <v>369</v>
      </c>
      <c r="C2">
        <v>70.786516853932582</v>
      </c>
      <c r="D2">
        <v>29.213483146067411</v>
      </c>
      <c r="E2">
        <v>1.278846153846154</v>
      </c>
      <c r="F2">
        <v>5866592.3913043477</v>
      </c>
    </row>
    <row r="3" spans="1:6" x14ac:dyDescent="0.3">
      <c r="A3" t="s">
        <v>32</v>
      </c>
      <c r="B3">
        <v>279</v>
      </c>
      <c r="C3">
        <v>69.776119402985074</v>
      </c>
      <c r="D3">
        <v>30.223880597014919</v>
      </c>
      <c r="E3">
        <v>1.320987654320988</v>
      </c>
      <c r="F3">
        <v>5971992.8315412188</v>
      </c>
    </row>
    <row r="4" spans="1:6" x14ac:dyDescent="0.3">
      <c r="A4" t="s">
        <v>33</v>
      </c>
      <c r="B4">
        <v>256</v>
      </c>
      <c r="C4">
        <v>65.714285714285708</v>
      </c>
      <c r="D4">
        <v>34.285714285714278</v>
      </c>
      <c r="E4">
        <v>1.3452380952380949</v>
      </c>
      <c r="F4">
        <v>9080546.875</v>
      </c>
    </row>
    <row r="5" spans="1:6" x14ac:dyDescent="0.3">
      <c r="A5" t="s">
        <v>34</v>
      </c>
      <c r="B5">
        <v>566</v>
      </c>
      <c r="C5">
        <v>71.454545454545453</v>
      </c>
      <c r="D5">
        <v>28.54545454545455</v>
      </c>
      <c r="E5">
        <v>1.407643312101911</v>
      </c>
      <c r="F5">
        <v>5980677.8761061952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sheetViews>
  <sheetFormatPr defaultRowHeight="14.4" x14ac:dyDescent="0.3"/>
  <sheetData>
    <row r="1" spans="1:7" x14ac:dyDescent="0.3">
      <c r="A1" t="s">
        <v>35</v>
      </c>
      <c r="B1" t="s">
        <v>36</v>
      </c>
      <c r="C1" t="s">
        <v>37</v>
      </c>
      <c r="D1" t="s">
        <v>38</v>
      </c>
      <c r="E1" t="s">
        <v>39</v>
      </c>
      <c r="F1" t="s">
        <v>40</v>
      </c>
      <c r="G1" t="s">
        <v>41</v>
      </c>
    </row>
    <row r="2" spans="1:7" x14ac:dyDescent="0.3">
      <c r="A2" t="s">
        <v>42</v>
      </c>
      <c r="B2">
        <v>284</v>
      </c>
      <c r="C2">
        <v>54.056650528169008</v>
      </c>
      <c r="D2">
        <v>0</v>
      </c>
      <c r="E2">
        <v>70.967741935483872</v>
      </c>
      <c r="F2">
        <v>29.032258064516132</v>
      </c>
      <c r="G2">
        <v>1.3950617283950619</v>
      </c>
    </row>
    <row r="3" spans="1:7" x14ac:dyDescent="0.3">
      <c r="A3" t="s">
        <v>43</v>
      </c>
      <c r="B3">
        <v>566</v>
      </c>
      <c r="C3">
        <v>50.013711743772248</v>
      </c>
      <c r="D3">
        <v>0.70671378091872794</v>
      </c>
      <c r="E3">
        <v>69.669117647058826</v>
      </c>
      <c r="F3">
        <v>30.33088235294117</v>
      </c>
      <c r="G3">
        <v>1.3818181818181821</v>
      </c>
    </row>
    <row r="4" spans="1:7" x14ac:dyDescent="0.3">
      <c r="A4" t="s">
        <v>44</v>
      </c>
      <c r="B4">
        <v>350</v>
      </c>
      <c r="C4">
        <v>50.659847182425978</v>
      </c>
      <c r="D4">
        <v>0</v>
      </c>
      <c r="E4">
        <v>68.862275449101801</v>
      </c>
      <c r="F4">
        <v>31.137724550898199</v>
      </c>
      <c r="G4">
        <v>1.288461538461539</v>
      </c>
    </row>
    <row r="5" spans="1:7" x14ac:dyDescent="0.3">
      <c r="A5" t="s">
        <v>45</v>
      </c>
      <c r="B5">
        <v>270</v>
      </c>
      <c r="C5">
        <v>48.92661710037175</v>
      </c>
      <c r="D5">
        <v>0</v>
      </c>
      <c r="E5">
        <v>70.992366412213741</v>
      </c>
      <c r="F5">
        <v>29.007633587786259</v>
      </c>
      <c r="G5">
        <v>1.3026315789473679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9"/>
  <sheetViews>
    <sheetView workbookViewId="0"/>
  </sheetViews>
  <sheetFormatPr defaultRowHeight="14.4" x14ac:dyDescent="0.3"/>
  <sheetData>
    <row r="1" spans="1:7" x14ac:dyDescent="0.3">
      <c r="A1" t="s">
        <v>25</v>
      </c>
      <c r="B1" t="s">
        <v>46</v>
      </c>
      <c r="C1" t="s">
        <v>47</v>
      </c>
      <c r="D1" t="s">
        <v>48</v>
      </c>
      <c r="E1" t="s">
        <v>49</v>
      </c>
      <c r="F1" t="s">
        <v>50</v>
      </c>
      <c r="G1" t="s">
        <v>51</v>
      </c>
    </row>
    <row r="2" spans="1:7" x14ac:dyDescent="0.3">
      <c r="A2" s="12" t="s">
        <v>31</v>
      </c>
      <c r="B2" t="s">
        <v>52</v>
      </c>
      <c r="C2">
        <v>33</v>
      </c>
      <c r="D2">
        <v>159118000</v>
      </c>
      <c r="E2">
        <v>4821757.5757575762</v>
      </c>
      <c r="F2">
        <v>62.5</v>
      </c>
      <c r="G2">
        <v>37.5</v>
      </c>
    </row>
    <row r="3" spans="1:7" x14ac:dyDescent="0.3">
      <c r="A3" s="12"/>
      <c r="B3" t="s">
        <v>53</v>
      </c>
      <c r="C3">
        <v>28</v>
      </c>
      <c r="D3">
        <v>153147000</v>
      </c>
      <c r="E3">
        <v>5469535.7142857146</v>
      </c>
      <c r="F3">
        <v>74.074074074074076</v>
      </c>
      <c r="G3">
        <v>25.92592592592592</v>
      </c>
    </row>
    <row r="4" spans="1:7" x14ac:dyDescent="0.3">
      <c r="A4" s="12"/>
      <c r="B4" t="s">
        <v>54</v>
      </c>
      <c r="C4">
        <v>33</v>
      </c>
      <c r="D4">
        <v>214768000</v>
      </c>
      <c r="E4">
        <v>6508121.2121212119</v>
      </c>
      <c r="F4">
        <v>69.696969696969688</v>
      </c>
      <c r="G4">
        <v>30.303030303030301</v>
      </c>
    </row>
    <row r="5" spans="1:7" x14ac:dyDescent="0.3">
      <c r="A5" s="12"/>
      <c r="B5" t="s">
        <v>55</v>
      </c>
      <c r="C5">
        <v>24</v>
      </c>
      <c r="D5">
        <v>62602000</v>
      </c>
      <c r="E5">
        <v>2608416.666666667</v>
      </c>
      <c r="F5">
        <v>54.545454545454547</v>
      </c>
      <c r="G5">
        <v>45.454545454545453</v>
      </c>
    </row>
    <row r="6" spans="1:7" x14ac:dyDescent="0.3">
      <c r="A6" s="12"/>
      <c r="B6" t="s">
        <v>56</v>
      </c>
      <c r="C6">
        <v>23</v>
      </c>
      <c r="D6">
        <v>279044000</v>
      </c>
      <c r="E6">
        <v>12132347.826086961</v>
      </c>
      <c r="F6">
        <v>59.090909090909093</v>
      </c>
      <c r="G6">
        <v>40.909090909090907</v>
      </c>
    </row>
    <row r="7" spans="1:7" x14ac:dyDescent="0.3">
      <c r="A7" s="12"/>
      <c r="B7" t="s">
        <v>57</v>
      </c>
      <c r="C7">
        <v>29</v>
      </c>
      <c r="D7">
        <v>91206000</v>
      </c>
      <c r="E7">
        <v>3145034.4827586212</v>
      </c>
      <c r="F7">
        <v>85.18518518518519</v>
      </c>
      <c r="G7">
        <v>14.81481481481481</v>
      </c>
    </row>
    <row r="8" spans="1:7" x14ac:dyDescent="0.3">
      <c r="A8" s="12"/>
      <c r="B8" t="s">
        <v>58</v>
      </c>
      <c r="C8">
        <v>34</v>
      </c>
      <c r="D8">
        <v>135172000</v>
      </c>
      <c r="E8">
        <v>3975647.0588235301</v>
      </c>
      <c r="F8">
        <v>76.470588235294116</v>
      </c>
      <c r="G8">
        <v>23.52941176470588</v>
      </c>
    </row>
    <row r="9" spans="1:7" x14ac:dyDescent="0.3">
      <c r="A9" s="12"/>
      <c r="B9" t="s">
        <v>59</v>
      </c>
      <c r="C9">
        <v>28</v>
      </c>
      <c r="D9">
        <v>139484000</v>
      </c>
      <c r="E9">
        <v>4981571.4285714282</v>
      </c>
      <c r="F9">
        <v>65.384615384615387</v>
      </c>
      <c r="G9">
        <v>34.615384615384613</v>
      </c>
    </row>
    <row r="10" spans="1:7" x14ac:dyDescent="0.3">
      <c r="A10" s="12"/>
      <c r="B10" t="s">
        <v>60</v>
      </c>
      <c r="C10">
        <v>36</v>
      </c>
      <c r="D10">
        <v>308998000</v>
      </c>
      <c r="E10">
        <v>8828514.2857142854</v>
      </c>
      <c r="F10">
        <v>80</v>
      </c>
      <c r="G10">
        <v>20</v>
      </c>
    </row>
    <row r="11" spans="1:7" x14ac:dyDescent="0.3">
      <c r="A11" s="12"/>
      <c r="B11" t="s">
        <v>61</v>
      </c>
      <c r="C11">
        <v>28</v>
      </c>
      <c r="D11">
        <v>61489000</v>
      </c>
      <c r="E11">
        <v>2196035.7142857141</v>
      </c>
      <c r="F11">
        <v>64.285714285714278</v>
      </c>
      <c r="G11">
        <v>35.714285714285722</v>
      </c>
    </row>
    <row r="12" spans="1:7" x14ac:dyDescent="0.3">
      <c r="A12" s="12"/>
      <c r="B12" t="s">
        <v>62</v>
      </c>
      <c r="C12">
        <v>39</v>
      </c>
      <c r="D12">
        <v>385055000</v>
      </c>
      <c r="E12">
        <v>9873205.128205128</v>
      </c>
      <c r="F12">
        <v>72.972972972972968</v>
      </c>
      <c r="G12">
        <v>27.027027027027032</v>
      </c>
    </row>
    <row r="13" spans="1:7" x14ac:dyDescent="0.3">
      <c r="A13" s="12"/>
      <c r="B13" t="s">
        <v>63</v>
      </c>
      <c r="C13">
        <v>34</v>
      </c>
      <c r="D13">
        <v>168823000</v>
      </c>
      <c r="E13">
        <v>4965382.3529411769</v>
      </c>
      <c r="F13">
        <v>75.757575757575751</v>
      </c>
      <c r="G13">
        <v>24.242424242424239</v>
      </c>
    </row>
    <row r="14" spans="1:7" x14ac:dyDescent="0.3">
      <c r="A14" s="12" t="s">
        <v>32</v>
      </c>
      <c r="B14" t="s">
        <v>52</v>
      </c>
      <c r="C14">
        <v>21</v>
      </c>
      <c r="D14">
        <v>114860000</v>
      </c>
      <c r="E14">
        <v>5469523.8095238097</v>
      </c>
      <c r="F14">
        <v>66.666666666666671</v>
      </c>
      <c r="G14">
        <v>33.333333333333329</v>
      </c>
    </row>
    <row r="15" spans="1:7" x14ac:dyDescent="0.3">
      <c r="A15" s="12"/>
      <c r="B15" t="s">
        <v>53</v>
      </c>
      <c r="C15">
        <v>27</v>
      </c>
      <c r="D15">
        <v>144124000</v>
      </c>
      <c r="E15">
        <v>5337925.9259259263</v>
      </c>
      <c r="F15">
        <v>64</v>
      </c>
      <c r="G15">
        <v>36</v>
      </c>
    </row>
    <row r="16" spans="1:7" x14ac:dyDescent="0.3">
      <c r="A16" s="12"/>
      <c r="B16" t="s">
        <v>54</v>
      </c>
      <c r="C16">
        <v>26</v>
      </c>
      <c r="D16">
        <v>243619000</v>
      </c>
      <c r="E16">
        <v>9369961.538461538</v>
      </c>
      <c r="F16">
        <v>62.5</v>
      </c>
      <c r="G16">
        <v>37.5</v>
      </c>
    </row>
    <row r="17" spans="1:7" x14ac:dyDescent="0.3">
      <c r="A17" s="12"/>
      <c r="B17" t="s">
        <v>55</v>
      </c>
      <c r="C17">
        <v>21</v>
      </c>
      <c r="D17">
        <v>81139000</v>
      </c>
      <c r="E17">
        <v>3863761.9047619049</v>
      </c>
      <c r="F17">
        <v>71.428571428571431</v>
      </c>
      <c r="G17">
        <v>28.571428571428569</v>
      </c>
    </row>
    <row r="18" spans="1:7" x14ac:dyDescent="0.3">
      <c r="A18" s="12"/>
      <c r="B18" t="s">
        <v>56</v>
      </c>
      <c r="C18">
        <v>20</v>
      </c>
      <c r="D18">
        <v>274908000</v>
      </c>
      <c r="E18">
        <v>13745400</v>
      </c>
    </row>
    <row r="19" spans="1:7" x14ac:dyDescent="0.3">
      <c r="A19" s="12"/>
      <c r="B19" t="s">
        <v>57</v>
      </c>
      <c r="C19">
        <v>28</v>
      </c>
      <c r="D19">
        <v>52083000</v>
      </c>
      <c r="E19">
        <v>1860107.142857143</v>
      </c>
      <c r="F19">
        <v>76</v>
      </c>
      <c r="G19">
        <v>24</v>
      </c>
    </row>
    <row r="20" spans="1:7" x14ac:dyDescent="0.3">
      <c r="A20" s="12"/>
      <c r="B20" t="s">
        <v>58</v>
      </c>
      <c r="C20">
        <v>19</v>
      </c>
      <c r="D20">
        <v>106264000</v>
      </c>
      <c r="E20">
        <v>5592842.1052631577</v>
      </c>
    </row>
    <row r="21" spans="1:7" x14ac:dyDescent="0.3">
      <c r="A21" s="12"/>
      <c r="B21" t="s">
        <v>59</v>
      </c>
      <c r="C21">
        <v>25</v>
      </c>
      <c r="D21">
        <v>87132000</v>
      </c>
      <c r="E21">
        <v>3485280</v>
      </c>
      <c r="F21">
        <v>64</v>
      </c>
      <c r="G21">
        <v>36</v>
      </c>
    </row>
    <row r="22" spans="1:7" x14ac:dyDescent="0.3">
      <c r="A22" s="12"/>
      <c r="B22" t="s">
        <v>60</v>
      </c>
      <c r="C22">
        <v>34</v>
      </c>
      <c r="D22">
        <v>246563000</v>
      </c>
      <c r="E22">
        <v>7251852.9411764704</v>
      </c>
      <c r="F22">
        <v>76.470588235294116</v>
      </c>
      <c r="G22">
        <v>23.52941176470588</v>
      </c>
    </row>
    <row r="23" spans="1:7" x14ac:dyDescent="0.3">
      <c r="A23" s="12"/>
      <c r="B23" t="s">
        <v>61</v>
      </c>
      <c r="C23">
        <v>21</v>
      </c>
      <c r="D23">
        <v>79486000</v>
      </c>
      <c r="E23">
        <v>3785047.6190476189</v>
      </c>
      <c r="F23">
        <v>70</v>
      </c>
      <c r="G23">
        <v>30</v>
      </c>
    </row>
    <row r="24" spans="1:7" x14ac:dyDescent="0.3">
      <c r="A24" s="12"/>
      <c r="B24" t="s">
        <v>62</v>
      </c>
      <c r="C24">
        <v>15</v>
      </c>
      <c r="D24">
        <v>149237000</v>
      </c>
      <c r="E24">
        <v>9949133.333333334</v>
      </c>
    </row>
    <row r="25" spans="1:7" x14ac:dyDescent="0.3">
      <c r="A25" s="12"/>
      <c r="B25" t="s">
        <v>63</v>
      </c>
      <c r="C25">
        <v>22</v>
      </c>
      <c r="D25">
        <v>86771000</v>
      </c>
      <c r="E25">
        <v>3944136.3636363642</v>
      </c>
      <c r="F25">
        <v>72.727272727272734</v>
      </c>
      <c r="G25">
        <v>27.27272727272727</v>
      </c>
    </row>
    <row r="26" spans="1:7" x14ac:dyDescent="0.3">
      <c r="A26" s="12" t="s">
        <v>33</v>
      </c>
      <c r="B26" t="s">
        <v>52</v>
      </c>
      <c r="C26">
        <v>16</v>
      </c>
      <c r="D26">
        <v>147181000</v>
      </c>
      <c r="E26">
        <v>9198812.5</v>
      </c>
    </row>
    <row r="27" spans="1:7" x14ac:dyDescent="0.3">
      <c r="A27" s="12"/>
      <c r="B27" t="s">
        <v>53</v>
      </c>
      <c r="C27">
        <v>27</v>
      </c>
      <c r="D27">
        <v>220318000</v>
      </c>
      <c r="E27">
        <v>8159925.9259259263</v>
      </c>
      <c r="F27">
        <v>76.92307692307692</v>
      </c>
      <c r="G27">
        <v>23.07692307692308</v>
      </c>
    </row>
    <row r="28" spans="1:7" x14ac:dyDescent="0.3">
      <c r="A28" s="12"/>
      <c r="B28" t="s">
        <v>54</v>
      </c>
      <c r="C28">
        <v>24</v>
      </c>
      <c r="D28">
        <v>296017000</v>
      </c>
      <c r="E28">
        <v>12334041.66666667</v>
      </c>
      <c r="F28">
        <v>56.521739130434781</v>
      </c>
      <c r="G28">
        <v>43.478260869565219</v>
      </c>
    </row>
    <row r="29" spans="1:7" x14ac:dyDescent="0.3">
      <c r="A29" s="12"/>
      <c r="B29" t="s">
        <v>55</v>
      </c>
      <c r="C29">
        <v>27</v>
      </c>
      <c r="D29">
        <v>245264000</v>
      </c>
      <c r="E29">
        <v>9083851.8518518526</v>
      </c>
      <c r="F29">
        <v>73.07692307692308</v>
      </c>
      <c r="G29">
        <v>26.92307692307692</v>
      </c>
    </row>
    <row r="30" spans="1:7" x14ac:dyDescent="0.3">
      <c r="A30" s="12"/>
      <c r="B30" t="s">
        <v>56</v>
      </c>
      <c r="C30">
        <v>27</v>
      </c>
      <c r="D30">
        <v>502526000</v>
      </c>
      <c r="E30">
        <v>18612074.074074071</v>
      </c>
      <c r="F30">
        <v>62.962962962962962</v>
      </c>
      <c r="G30">
        <v>37.037037037037038</v>
      </c>
    </row>
    <row r="31" spans="1:7" x14ac:dyDescent="0.3">
      <c r="A31" s="12"/>
      <c r="B31" t="s">
        <v>57</v>
      </c>
      <c r="C31">
        <v>25</v>
      </c>
      <c r="D31">
        <v>194714000</v>
      </c>
      <c r="E31">
        <v>7788560</v>
      </c>
      <c r="F31">
        <v>72</v>
      </c>
      <c r="G31">
        <v>28</v>
      </c>
    </row>
    <row r="32" spans="1:7" x14ac:dyDescent="0.3">
      <c r="A32" s="12"/>
      <c r="B32" t="s">
        <v>58</v>
      </c>
      <c r="C32">
        <v>23</v>
      </c>
      <c r="D32">
        <v>235198000</v>
      </c>
      <c r="E32">
        <v>10226000</v>
      </c>
      <c r="F32">
        <v>81.818181818181813</v>
      </c>
      <c r="G32">
        <v>18.18181818181818</v>
      </c>
    </row>
    <row r="33" spans="1:7" x14ac:dyDescent="0.3">
      <c r="A33" s="12"/>
      <c r="B33" t="s">
        <v>59</v>
      </c>
      <c r="C33">
        <v>15</v>
      </c>
      <c r="D33">
        <v>110319000</v>
      </c>
      <c r="E33">
        <v>7354600</v>
      </c>
    </row>
    <row r="34" spans="1:7" x14ac:dyDescent="0.3">
      <c r="A34" s="12"/>
      <c r="B34" t="s">
        <v>60</v>
      </c>
      <c r="C34">
        <v>16</v>
      </c>
      <c r="D34">
        <v>36832000</v>
      </c>
      <c r="E34">
        <v>2302000</v>
      </c>
    </row>
    <row r="35" spans="1:7" x14ac:dyDescent="0.3">
      <c r="A35" s="12"/>
      <c r="B35" t="s">
        <v>61</v>
      </c>
      <c r="C35">
        <v>22</v>
      </c>
      <c r="D35">
        <v>201502000</v>
      </c>
      <c r="E35">
        <v>9159181.8181818184</v>
      </c>
    </row>
    <row r="36" spans="1:7" x14ac:dyDescent="0.3">
      <c r="A36" s="12"/>
      <c r="B36" t="s">
        <v>62</v>
      </c>
      <c r="C36">
        <v>18</v>
      </c>
      <c r="D36">
        <v>66219000</v>
      </c>
      <c r="E36">
        <v>3678833.333333333</v>
      </c>
    </row>
    <row r="37" spans="1:7" x14ac:dyDescent="0.3">
      <c r="A37" s="12"/>
      <c r="B37" t="s">
        <v>63</v>
      </c>
      <c r="C37">
        <v>16</v>
      </c>
      <c r="D37">
        <v>68530000</v>
      </c>
      <c r="E37">
        <v>4283125</v>
      </c>
    </row>
    <row r="38" spans="1:7" x14ac:dyDescent="0.3">
      <c r="A38" s="12" t="s">
        <v>34</v>
      </c>
      <c r="B38" t="s">
        <v>52</v>
      </c>
      <c r="C38">
        <v>48</v>
      </c>
      <c r="D38">
        <v>236970000</v>
      </c>
      <c r="E38">
        <v>4936875</v>
      </c>
      <c r="F38">
        <v>63.829787234042549</v>
      </c>
      <c r="G38">
        <v>36.170212765957451</v>
      </c>
    </row>
    <row r="39" spans="1:7" x14ac:dyDescent="0.3">
      <c r="A39" s="12"/>
      <c r="B39" t="s">
        <v>53</v>
      </c>
      <c r="C39">
        <v>38</v>
      </c>
      <c r="D39">
        <v>228582000</v>
      </c>
      <c r="E39">
        <v>6177891.8918918921</v>
      </c>
      <c r="F39">
        <v>81.081081081081081</v>
      </c>
      <c r="G39">
        <v>18.918918918918919</v>
      </c>
    </row>
    <row r="40" spans="1:7" x14ac:dyDescent="0.3">
      <c r="A40" s="12"/>
      <c r="B40" t="s">
        <v>54</v>
      </c>
      <c r="C40">
        <v>45</v>
      </c>
      <c r="D40">
        <v>316704000</v>
      </c>
      <c r="E40">
        <v>7037866.666666667</v>
      </c>
      <c r="F40">
        <v>63.636363636363633</v>
      </c>
      <c r="G40">
        <v>36.363636363636367</v>
      </c>
    </row>
    <row r="41" spans="1:7" x14ac:dyDescent="0.3">
      <c r="A41" s="12"/>
      <c r="B41" t="s">
        <v>55</v>
      </c>
      <c r="C41">
        <v>46</v>
      </c>
      <c r="D41">
        <v>122465000</v>
      </c>
      <c r="E41">
        <v>2662282.6086956519</v>
      </c>
      <c r="F41">
        <v>75</v>
      </c>
      <c r="G41">
        <v>25</v>
      </c>
    </row>
    <row r="42" spans="1:7" x14ac:dyDescent="0.3">
      <c r="A42" s="12"/>
      <c r="B42" t="s">
        <v>56</v>
      </c>
      <c r="C42">
        <v>44</v>
      </c>
      <c r="D42">
        <v>562822000</v>
      </c>
      <c r="E42">
        <v>12791409.09090909</v>
      </c>
      <c r="F42">
        <v>67.441860465116278</v>
      </c>
      <c r="G42">
        <v>32.558139534883722</v>
      </c>
    </row>
    <row r="43" spans="1:7" x14ac:dyDescent="0.3">
      <c r="A43" s="12"/>
      <c r="B43" t="s">
        <v>57</v>
      </c>
      <c r="C43">
        <v>39</v>
      </c>
      <c r="D43">
        <v>150030000</v>
      </c>
      <c r="E43">
        <v>3846923.076923077</v>
      </c>
      <c r="F43">
        <v>82.051282051282044</v>
      </c>
      <c r="G43">
        <v>17.948717948717949</v>
      </c>
    </row>
    <row r="44" spans="1:7" x14ac:dyDescent="0.3">
      <c r="A44" s="12"/>
      <c r="B44" t="s">
        <v>58</v>
      </c>
      <c r="C44">
        <v>61</v>
      </c>
      <c r="D44">
        <v>213214000</v>
      </c>
      <c r="E44">
        <v>3495311.475409836</v>
      </c>
      <c r="F44">
        <v>69.491525423728817</v>
      </c>
      <c r="G44">
        <v>30.50847457627119</v>
      </c>
    </row>
    <row r="45" spans="1:7" x14ac:dyDescent="0.3">
      <c r="A45" s="12"/>
      <c r="B45" t="s">
        <v>59</v>
      </c>
      <c r="C45">
        <v>50</v>
      </c>
      <c r="D45">
        <v>313224000</v>
      </c>
      <c r="E45">
        <v>6264480</v>
      </c>
      <c r="F45">
        <v>67.34693877551021</v>
      </c>
      <c r="G45">
        <v>32.653061224489797</v>
      </c>
    </row>
    <row r="46" spans="1:7" x14ac:dyDescent="0.3">
      <c r="A46" s="12"/>
      <c r="B46" t="s">
        <v>60</v>
      </c>
      <c r="C46">
        <v>40</v>
      </c>
      <c r="D46">
        <v>348219000</v>
      </c>
      <c r="E46">
        <v>8705475</v>
      </c>
      <c r="F46">
        <v>79.487179487179489</v>
      </c>
      <c r="G46">
        <v>20.512820512820511</v>
      </c>
    </row>
    <row r="47" spans="1:7" x14ac:dyDescent="0.3">
      <c r="A47" s="12"/>
      <c r="B47" t="s">
        <v>61</v>
      </c>
      <c r="C47">
        <v>51</v>
      </c>
      <c r="D47">
        <v>109473000</v>
      </c>
      <c r="E47">
        <v>2146529.411764706</v>
      </c>
      <c r="F47">
        <v>75.510204081632651</v>
      </c>
      <c r="G47">
        <v>24.489795918367349</v>
      </c>
    </row>
    <row r="48" spans="1:7" x14ac:dyDescent="0.3">
      <c r="A48" s="12"/>
      <c r="B48" t="s">
        <v>62</v>
      </c>
      <c r="C48">
        <v>51</v>
      </c>
      <c r="D48">
        <v>493424000</v>
      </c>
      <c r="E48">
        <v>9674980.3921568636</v>
      </c>
      <c r="F48">
        <v>64.583333333333329</v>
      </c>
      <c r="G48">
        <v>35.416666666666671</v>
      </c>
    </row>
    <row r="49" spans="1:7" x14ac:dyDescent="0.3">
      <c r="A49" s="12"/>
      <c r="B49" t="s">
        <v>63</v>
      </c>
      <c r="C49">
        <v>53</v>
      </c>
      <c r="D49">
        <v>283956000</v>
      </c>
      <c r="E49">
        <v>5357660.3773584906</v>
      </c>
      <c r="F49">
        <v>73.07692307692308</v>
      </c>
      <c r="G49">
        <v>26.92307692307692</v>
      </c>
    </row>
  </sheetData>
  <mergeCells count="4">
    <mergeCell ref="A38:A49"/>
    <mergeCell ref="A26:A37"/>
    <mergeCell ref="A14:A25"/>
    <mergeCell ref="A2:A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workbookViewId="0"/>
  </sheetViews>
  <sheetFormatPr defaultRowHeight="14.4" x14ac:dyDescent="0.3"/>
  <sheetData>
    <row r="1" spans="1:9" x14ac:dyDescent="0.3">
      <c r="A1" t="s">
        <v>64</v>
      </c>
      <c r="B1" t="s">
        <v>65</v>
      </c>
      <c r="C1" t="s">
        <v>66</v>
      </c>
      <c r="D1" t="s">
        <v>67</v>
      </c>
      <c r="E1" t="s">
        <v>68</v>
      </c>
      <c r="F1" t="s">
        <v>69</v>
      </c>
      <c r="G1" t="s">
        <v>70</v>
      </c>
      <c r="H1" t="s">
        <v>71</v>
      </c>
      <c r="I1" t="s">
        <v>72</v>
      </c>
    </row>
    <row r="2" spans="1:9" x14ac:dyDescent="0.3">
      <c r="A2" s="1">
        <v>46023</v>
      </c>
      <c r="B2">
        <v>255</v>
      </c>
      <c r="C2">
        <v>71.774193548387103</v>
      </c>
      <c r="D2">
        <v>28.2258064516129</v>
      </c>
      <c r="E2">
        <v>1.357142857142857</v>
      </c>
      <c r="F2">
        <v>1671320000</v>
      </c>
      <c r="G2">
        <v>6606007.9051383398</v>
      </c>
      <c r="H2">
        <v>5</v>
      </c>
      <c r="I2">
        <v>1.9607843137254899</v>
      </c>
    </row>
    <row r="3" spans="1:9" x14ac:dyDescent="0.3">
      <c r="A3" s="1">
        <v>46054</v>
      </c>
      <c r="B3">
        <v>209</v>
      </c>
      <c r="C3">
        <v>67.171717171717177</v>
      </c>
      <c r="D3">
        <v>32.828282828282823</v>
      </c>
      <c r="E3">
        <v>1.3538461538461539</v>
      </c>
      <c r="F3">
        <v>1375881000</v>
      </c>
      <c r="G3">
        <v>6583162.6794258365</v>
      </c>
      <c r="H3">
        <v>6</v>
      </c>
      <c r="I3">
        <v>2.870813397129186</v>
      </c>
    </row>
    <row r="4" spans="1:9" x14ac:dyDescent="0.3">
      <c r="A4" s="1">
        <v>46082</v>
      </c>
      <c r="B4">
        <v>237</v>
      </c>
      <c r="C4">
        <v>70.044052863436121</v>
      </c>
      <c r="D4">
        <v>29.955947136563879</v>
      </c>
      <c r="E4">
        <v>1.382352941176471</v>
      </c>
      <c r="F4">
        <v>1487079000</v>
      </c>
      <c r="G4">
        <v>6274594.936708861</v>
      </c>
      <c r="H4">
        <v>3</v>
      </c>
      <c r="I4">
        <v>1.2658227848101271</v>
      </c>
    </row>
    <row r="5" spans="1:9" x14ac:dyDescent="0.3">
      <c r="A5" s="1">
        <v>46113</v>
      </c>
      <c r="B5">
        <v>251</v>
      </c>
      <c r="C5">
        <v>69.262295081967224</v>
      </c>
      <c r="D5">
        <v>30.737704918032779</v>
      </c>
      <c r="E5">
        <v>1.3466666666666669</v>
      </c>
      <c r="F5">
        <v>1729494000</v>
      </c>
      <c r="G5">
        <v>6890414.342629482</v>
      </c>
      <c r="H5">
        <v>3</v>
      </c>
      <c r="I5">
        <v>1.1952191235059759</v>
      </c>
    </row>
    <row r="6" spans="1:9" x14ac:dyDescent="0.3">
      <c r="A6" s="1">
        <v>46143</v>
      </c>
      <c r="B6">
        <v>261</v>
      </c>
      <c r="C6">
        <v>70.517928286852595</v>
      </c>
      <c r="D6">
        <v>29.482071713147409</v>
      </c>
      <c r="E6">
        <v>1.27027027027027</v>
      </c>
      <c r="F6">
        <v>1698082000</v>
      </c>
      <c r="G6">
        <v>6506061.3026819928</v>
      </c>
      <c r="H6">
        <v>5</v>
      </c>
      <c r="I6">
        <v>1.9157088122605359</v>
      </c>
    </row>
    <row r="7" spans="1:9" x14ac:dyDescent="0.3">
      <c r="A7" s="1">
        <v>46174</v>
      </c>
      <c r="B7">
        <v>248</v>
      </c>
      <c r="C7">
        <v>71.074380165289256</v>
      </c>
      <c r="D7">
        <v>28.925619834710741</v>
      </c>
      <c r="E7">
        <v>1.371428571428571</v>
      </c>
      <c r="F7">
        <v>1515865000</v>
      </c>
      <c r="G7">
        <v>6112358.8709677421</v>
      </c>
      <c r="H7">
        <v>5</v>
      </c>
      <c r="I7">
        <v>2.0161290322580649</v>
      </c>
    </row>
    <row r="8" spans="1:9" x14ac:dyDescent="0.3">
      <c r="A8" s="1">
        <v>46204</v>
      </c>
      <c r="B8">
        <v>9</v>
      </c>
      <c r="C8">
        <v>55.555555555555557</v>
      </c>
      <c r="D8">
        <v>44.444444444444443</v>
      </c>
      <c r="E8">
        <v>1.5</v>
      </c>
      <c r="F8">
        <v>51074000</v>
      </c>
      <c r="G8">
        <v>5674888.888888889</v>
      </c>
      <c r="H8">
        <v>0</v>
      </c>
      <c r="I8">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heetViews>
  <sheetFormatPr defaultRowHeight="14.4" x14ac:dyDescent="0.3"/>
  <sheetData>
    <row r="1" spans="1:3" x14ac:dyDescent="0.3">
      <c r="A1" t="s">
        <v>73</v>
      </c>
      <c r="B1" t="s">
        <v>74</v>
      </c>
      <c r="C1" t="s">
        <v>75</v>
      </c>
    </row>
    <row r="2" spans="1:3" x14ac:dyDescent="0.3">
      <c r="A2" t="s">
        <v>76</v>
      </c>
      <c r="B2">
        <v>16</v>
      </c>
      <c r="C2">
        <v>1.08843537414966</v>
      </c>
    </row>
    <row r="3" spans="1:3" x14ac:dyDescent="0.3">
      <c r="A3" t="s">
        <v>77</v>
      </c>
      <c r="B3">
        <v>6</v>
      </c>
      <c r="C3">
        <v>0.40816326530612251</v>
      </c>
    </row>
    <row r="4" spans="1:3" x14ac:dyDescent="0.3">
      <c r="A4" t="s">
        <v>78</v>
      </c>
      <c r="B4">
        <v>4</v>
      </c>
      <c r="C4">
        <v>0.27210884353741488</v>
      </c>
    </row>
    <row r="5" spans="1:3" x14ac:dyDescent="0.3">
      <c r="A5" t="s">
        <v>79</v>
      </c>
      <c r="B5">
        <v>1</v>
      </c>
      <c r="C5">
        <v>6.8027210884353734E-2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471"/>
  <sheetViews>
    <sheetView workbookViewId="0">
      <selection activeCell="A1448" sqref="A1448"/>
    </sheetView>
  </sheetViews>
  <sheetFormatPr defaultRowHeight="14.4" x14ac:dyDescent="0.3"/>
  <sheetData>
    <row r="1" spans="1:21" x14ac:dyDescent="0.3">
      <c r="A1" t="s">
        <v>80</v>
      </c>
      <c r="B1" t="s">
        <v>81</v>
      </c>
      <c r="C1" t="s">
        <v>82</v>
      </c>
      <c r="D1" t="s">
        <v>83</v>
      </c>
      <c r="E1" t="s">
        <v>84</v>
      </c>
      <c r="F1" t="s">
        <v>25</v>
      </c>
      <c r="G1" t="s">
        <v>85</v>
      </c>
      <c r="H1" t="s">
        <v>14</v>
      </c>
      <c r="I1" t="s">
        <v>86</v>
      </c>
      <c r="J1" t="s">
        <v>87</v>
      </c>
      <c r="K1" t="s">
        <v>88</v>
      </c>
      <c r="L1" t="s">
        <v>89</v>
      </c>
      <c r="M1" t="s">
        <v>76</v>
      </c>
      <c r="N1" t="s">
        <v>77</v>
      </c>
      <c r="O1" t="s">
        <v>90</v>
      </c>
      <c r="P1" t="s">
        <v>78</v>
      </c>
      <c r="Q1" t="s">
        <v>79</v>
      </c>
      <c r="R1" t="s">
        <v>91</v>
      </c>
      <c r="S1" t="s">
        <v>92</v>
      </c>
      <c r="T1" t="s">
        <v>93</v>
      </c>
      <c r="U1" t="s">
        <v>94</v>
      </c>
    </row>
    <row r="2" spans="1:21" x14ac:dyDescent="0.3">
      <c r="A2" t="s">
        <v>95</v>
      </c>
      <c r="B2" s="1">
        <v>46203</v>
      </c>
      <c r="C2" s="1">
        <v>46204</v>
      </c>
      <c r="D2" s="1">
        <v>46207</v>
      </c>
      <c r="E2" s="1">
        <v>46207</v>
      </c>
      <c r="F2" t="s">
        <v>32</v>
      </c>
      <c r="G2" t="s">
        <v>52</v>
      </c>
      <c r="H2" t="s">
        <v>23</v>
      </c>
      <c r="I2" t="s">
        <v>44</v>
      </c>
      <c r="J2">
        <v>319.3</v>
      </c>
      <c r="K2">
        <v>169.4</v>
      </c>
      <c r="L2">
        <v>3656000</v>
      </c>
      <c r="M2" t="b">
        <v>0</v>
      </c>
      <c r="N2" t="b">
        <v>0</v>
      </c>
      <c r="O2">
        <v>1500</v>
      </c>
      <c r="P2" t="b">
        <v>0</v>
      </c>
      <c r="Q2" t="b">
        <v>0</v>
      </c>
      <c r="R2" t="b">
        <v>0</v>
      </c>
      <c r="S2" t="s">
        <v>96</v>
      </c>
      <c r="T2" t="s">
        <v>97</v>
      </c>
    </row>
    <row r="3" spans="1:21" x14ac:dyDescent="0.3">
      <c r="A3" t="s">
        <v>98</v>
      </c>
      <c r="B3" s="1">
        <v>46197</v>
      </c>
      <c r="C3" s="1">
        <v>46198</v>
      </c>
      <c r="D3" s="1">
        <v>46200</v>
      </c>
      <c r="E3" s="1">
        <v>46200</v>
      </c>
      <c r="F3" t="s">
        <v>32</v>
      </c>
      <c r="G3" t="s">
        <v>53</v>
      </c>
      <c r="H3" t="s">
        <v>24</v>
      </c>
      <c r="I3" t="s">
        <v>43</v>
      </c>
      <c r="J3">
        <v>281.60000000000002</v>
      </c>
      <c r="K3">
        <v>3274.1</v>
      </c>
      <c r="L3">
        <v>4799000</v>
      </c>
      <c r="M3" t="b">
        <v>0</v>
      </c>
      <c r="N3" t="b">
        <v>0</v>
      </c>
      <c r="O3">
        <v>5000</v>
      </c>
      <c r="P3" t="b">
        <v>0</v>
      </c>
      <c r="Q3" t="b">
        <v>0</v>
      </c>
      <c r="R3" t="b">
        <v>0</v>
      </c>
      <c r="S3" t="s">
        <v>96</v>
      </c>
      <c r="T3" t="s">
        <v>99</v>
      </c>
    </row>
    <row r="4" spans="1:21" x14ac:dyDescent="0.3">
      <c r="A4" t="s">
        <v>100</v>
      </c>
      <c r="B4" s="1">
        <v>46161</v>
      </c>
      <c r="C4" s="1">
        <v>46162</v>
      </c>
      <c r="D4" s="1">
        <v>46166</v>
      </c>
      <c r="E4" s="1">
        <v>46167</v>
      </c>
      <c r="F4" t="s">
        <v>34</v>
      </c>
      <c r="G4" t="s">
        <v>63</v>
      </c>
      <c r="H4" t="s">
        <v>22</v>
      </c>
      <c r="I4" t="s">
        <v>43</v>
      </c>
      <c r="J4">
        <v>329.3</v>
      </c>
      <c r="K4">
        <v>757.5</v>
      </c>
      <c r="L4">
        <v>5485000</v>
      </c>
      <c r="M4" t="b">
        <v>0</v>
      </c>
      <c r="N4" t="b">
        <v>0</v>
      </c>
      <c r="O4">
        <v>5000</v>
      </c>
      <c r="P4" t="b">
        <v>0</v>
      </c>
      <c r="Q4" t="b">
        <v>0</v>
      </c>
      <c r="R4" t="b">
        <v>0</v>
      </c>
      <c r="S4" t="s">
        <v>101</v>
      </c>
      <c r="T4" t="s">
        <v>102</v>
      </c>
      <c r="U4">
        <v>1</v>
      </c>
    </row>
    <row r="5" spans="1:21" x14ac:dyDescent="0.3">
      <c r="A5" t="s">
        <v>103</v>
      </c>
      <c r="B5" s="1">
        <v>46046</v>
      </c>
      <c r="C5" s="1">
        <v>46048</v>
      </c>
      <c r="D5" s="1">
        <v>46052</v>
      </c>
      <c r="E5" s="1">
        <v>46053</v>
      </c>
      <c r="F5" t="s">
        <v>31</v>
      </c>
      <c r="G5" t="s">
        <v>56</v>
      </c>
      <c r="H5" t="s">
        <v>23</v>
      </c>
      <c r="I5" t="s">
        <v>43</v>
      </c>
      <c r="J5">
        <v>918.5</v>
      </c>
      <c r="K5">
        <v>952.2</v>
      </c>
      <c r="L5">
        <v>12727000</v>
      </c>
      <c r="M5" t="b">
        <v>0</v>
      </c>
      <c r="N5" t="b">
        <v>0</v>
      </c>
      <c r="O5">
        <v>5000</v>
      </c>
      <c r="P5" t="b">
        <v>0</v>
      </c>
      <c r="Q5" t="b">
        <v>0</v>
      </c>
      <c r="R5" t="b">
        <v>0</v>
      </c>
      <c r="S5" t="s">
        <v>101</v>
      </c>
      <c r="T5" t="s">
        <v>104</v>
      </c>
      <c r="U5">
        <v>1</v>
      </c>
    </row>
    <row r="6" spans="1:21" x14ac:dyDescent="0.3">
      <c r="A6" t="s">
        <v>105</v>
      </c>
      <c r="B6" s="1">
        <v>46190</v>
      </c>
      <c r="C6" s="1">
        <v>46192</v>
      </c>
      <c r="D6" s="1">
        <v>46196</v>
      </c>
      <c r="E6" s="1">
        <v>46196</v>
      </c>
      <c r="F6" t="s">
        <v>31</v>
      </c>
      <c r="G6" t="s">
        <v>62</v>
      </c>
      <c r="H6" t="s">
        <v>21</v>
      </c>
      <c r="I6" t="s">
        <v>42</v>
      </c>
      <c r="J6">
        <v>731.9</v>
      </c>
      <c r="K6">
        <v>3685.3</v>
      </c>
      <c r="L6">
        <v>13013000</v>
      </c>
      <c r="M6" t="b">
        <v>0</v>
      </c>
      <c r="N6" t="b">
        <v>0</v>
      </c>
      <c r="O6">
        <v>16000</v>
      </c>
      <c r="P6" t="b">
        <v>0</v>
      </c>
      <c r="Q6" t="b">
        <v>0</v>
      </c>
      <c r="R6" t="b">
        <v>0</v>
      </c>
      <c r="S6" t="s">
        <v>96</v>
      </c>
      <c r="T6" t="s">
        <v>99</v>
      </c>
    </row>
    <row r="7" spans="1:21" x14ac:dyDescent="0.3">
      <c r="A7" t="s">
        <v>106</v>
      </c>
      <c r="B7" s="1">
        <v>46190</v>
      </c>
      <c r="C7" s="1">
        <v>46191</v>
      </c>
      <c r="D7" s="1">
        <v>46194</v>
      </c>
      <c r="E7" s="1">
        <v>46194</v>
      </c>
      <c r="F7" t="s">
        <v>34</v>
      </c>
      <c r="G7" t="s">
        <v>59</v>
      </c>
      <c r="H7" t="s">
        <v>107</v>
      </c>
      <c r="I7" t="s">
        <v>42</v>
      </c>
      <c r="J7">
        <v>328.3</v>
      </c>
      <c r="K7">
        <v>10157.700000000001</v>
      </c>
      <c r="L7">
        <v>9514000</v>
      </c>
      <c r="M7" t="b">
        <v>0</v>
      </c>
      <c r="N7" t="b">
        <v>0</v>
      </c>
      <c r="O7">
        <v>16000</v>
      </c>
      <c r="P7" t="b">
        <v>0</v>
      </c>
      <c r="Q7" t="b">
        <v>0</v>
      </c>
      <c r="R7" t="b">
        <v>0</v>
      </c>
      <c r="S7" t="s">
        <v>96</v>
      </c>
      <c r="T7" t="s">
        <v>99</v>
      </c>
    </row>
    <row r="8" spans="1:21" x14ac:dyDescent="0.3">
      <c r="A8" t="s">
        <v>108</v>
      </c>
      <c r="B8" s="1">
        <v>46150</v>
      </c>
      <c r="C8" s="1">
        <v>46151</v>
      </c>
      <c r="D8" s="1">
        <v>46153</v>
      </c>
      <c r="E8" s="1">
        <v>46155</v>
      </c>
      <c r="F8" t="s">
        <v>31</v>
      </c>
      <c r="G8" t="s">
        <v>57</v>
      </c>
      <c r="H8" t="s">
        <v>23</v>
      </c>
      <c r="I8" t="s">
        <v>44</v>
      </c>
      <c r="J8">
        <v>128.1</v>
      </c>
      <c r="K8">
        <v>942.5</v>
      </c>
      <c r="L8">
        <v>2198000</v>
      </c>
      <c r="M8" t="b">
        <v>0</v>
      </c>
      <c r="N8" t="b">
        <v>0</v>
      </c>
      <c r="O8">
        <v>1500</v>
      </c>
      <c r="P8" t="b">
        <v>0</v>
      </c>
      <c r="Q8" t="b">
        <v>0</v>
      </c>
      <c r="R8" t="b">
        <v>0</v>
      </c>
      <c r="S8" t="s">
        <v>101</v>
      </c>
      <c r="T8" t="s">
        <v>102</v>
      </c>
      <c r="U8">
        <v>2</v>
      </c>
    </row>
    <row r="9" spans="1:21" x14ac:dyDescent="0.3">
      <c r="A9" t="s">
        <v>109</v>
      </c>
      <c r="B9" s="1">
        <v>46161</v>
      </c>
      <c r="C9" s="1">
        <v>46162</v>
      </c>
      <c r="D9" s="1">
        <v>46164</v>
      </c>
      <c r="E9" s="1">
        <v>46164</v>
      </c>
      <c r="F9" t="s">
        <v>31</v>
      </c>
      <c r="G9" t="s">
        <v>52</v>
      </c>
      <c r="H9" t="s">
        <v>20</v>
      </c>
      <c r="I9" t="s">
        <v>45</v>
      </c>
      <c r="J9">
        <v>274.60000000000002</v>
      </c>
      <c r="K9">
        <v>192.3</v>
      </c>
      <c r="L9">
        <v>2690000</v>
      </c>
      <c r="M9" t="b">
        <v>0</v>
      </c>
      <c r="N9" t="b">
        <v>0</v>
      </c>
      <c r="O9">
        <v>1000</v>
      </c>
      <c r="P9" t="b">
        <v>0</v>
      </c>
      <c r="Q9" t="b">
        <v>0</v>
      </c>
      <c r="R9" t="b">
        <v>0</v>
      </c>
      <c r="S9" t="s">
        <v>96</v>
      </c>
      <c r="T9" t="s">
        <v>102</v>
      </c>
    </row>
    <row r="10" spans="1:21" x14ac:dyDescent="0.3">
      <c r="A10" t="s">
        <v>110</v>
      </c>
      <c r="B10" s="1">
        <v>46191</v>
      </c>
      <c r="C10" s="1">
        <v>46193</v>
      </c>
      <c r="D10" s="1">
        <v>46196</v>
      </c>
      <c r="E10" s="1">
        <v>46196</v>
      </c>
      <c r="F10" t="s">
        <v>34</v>
      </c>
      <c r="G10" t="s">
        <v>63</v>
      </c>
      <c r="H10" t="s">
        <v>22</v>
      </c>
      <c r="I10" t="s">
        <v>45</v>
      </c>
      <c r="J10">
        <v>341.7</v>
      </c>
      <c r="K10">
        <v>140.6</v>
      </c>
      <c r="L10">
        <v>2662000</v>
      </c>
      <c r="M10" t="b">
        <v>0</v>
      </c>
      <c r="N10" t="b">
        <v>0</v>
      </c>
      <c r="O10">
        <v>1000</v>
      </c>
      <c r="P10" t="b">
        <v>0</v>
      </c>
      <c r="Q10" t="b">
        <v>0</v>
      </c>
      <c r="R10" t="b">
        <v>0</v>
      </c>
      <c r="S10" t="s">
        <v>96</v>
      </c>
      <c r="T10" t="s">
        <v>99</v>
      </c>
    </row>
    <row r="11" spans="1:21" x14ac:dyDescent="0.3">
      <c r="A11" t="s">
        <v>111</v>
      </c>
      <c r="B11" s="1">
        <v>46129</v>
      </c>
      <c r="C11" s="1">
        <v>46130</v>
      </c>
      <c r="D11" s="1">
        <v>46132</v>
      </c>
      <c r="E11" s="1">
        <v>46132</v>
      </c>
      <c r="F11" t="s">
        <v>32</v>
      </c>
      <c r="G11" t="s">
        <v>59</v>
      </c>
      <c r="H11" t="s">
        <v>24</v>
      </c>
      <c r="I11" t="s">
        <v>44</v>
      </c>
      <c r="J11">
        <v>186.8</v>
      </c>
      <c r="K11">
        <v>711.4</v>
      </c>
      <c r="L11">
        <v>2404000</v>
      </c>
      <c r="M11" t="b">
        <v>0</v>
      </c>
      <c r="N11" t="b">
        <v>0</v>
      </c>
      <c r="O11">
        <v>1500</v>
      </c>
      <c r="P11" t="b">
        <v>0</v>
      </c>
      <c r="Q11" t="b">
        <v>0</v>
      </c>
      <c r="R11" t="b">
        <v>0</v>
      </c>
      <c r="S11" t="s">
        <v>96</v>
      </c>
      <c r="T11" t="s">
        <v>112</v>
      </c>
    </row>
    <row r="12" spans="1:21" x14ac:dyDescent="0.3">
      <c r="A12" t="s">
        <v>113</v>
      </c>
      <c r="B12" s="1">
        <v>46025</v>
      </c>
      <c r="C12" s="1">
        <v>46026</v>
      </c>
      <c r="D12" s="1">
        <v>46028</v>
      </c>
      <c r="E12" s="1">
        <v>46028</v>
      </c>
      <c r="F12" t="s">
        <v>34</v>
      </c>
      <c r="G12" t="s">
        <v>57</v>
      </c>
      <c r="H12" t="s">
        <v>24</v>
      </c>
      <c r="I12" t="s">
        <v>44</v>
      </c>
      <c r="J12">
        <v>151.80000000000001</v>
      </c>
      <c r="K12">
        <v>180.3</v>
      </c>
      <c r="L12">
        <v>1937000</v>
      </c>
      <c r="M12" t="b">
        <v>0</v>
      </c>
      <c r="N12" t="b">
        <v>0</v>
      </c>
      <c r="O12">
        <v>1500</v>
      </c>
      <c r="P12" t="b">
        <v>0</v>
      </c>
      <c r="Q12" t="b">
        <v>0</v>
      </c>
      <c r="R12" t="b">
        <v>0</v>
      </c>
      <c r="S12" t="s">
        <v>96</v>
      </c>
      <c r="T12" t="s">
        <v>104</v>
      </c>
    </row>
    <row r="13" spans="1:21" x14ac:dyDescent="0.3">
      <c r="A13" t="s">
        <v>114</v>
      </c>
      <c r="B13" s="1">
        <v>46053</v>
      </c>
      <c r="C13" s="1">
        <v>46054</v>
      </c>
      <c r="D13" s="1">
        <v>46056</v>
      </c>
      <c r="E13" s="1">
        <v>46056</v>
      </c>
      <c r="F13" t="s">
        <v>31</v>
      </c>
      <c r="G13" t="s">
        <v>58</v>
      </c>
      <c r="H13" t="s">
        <v>22</v>
      </c>
      <c r="I13" t="s">
        <v>44</v>
      </c>
      <c r="J13">
        <v>201</v>
      </c>
      <c r="K13">
        <v>989.1</v>
      </c>
      <c r="L13">
        <v>2685000</v>
      </c>
      <c r="M13" t="b">
        <v>0</v>
      </c>
      <c r="N13" t="b">
        <v>0</v>
      </c>
      <c r="O13">
        <v>1500</v>
      </c>
      <c r="P13" t="b">
        <v>0</v>
      </c>
      <c r="Q13" t="b">
        <v>0</v>
      </c>
      <c r="R13" t="b">
        <v>0</v>
      </c>
      <c r="S13" t="s">
        <v>96</v>
      </c>
      <c r="T13" t="s">
        <v>115</v>
      </c>
    </row>
    <row r="14" spans="1:21" x14ac:dyDescent="0.3">
      <c r="A14" t="s">
        <v>116</v>
      </c>
      <c r="B14" s="1">
        <v>46154</v>
      </c>
      <c r="C14" s="1">
        <v>46155</v>
      </c>
      <c r="D14" s="1">
        <v>46157</v>
      </c>
      <c r="E14" s="1">
        <v>46158</v>
      </c>
      <c r="F14" t="s">
        <v>31</v>
      </c>
      <c r="G14" t="s">
        <v>52</v>
      </c>
      <c r="H14" t="s">
        <v>23</v>
      </c>
      <c r="I14" t="s">
        <v>43</v>
      </c>
      <c r="J14">
        <v>282.7</v>
      </c>
      <c r="K14">
        <v>3200.1</v>
      </c>
      <c r="L14">
        <v>6295000</v>
      </c>
      <c r="M14" t="b">
        <v>0</v>
      </c>
      <c r="N14" t="b">
        <v>0</v>
      </c>
      <c r="O14">
        <v>5000</v>
      </c>
      <c r="P14" t="b">
        <v>0</v>
      </c>
      <c r="Q14" t="b">
        <v>0</v>
      </c>
      <c r="R14" t="b">
        <v>0</v>
      </c>
      <c r="S14" t="s">
        <v>101</v>
      </c>
      <c r="T14" t="s">
        <v>102</v>
      </c>
      <c r="U14">
        <v>1</v>
      </c>
    </row>
    <row r="15" spans="1:21" x14ac:dyDescent="0.3">
      <c r="A15" t="s">
        <v>117</v>
      </c>
      <c r="B15" s="1">
        <v>46085</v>
      </c>
      <c r="C15" s="1">
        <v>46086</v>
      </c>
      <c r="D15" s="1">
        <v>46089</v>
      </c>
      <c r="E15" s="1">
        <v>46092</v>
      </c>
      <c r="F15" t="s">
        <v>34</v>
      </c>
      <c r="G15" t="s">
        <v>63</v>
      </c>
      <c r="H15" t="s">
        <v>22</v>
      </c>
      <c r="I15" t="s">
        <v>45</v>
      </c>
      <c r="J15">
        <v>352.4</v>
      </c>
      <c r="K15">
        <v>512.6</v>
      </c>
      <c r="L15">
        <v>3607000</v>
      </c>
      <c r="M15" t="b">
        <v>0</v>
      </c>
      <c r="N15" t="b">
        <v>0</v>
      </c>
      <c r="O15">
        <v>1000</v>
      </c>
      <c r="P15" t="b">
        <v>0</v>
      </c>
      <c r="Q15" t="b">
        <v>0</v>
      </c>
      <c r="R15" t="b">
        <v>0</v>
      </c>
      <c r="S15" t="s">
        <v>101</v>
      </c>
      <c r="T15" t="s">
        <v>118</v>
      </c>
      <c r="U15">
        <v>3</v>
      </c>
    </row>
    <row r="16" spans="1:21" x14ac:dyDescent="0.3">
      <c r="A16" t="s">
        <v>119</v>
      </c>
      <c r="B16" s="1">
        <v>46167</v>
      </c>
      <c r="C16" s="1">
        <v>46168</v>
      </c>
      <c r="D16" s="1">
        <v>46171</v>
      </c>
      <c r="E16" s="1">
        <v>46171</v>
      </c>
      <c r="F16" t="s">
        <v>34</v>
      </c>
      <c r="G16" t="s">
        <v>59</v>
      </c>
      <c r="H16" t="s">
        <v>23</v>
      </c>
      <c r="I16" t="s">
        <v>43</v>
      </c>
      <c r="J16">
        <v>331.8</v>
      </c>
      <c r="K16">
        <v>42000</v>
      </c>
      <c r="L16">
        <v>5976000</v>
      </c>
      <c r="M16" t="b">
        <v>0</v>
      </c>
      <c r="N16" t="b">
        <v>0</v>
      </c>
      <c r="O16">
        <v>5000</v>
      </c>
      <c r="P16" t="b">
        <v>1</v>
      </c>
      <c r="Q16" t="b">
        <v>0</v>
      </c>
      <c r="R16" t="b">
        <v>1</v>
      </c>
      <c r="S16" t="s">
        <v>96</v>
      </c>
      <c r="T16" t="s">
        <v>102</v>
      </c>
    </row>
    <row r="17" spans="1:21" x14ac:dyDescent="0.3">
      <c r="A17" t="s">
        <v>120</v>
      </c>
      <c r="B17" s="1">
        <v>46195</v>
      </c>
      <c r="C17" s="1">
        <v>46196</v>
      </c>
      <c r="D17" s="1">
        <v>46199</v>
      </c>
      <c r="E17" s="1">
        <v>46198</v>
      </c>
      <c r="F17" t="s">
        <v>33</v>
      </c>
      <c r="G17" t="s">
        <v>52</v>
      </c>
      <c r="H17" t="s">
        <v>22</v>
      </c>
      <c r="I17" t="s">
        <v>43</v>
      </c>
      <c r="J17">
        <v>579.9</v>
      </c>
      <c r="K17">
        <v>4271.3999999999996</v>
      </c>
      <c r="L17">
        <v>9809000</v>
      </c>
      <c r="M17" t="b">
        <v>0</v>
      </c>
      <c r="N17" t="b">
        <v>0</v>
      </c>
      <c r="O17">
        <v>5000</v>
      </c>
      <c r="P17" t="b">
        <v>0</v>
      </c>
      <c r="Q17" t="b">
        <v>0</v>
      </c>
      <c r="R17" t="b">
        <v>0</v>
      </c>
      <c r="S17" t="s">
        <v>96</v>
      </c>
      <c r="T17" t="s">
        <v>99</v>
      </c>
    </row>
    <row r="18" spans="1:21" x14ac:dyDescent="0.3">
      <c r="A18" t="s">
        <v>121</v>
      </c>
      <c r="B18" s="1">
        <v>46172</v>
      </c>
      <c r="C18" s="1">
        <v>46174</v>
      </c>
      <c r="D18" s="1">
        <v>46177</v>
      </c>
      <c r="E18" s="1">
        <v>46178</v>
      </c>
      <c r="F18" t="s">
        <v>34</v>
      </c>
      <c r="G18" t="s">
        <v>52</v>
      </c>
      <c r="H18" t="s">
        <v>23</v>
      </c>
      <c r="I18" t="s">
        <v>44</v>
      </c>
      <c r="J18">
        <v>315.7</v>
      </c>
      <c r="K18">
        <v>1151.3</v>
      </c>
      <c r="L18">
        <v>4680000</v>
      </c>
      <c r="M18" t="b">
        <v>0</v>
      </c>
      <c r="N18" t="b">
        <v>0</v>
      </c>
      <c r="O18">
        <v>1500</v>
      </c>
      <c r="P18" t="b">
        <v>0</v>
      </c>
      <c r="Q18" t="b">
        <v>0</v>
      </c>
      <c r="R18" t="b">
        <v>0</v>
      </c>
      <c r="S18" t="s">
        <v>101</v>
      </c>
      <c r="T18" t="s">
        <v>99</v>
      </c>
      <c r="U18">
        <v>1</v>
      </c>
    </row>
    <row r="19" spans="1:21" x14ac:dyDescent="0.3">
      <c r="A19" t="s">
        <v>122</v>
      </c>
      <c r="B19" s="1">
        <v>46116</v>
      </c>
      <c r="C19" s="1">
        <v>46117</v>
      </c>
      <c r="D19" s="1">
        <v>46119</v>
      </c>
      <c r="E19" s="1">
        <v>46119</v>
      </c>
      <c r="F19" t="s">
        <v>31</v>
      </c>
      <c r="G19" t="s">
        <v>58</v>
      </c>
      <c r="H19" t="s">
        <v>24</v>
      </c>
      <c r="I19" t="s">
        <v>43</v>
      </c>
      <c r="J19">
        <v>193.3</v>
      </c>
      <c r="K19">
        <v>1050.0999999999999</v>
      </c>
      <c r="L19">
        <v>3779000</v>
      </c>
      <c r="M19" t="b">
        <v>0</v>
      </c>
      <c r="N19" t="b">
        <v>0</v>
      </c>
      <c r="O19">
        <v>5000</v>
      </c>
      <c r="P19" t="b">
        <v>0</v>
      </c>
      <c r="Q19" t="b">
        <v>0</v>
      </c>
      <c r="R19" t="b">
        <v>0</v>
      </c>
      <c r="S19" t="s">
        <v>96</v>
      </c>
      <c r="T19" t="s">
        <v>112</v>
      </c>
    </row>
    <row r="20" spans="1:21" x14ac:dyDescent="0.3">
      <c r="A20" t="s">
        <v>123</v>
      </c>
      <c r="B20" s="1">
        <v>46046</v>
      </c>
      <c r="C20" s="1">
        <v>46046</v>
      </c>
      <c r="D20" s="1">
        <v>46049</v>
      </c>
      <c r="E20" s="1">
        <v>46049</v>
      </c>
      <c r="F20" t="s">
        <v>33</v>
      </c>
      <c r="G20" t="s">
        <v>57</v>
      </c>
      <c r="H20" t="s">
        <v>20</v>
      </c>
      <c r="I20" t="s">
        <v>43</v>
      </c>
      <c r="J20">
        <v>487.5</v>
      </c>
      <c r="K20">
        <v>4467.6000000000004</v>
      </c>
      <c r="L20">
        <v>8045000</v>
      </c>
      <c r="M20" t="b">
        <v>0</v>
      </c>
      <c r="N20" t="b">
        <v>0</v>
      </c>
      <c r="O20">
        <v>5000</v>
      </c>
      <c r="P20" t="b">
        <v>0</v>
      </c>
      <c r="Q20" t="b">
        <v>0</v>
      </c>
      <c r="R20" t="b">
        <v>0</v>
      </c>
      <c r="S20" t="s">
        <v>96</v>
      </c>
      <c r="T20" t="s">
        <v>104</v>
      </c>
    </row>
    <row r="21" spans="1:21" x14ac:dyDescent="0.3">
      <c r="A21" t="s">
        <v>124</v>
      </c>
      <c r="B21" s="1">
        <v>46058</v>
      </c>
      <c r="C21" s="1">
        <v>46059</v>
      </c>
      <c r="D21" s="1">
        <v>46062</v>
      </c>
      <c r="E21" s="1">
        <v>46061</v>
      </c>
      <c r="F21" t="s">
        <v>33</v>
      </c>
      <c r="G21" t="s">
        <v>63</v>
      </c>
      <c r="H21" t="s">
        <v>24</v>
      </c>
      <c r="I21" t="s">
        <v>43</v>
      </c>
      <c r="J21">
        <v>297.3</v>
      </c>
      <c r="K21">
        <v>1200.2</v>
      </c>
      <c r="L21">
        <v>4933000</v>
      </c>
      <c r="M21" t="b">
        <v>0</v>
      </c>
      <c r="N21" t="b">
        <v>0</v>
      </c>
      <c r="O21">
        <v>5000</v>
      </c>
      <c r="P21" t="b">
        <v>0</v>
      </c>
      <c r="Q21" t="b">
        <v>0</v>
      </c>
      <c r="R21" t="b">
        <v>0</v>
      </c>
      <c r="S21" t="s">
        <v>96</v>
      </c>
      <c r="T21" t="s">
        <v>115</v>
      </c>
    </row>
    <row r="22" spans="1:21" x14ac:dyDescent="0.3">
      <c r="A22" t="s">
        <v>125</v>
      </c>
      <c r="B22" s="1">
        <v>46135</v>
      </c>
      <c r="C22" s="1">
        <v>46137</v>
      </c>
      <c r="D22" s="1">
        <v>46140</v>
      </c>
      <c r="E22" s="1">
        <v>46139</v>
      </c>
      <c r="F22" t="s">
        <v>33</v>
      </c>
      <c r="G22" t="s">
        <v>55</v>
      </c>
      <c r="H22" t="s">
        <v>21</v>
      </c>
      <c r="I22" t="s">
        <v>43</v>
      </c>
      <c r="J22">
        <v>576.1</v>
      </c>
      <c r="K22">
        <v>2213.1999999999998</v>
      </c>
      <c r="L22">
        <v>8080000</v>
      </c>
      <c r="M22" t="b">
        <v>0</v>
      </c>
      <c r="N22" t="b">
        <v>0</v>
      </c>
      <c r="O22">
        <v>5000</v>
      </c>
      <c r="P22" t="b">
        <v>0</v>
      </c>
      <c r="Q22" t="b">
        <v>0</v>
      </c>
      <c r="R22" t="b">
        <v>0</v>
      </c>
      <c r="S22" t="s">
        <v>96</v>
      </c>
      <c r="T22" t="s">
        <v>112</v>
      </c>
    </row>
    <row r="23" spans="1:21" x14ac:dyDescent="0.3">
      <c r="A23" t="s">
        <v>126</v>
      </c>
      <c r="B23" s="1">
        <v>46123</v>
      </c>
      <c r="C23" s="1">
        <v>46123</v>
      </c>
      <c r="D23" s="1">
        <v>46127</v>
      </c>
      <c r="E23" s="1">
        <v>46127</v>
      </c>
      <c r="F23" t="s">
        <v>31</v>
      </c>
      <c r="G23" t="s">
        <v>62</v>
      </c>
      <c r="H23" t="s">
        <v>24</v>
      </c>
      <c r="I23" t="s">
        <v>44</v>
      </c>
      <c r="J23">
        <v>760</v>
      </c>
      <c r="K23">
        <v>1036.9000000000001</v>
      </c>
      <c r="L23">
        <v>6810000</v>
      </c>
      <c r="M23" t="b">
        <v>0</v>
      </c>
      <c r="N23" t="b">
        <v>0</v>
      </c>
      <c r="O23">
        <v>1500</v>
      </c>
      <c r="P23" t="b">
        <v>0</v>
      </c>
      <c r="Q23" t="b">
        <v>0</v>
      </c>
      <c r="R23" t="b">
        <v>0</v>
      </c>
      <c r="S23" t="s">
        <v>96</v>
      </c>
      <c r="T23" t="s">
        <v>112</v>
      </c>
    </row>
    <row r="24" spans="1:21" x14ac:dyDescent="0.3">
      <c r="A24" t="s">
        <v>127</v>
      </c>
      <c r="B24" s="1">
        <v>46098</v>
      </c>
      <c r="C24" s="1">
        <v>46099</v>
      </c>
      <c r="D24" s="1">
        <v>46102</v>
      </c>
      <c r="E24" s="1">
        <v>46102</v>
      </c>
      <c r="F24" t="s">
        <v>34</v>
      </c>
      <c r="G24" t="s">
        <v>63</v>
      </c>
      <c r="H24" t="s">
        <v>21</v>
      </c>
      <c r="I24" t="s">
        <v>43</v>
      </c>
      <c r="J24">
        <v>344.4</v>
      </c>
      <c r="K24">
        <v>2591.1999999999998</v>
      </c>
      <c r="L24">
        <v>6387000</v>
      </c>
      <c r="M24" t="b">
        <v>0</v>
      </c>
      <c r="N24" t="b">
        <v>0</v>
      </c>
      <c r="O24">
        <v>5000</v>
      </c>
      <c r="P24" t="b">
        <v>0</v>
      </c>
      <c r="Q24" t="b">
        <v>0</v>
      </c>
      <c r="R24" t="b">
        <v>0</v>
      </c>
      <c r="S24" t="s">
        <v>96</v>
      </c>
      <c r="T24" t="s">
        <v>118</v>
      </c>
    </row>
    <row r="25" spans="1:21" x14ac:dyDescent="0.3">
      <c r="A25" t="s">
        <v>128</v>
      </c>
      <c r="B25" s="1">
        <v>46200</v>
      </c>
      <c r="C25" s="1">
        <v>46201</v>
      </c>
      <c r="D25" s="1">
        <v>46204</v>
      </c>
      <c r="E25" s="1">
        <v>46205</v>
      </c>
      <c r="F25" t="s">
        <v>31</v>
      </c>
      <c r="G25" t="s">
        <v>53</v>
      </c>
      <c r="H25" t="s">
        <v>22</v>
      </c>
      <c r="I25" t="s">
        <v>43</v>
      </c>
      <c r="J25">
        <v>309.10000000000002</v>
      </c>
      <c r="K25">
        <v>4381.7</v>
      </c>
      <c r="L25">
        <v>6517000</v>
      </c>
      <c r="M25" t="b">
        <v>0</v>
      </c>
      <c r="N25" t="b">
        <v>0</v>
      </c>
      <c r="O25">
        <v>5000</v>
      </c>
      <c r="P25" t="b">
        <v>0</v>
      </c>
      <c r="Q25" t="b">
        <v>0</v>
      </c>
      <c r="R25" t="b">
        <v>0</v>
      </c>
      <c r="S25" t="s">
        <v>101</v>
      </c>
      <c r="T25" t="s">
        <v>99</v>
      </c>
      <c r="U25">
        <v>1</v>
      </c>
    </row>
    <row r="26" spans="1:21" x14ac:dyDescent="0.3">
      <c r="A26" t="s">
        <v>129</v>
      </c>
      <c r="B26" s="1">
        <v>46109</v>
      </c>
      <c r="C26" s="1">
        <v>46110</v>
      </c>
      <c r="D26" s="1">
        <v>46112</v>
      </c>
      <c r="E26" s="1">
        <v>46113</v>
      </c>
      <c r="F26" t="s">
        <v>31</v>
      </c>
      <c r="G26" t="s">
        <v>59</v>
      </c>
      <c r="H26" t="s">
        <v>21</v>
      </c>
      <c r="I26" t="s">
        <v>42</v>
      </c>
      <c r="J26">
        <v>287.60000000000002</v>
      </c>
      <c r="K26">
        <v>6143.4</v>
      </c>
      <c r="L26">
        <v>7208000</v>
      </c>
      <c r="M26" t="b">
        <v>0</v>
      </c>
      <c r="N26" t="b">
        <v>0</v>
      </c>
      <c r="O26">
        <v>16000</v>
      </c>
      <c r="P26" t="b">
        <v>0</v>
      </c>
      <c r="Q26" t="b">
        <v>0</v>
      </c>
      <c r="R26" t="b">
        <v>0</v>
      </c>
      <c r="S26" t="s">
        <v>101</v>
      </c>
      <c r="T26" t="s">
        <v>118</v>
      </c>
      <c r="U26">
        <v>1</v>
      </c>
    </row>
    <row r="27" spans="1:21" x14ac:dyDescent="0.3">
      <c r="A27" t="s">
        <v>130</v>
      </c>
      <c r="B27" s="1">
        <v>46172</v>
      </c>
      <c r="C27" s="1">
        <v>46174</v>
      </c>
      <c r="D27" s="1">
        <v>46175</v>
      </c>
      <c r="E27" s="1">
        <v>46176</v>
      </c>
      <c r="F27" t="s">
        <v>31</v>
      </c>
      <c r="G27" t="s">
        <v>55</v>
      </c>
      <c r="H27" t="s">
        <v>24</v>
      </c>
      <c r="I27" t="s">
        <v>44</v>
      </c>
      <c r="J27">
        <v>17.3</v>
      </c>
      <c r="K27">
        <v>1337.2</v>
      </c>
      <c r="L27">
        <v>1322000</v>
      </c>
      <c r="M27" t="b">
        <v>0</v>
      </c>
      <c r="N27" t="b">
        <v>0</v>
      </c>
      <c r="O27">
        <v>1500</v>
      </c>
      <c r="P27" t="b">
        <v>0</v>
      </c>
      <c r="Q27" t="b">
        <v>0</v>
      </c>
      <c r="R27" t="b">
        <v>0</v>
      </c>
      <c r="S27" t="s">
        <v>101</v>
      </c>
      <c r="T27" t="s">
        <v>99</v>
      </c>
      <c r="U27">
        <v>1</v>
      </c>
    </row>
    <row r="28" spans="1:21" x14ac:dyDescent="0.3">
      <c r="A28" t="s">
        <v>131</v>
      </c>
      <c r="B28" s="1">
        <v>46032</v>
      </c>
      <c r="C28" s="1">
        <v>46033</v>
      </c>
      <c r="D28" s="1">
        <v>46035</v>
      </c>
      <c r="E28" s="1">
        <v>46035</v>
      </c>
      <c r="F28" t="s">
        <v>31</v>
      </c>
      <c r="G28" t="s">
        <v>58</v>
      </c>
      <c r="H28" t="s">
        <v>22</v>
      </c>
      <c r="I28" t="s">
        <v>43</v>
      </c>
      <c r="J28">
        <v>179.5</v>
      </c>
      <c r="K28">
        <v>1480</v>
      </c>
      <c r="L28">
        <v>3179000</v>
      </c>
      <c r="M28" t="b">
        <v>0</v>
      </c>
      <c r="N28" t="b">
        <v>0</v>
      </c>
      <c r="O28">
        <v>5000</v>
      </c>
      <c r="P28" t="b">
        <v>0</v>
      </c>
      <c r="Q28" t="b">
        <v>0</v>
      </c>
      <c r="R28" t="b">
        <v>0</v>
      </c>
      <c r="S28" t="s">
        <v>96</v>
      </c>
      <c r="T28" t="s">
        <v>104</v>
      </c>
    </row>
    <row r="29" spans="1:21" x14ac:dyDescent="0.3">
      <c r="A29" t="s">
        <v>132</v>
      </c>
      <c r="B29" s="1">
        <v>46121</v>
      </c>
      <c r="C29" s="1">
        <v>46122</v>
      </c>
      <c r="D29" s="1">
        <v>46125</v>
      </c>
      <c r="E29" s="1">
        <v>46125</v>
      </c>
      <c r="F29" t="s">
        <v>31</v>
      </c>
      <c r="G29" t="s">
        <v>53</v>
      </c>
      <c r="H29" t="s">
        <v>20</v>
      </c>
      <c r="I29" t="s">
        <v>45</v>
      </c>
      <c r="J29">
        <v>308.7</v>
      </c>
      <c r="K29">
        <v>266.8</v>
      </c>
      <c r="L29">
        <v>2989000</v>
      </c>
      <c r="M29" t="b">
        <v>0</v>
      </c>
      <c r="N29" t="b">
        <v>0</v>
      </c>
      <c r="O29">
        <v>1000</v>
      </c>
      <c r="P29" t="b">
        <v>0</v>
      </c>
      <c r="Q29" t="b">
        <v>0</v>
      </c>
      <c r="R29" t="b">
        <v>0</v>
      </c>
      <c r="S29" t="s">
        <v>96</v>
      </c>
      <c r="T29" t="s">
        <v>112</v>
      </c>
    </row>
    <row r="30" spans="1:21" x14ac:dyDescent="0.3">
      <c r="A30" t="s">
        <v>133</v>
      </c>
      <c r="B30" s="1">
        <v>46138</v>
      </c>
      <c r="C30" s="1">
        <v>46139</v>
      </c>
      <c r="D30" s="1">
        <v>46142</v>
      </c>
      <c r="E30" s="1">
        <v>46142</v>
      </c>
      <c r="F30" t="s">
        <v>31</v>
      </c>
      <c r="G30" t="s">
        <v>52</v>
      </c>
      <c r="H30" t="s">
        <v>21</v>
      </c>
      <c r="I30" t="s">
        <v>43</v>
      </c>
      <c r="J30">
        <v>301.60000000000002</v>
      </c>
      <c r="K30">
        <v>1029.2</v>
      </c>
      <c r="L30">
        <v>4609000</v>
      </c>
      <c r="M30" t="b">
        <v>0</v>
      </c>
      <c r="N30" t="b">
        <v>0</v>
      </c>
      <c r="O30">
        <v>5000</v>
      </c>
      <c r="P30" t="b">
        <v>0</v>
      </c>
      <c r="Q30" t="b">
        <v>0</v>
      </c>
      <c r="R30" t="b">
        <v>0</v>
      </c>
      <c r="S30" t="s">
        <v>96</v>
      </c>
      <c r="T30" t="s">
        <v>112</v>
      </c>
    </row>
    <row r="31" spans="1:21" x14ac:dyDescent="0.3">
      <c r="A31" t="s">
        <v>134</v>
      </c>
      <c r="B31" s="1">
        <v>46156</v>
      </c>
      <c r="C31" s="1">
        <v>46157</v>
      </c>
      <c r="D31" s="1">
        <v>46159</v>
      </c>
      <c r="E31" s="1">
        <v>46159</v>
      </c>
      <c r="F31" t="s">
        <v>34</v>
      </c>
      <c r="G31" t="s">
        <v>52</v>
      </c>
      <c r="H31" t="s">
        <v>20</v>
      </c>
      <c r="I31" t="s">
        <v>45</v>
      </c>
      <c r="J31">
        <v>287.10000000000002</v>
      </c>
      <c r="K31">
        <v>394.2</v>
      </c>
      <c r="L31">
        <v>2806000</v>
      </c>
      <c r="M31" t="b">
        <v>0</v>
      </c>
      <c r="N31" t="b">
        <v>0</v>
      </c>
      <c r="O31">
        <v>1000</v>
      </c>
      <c r="P31" t="b">
        <v>0</v>
      </c>
      <c r="Q31" t="b">
        <v>0</v>
      </c>
      <c r="R31" t="b">
        <v>0</v>
      </c>
      <c r="S31" t="s">
        <v>96</v>
      </c>
      <c r="T31" t="s">
        <v>102</v>
      </c>
    </row>
    <row r="32" spans="1:21" x14ac:dyDescent="0.3">
      <c r="A32" t="s">
        <v>135</v>
      </c>
      <c r="B32" s="1">
        <v>46174</v>
      </c>
      <c r="C32" s="1">
        <v>46175</v>
      </c>
      <c r="D32" s="1">
        <v>46176</v>
      </c>
      <c r="E32" s="1">
        <v>46177</v>
      </c>
      <c r="F32" t="s">
        <v>32</v>
      </c>
      <c r="G32" t="s">
        <v>57</v>
      </c>
      <c r="H32" t="s">
        <v>24</v>
      </c>
      <c r="I32" t="s">
        <v>44</v>
      </c>
      <c r="J32">
        <v>16.3</v>
      </c>
      <c r="K32">
        <v>406.1</v>
      </c>
      <c r="L32">
        <v>694000</v>
      </c>
      <c r="M32" t="b">
        <v>0</v>
      </c>
      <c r="N32" t="b">
        <v>0</v>
      </c>
      <c r="O32">
        <v>1500</v>
      </c>
      <c r="P32" t="b">
        <v>0</v>
      </c>
      <c r="Q32" t="b">
        <v>0</v>
      </c>
      <c r="R32" t="b">
        <v>0</v>
      </c>
      <c r="S32" t="s">
        <v>101</v>
      </c>
      <c r="T32" t="s">
        <v>99</v>
      </c>
      <c r="U32">
        <v>1</v>
      </c>
    </row>
    <row r="33" spans="1:21" x14ac:dyDescent="0.3">
      <c r="A33" t="s">
        <v>136</v>
      </c>
      <c r="B33" s="1">
        <v>46173</v>
      </c>
      <c r="C33" s="1">
        <v>46174</v>
      </c>
      <c r="D33" s="1">
        <v>46178</v>
      </c>
      <c r="E33" s="1">
        <v>46178</v>
      </c>
      <c r="F33" t="s">
        <v>31</v>
      </c>
      <c r="G33" t="s">
        <v>54</v>
      </c>
      <c r="H33" t="s">
        <v>24</v>
      </c>
      <c r="I33" t="s">
        <v>42</v>
      </c>
      <c r="J33">
        <v>475.6</v>
      </c>
      <c r="K33">
        <v>9834.9</v>
      </c>
      <c r="L33">
        <v>11666000</v>
      </c>
      <c r="M33" t="b">
        <v>0</v>
      </c>
      <c r="N33" t="b">
        <v>0</v>
      </c>
      <c r="O33">
        <v>16000</v>
      </c>
      <c r="P33" t="b">
        <v>0</v>
      </c>
      <c r="Q33" t="b">
        <v>0</v>
      </c>
      <c r="R33" t="b">
        <v>0</v>
      </c>
      <c r="S33" t="s">
        <v>96</v>
      </c>
      <c r="T33" t="s">
        <v>99</v>
      </c>
    </row>
    <row r="34" spans="1:21" x14ac:dyDescent="0.3">
      <c r="A34" t="s">
        <v>137</v>
      </c>
      <c r="B34" s="1">
        <v>46092</v>
      </c>
      <c r="C34" s="1">
        <v>46094</v>
      </c>
      <c r="D34" s="1">
        <v>46096</v>
      </c>
      <c r="E34" s="1">
        <v>46096</v>
      </c>
      <c r="F34" t="s">
        <v>34</v>
      </c>
      <c r="G34" t="s">
        <v>52</v>
      </c>
      <c r="H34" t="s">
        <v>20</v>
      </c>
      <c r="I34" t="s">
        <v>43</v>
      </c>
      <c r="J34">
        <v>290.39999999999998</v>
      </c>
      <c r="K34">
        <v>2434.4</v>
      </c>
      <c r="L34">
        <v>4934000</v>
      </c>
      <c r="M34" t="b">
        <v>0</v>
      </c>
      <c r="N34" t="b">
        <v>0</v>
      </c>
      <c r="O34">
        <v>5000</v>
      </c>
      <c r="P34" t="b">
        <v>0</v>
      </c>
      <c r="Q34" t="b">
        <v>0</v>
      </c>
      <c r="R34" t="b">
        <v>0</v>
      </c>
      <c r="S34" t="s">
        <v>96</v>
      </c>
      <c r="T34" t="s">
        <v>118</v>
      </c>
    </row>
    <row r="35" spans="1:21" x14ac:dyDescent="0.3">
      <c r="A35" t="s">
        <v>138</v>
      </c>
      <c r="B35" s="1">
        <v>46178</v>
      </c>
      <c r="C35" s="1">
        <v>46179</v>
      </c>
      <c r="D35" s="1">
        <v>46182</v>
      </c>
      <c r="E35" s="1">
        <v>46182</v>
      </c>
      <c r="F35" t="s">
        <v>33</v>
      </c>
      <c r="G35" t="s">
        <v>53</v>
      </c>
      <c r="H35" t="s">
        <v>22</v>
      </c>
      <c r="I35" t="s">
        <v>43</v>
      </c>
      <c r="J35">
        <v>531.9</v>
      </c>
      <c r="K35">
        <v>4160.5</v>
      </c>
      <c r="L35">
        <v>9898000</v>
      </c>
      <c r="M35" t="b">
        <v>0</v>
      </c>
      <c r="N35" t="b">
        <v>0</v>
      </c>
      <c r="O35">
        <v>5000</v>
      </c>
      <c r="P35" t="b">
        <v>0</v>
      </c>
      <c r="Q35" t="b">
        <v>0</v>
      </c>
      <c r="R35" t="b">
        <v>0</v>
      </c>
      <c r="S35" t="s">
        <v>96</v>
      </c>
      <c r="T35" t="s">
        <v>99</v>
      </c>
    </row>
    <row r="36" spans="1:21" x14ac:dyDescent="0.3">
      <c r="A36" t="s">
        <v>139</v>
      </c>
      <c r="B36" s="1">
        <v>46046</v>
      </c>
      <c r="C36" s="1">
        <v>46047</v>
      </c>
      <c r="D36" s="1">
        <v>46049</v>
      </c>
      <c r="E36" s="1">
        <v>46050</v>
      </c>
      <c r="F36" t="s">
        <v>32</v>
      </c>
      <c r="G36" t="s">
        <v>55</v>
      </c>
      <c r="H36" t="s">
        <v>24</v>
      </c>
      <c r="I36" t="s">
        <v>44</v>
      </c>
      <c r="J36">
        <v>125.2</v>
      </c>
      <c r="K36">
        <v>994.5</v>
      </c>
      <c r="L36">
        <v>2309000</v>
      </c>
      <c r="M36" t="b">
        <v>0</v>
      </c>
      <c r="N36" t="b">
        <v>0</v>
      </c>
      <c r="O36">
        <v>1500</v>
      </c>
      <c r="P36" t="b">
        <v>0</v>
      </c>
      <c r="Q36" t="b">
        <v>0</v>
      </c>
      <c r="R36" t="b">
        <v>0</v>
      </c>
      <c r="S36" t="s">
        <v>101</v>
      </c>
      <c r="T36" t="s">
        <v>104</v>
      </c>
      <c r="U36">
        <v>1</v>
      </c>
    </row>
    <row r="37" spans="1:21" x14ac:dyDescent="0.3">
      <c r="A37" t="s">
        <v>140</v>
      </c>
      <c r="B37" s="1">
        <v>46195</v>
      </c>
      <c r="C37" s="1">
        <v>46196</v>
      </c>
      <c r="D37" s="1">
        <v>46198</v>
      </c>
      <c r="E37" s="1">
        <v>46198</v>
      </c>
      <c r="F37" t="s">
        <v>32</v>
      </c>
      <c r="G37" t="s">
        <v>63</v>
      </c>
      <c r="H37" t="s">
        <v>20</v>
      </c>
      <c r="I37" t="s">
        <v>45</v>
      </c>
      <c r="J37">
        <v>169.1</v>
      </c>
      <c r="K37">
        <v>578.70000000000005</v>
      </c>
      <c r="L37">
        <v>2245000</v>
      </c>
      <c r="M37" t="b">
        <v>0</v>
      </c>
      <c r="N37" t="b">
        <v>0</v>
      </c>
      <c r="O37">
        <v>1000</v>
      </c>
      <c r="P37" t="b">
        <v>0</v>
      </c>
      <c r="Q37" t="b">
        <v>0</v>
      </c>
      <c r="R37" t="b">
        <v>0</v>
      </c>
      <c r="S37" t="s">
        <v>96</v>
      </c>
      <c r="T37" t="s">
        <v>99</v>
      </c>
    </row>
    <row r="38" spans="1:21" x14ac:dyDescent="0.3">
      <c r="A38" t="s">
        <v>141</v>
      </c>
      <c r="B38" s="1">
        <v>46128</v>
      </c>
      <c r="C38" s="1">
        <v>46128</v>
      </c>
      <c r="D38" s="1">
        <v>46130</v>
      </c>
      <c r="E38" s="1">
        <v>46130</v>
      </c>
      <c r="F38" t="s">
        <v>31</v>
      </c>
      <c r="G38" t="s">
        <v>57</v>
      </c>
      <c r="H38" t="s">
        <v>22</v>
      </c>
      <c r="I38" t="s">
        <v>43</v>
      </c>
      <c r="J38">
        <v>121.5</v>
      </c>
      <c r="K38">
        <v>3527.4</v>
      </c>
      <c r="L38">
        <v>3750000</v>
      </c>
      <c r="M38" t="b">
        <v>0</v>
      </c>
      <c r="N38" t="b">
        <v>0</v>
      </c>
      <c r="O38">
        <v>5000</v>
      </c>
      <c r="P38" t="b">
        <v>0</v>
      </c>
      <c r="Q38" t="b">
        <v>0</v>
      </c>
      <c r="R38" t="b">
        <v>0</v>
      </c>
      <c r="S38" t="s">
        <v>96</v>
      </c>
      <c r="T38" t="s">
        <v>112</v>
      </c>
    </row>
    <row r="39" spans="1:21" x14ac:dyDescent="0.3">
      <c r="A39" t="s">
        <v>142</v>
      </c>
      <c r="B39" s="1">
        <v>46027</v>
      </c>
      <c r="C39" s="1">
        <v>46028</v>
      </c>
      <c r="D39" s="1">
        <v>46031</v>
      </c>
      <c r="E39" s="1">
        <v>46031</v>
      </c>
      <c r="F39" t="s">
        <v>34</v>
      </c>
      <c r="G39" t="s">
        <v>54</v>
      </c>
      <c r="H39" t="s">
        <v>20</v>
      </c>
      <c r="I39" t="s">
        <v>45</v>
      </c>
      <c r="J39">
        <v>455.7</v>
      </c>
      <c r="K39">
        <v>781.9</v>
      </c>
      <c r="L39">
        <v>4408000</v>
      </c>
      <c r="M39" t="b">
        <v>0</v>
      </c>
      <c r="N39" t="b">
        <v>0</v>
      </c>
      <c r="O39">
        <v>1000</v>
      </c>
      <c r="P39" t="b">
        <v>0</v>
      </c>
      <c r="Q39" t="b">
        <v>0</v>
      </c>
      <c r="R39" t="b">
        <v>0</v>
      </c>
      <c r="S39" t="s">
        <v>96</v>
      </c>
      <c r="T39" t="s">
        <v>104</v>
      </c>
    </row>
    <row r="40" spans="1:21" x14ac:dyDescent="0.3">
      <c r="A40" t="s">
        <v>143</v>
      </c>
      <c r="B40" s="1">
        <v>46055</v>
      </c>
      <c r="C40" s="1">
        <v>46056</v>
      </c>
      <c r="D40" s="1">
        <v>46059</v>
      </c>
      <c r="E40" s="1">
        <v>46059</v>
      </c>
      <c r="F40" t="s">
        <v>34</v>
      </c>
      <c r="G40" t="s">
        <v>53</v>
      </c>
      <c r="H40" t="s">
        <v>23</v>
      </c>
      <c r="I40" t="s">
        <v>42</v>
      </c>
      <c r="J40">
        <v>315</v>
      </c>
      <c r="K40">
        <v>8580.9</v>
      </c>
      <c r="L40">
        <v>9136000</v>
      </c>
      <c r="M40" t="b">
        <v>0</v>
      </c>
      <c r="N40" t="b">
        <v>0</v>
      </c>
      <c r="O40">
        <v>16000</v>
      </c>
      <c r="P40" t="b">
        <v>0</v>
      </c>
      <c r="Q40" t="b">
        <v>0</v>
      </c>
      <c r="R40" t="b">
        <v>0</v>
      </c>
      <c r="S40" t="s">
        <v>96</v>
      </c>
      <c r="T40" t="s">
        <v>115</v>
      </c>
    </row>
    <row r="41" spans="1:21" x14ac:dyDescent="0.3">
      <c r="A41" t="s">
        <v>144</v>
      </c>
      <c r="B41" s="1">
        <v>46082</v>
      </c>
      <c r="C41" s="1">
        <v>46083</v>
      </c>
      <c r="D41" s="1">
        <v>46085</v>
      </c>
      <c r="E41" s="1">
        <v>46085</v>
      </c>
      <c r="F41" t="s">
        <v>34</v>
      </c>
      <c r="G41" t="s">
        <v>58</v>
      </c>
      <c r="H41" t="s">
        <v>24</v>
      </c>
      <c r="I41" t="s">
        <v>43</v>
      </c>
      <c r="J41">
        <v>156.80000000000001</v>
      </c>
      <c r="K41">
        <v>2261.1999999999998</v>
      </c>
      <c r="L41">
        <v>3263000</v>
      </c>
      <c r="M41" t="b">
        <v>0</v>
      </c>
      <c r="N41" t="b">
        <v>0</v>
      </c>
      <c r="O41">
        <v>5000</v>
      </c>
      <c r="P41" t="b">
        <v>0</v>
      </c>
      <c r="Q41" t="b">
        <v>0</v>
      </c>
      <c r="R41" t="b">
        <v>0</v>
      </c>
      <c r="S41" t="s">
        <v>96</v>
      </c>
      <c r="T41" t="s">
        <v>118</v>
      </c>
    </row>
    <row r="42" spans="1:21" x14ac:dyDescent="0.3">
      <c r="A42" t="s">
        <v>145</v>
      </c>
      <c r="B42" s="1">
        <v>46118</v>
      </c>
      <c r="C42" s="1">
        <v>46120</v>
      </c>
      <c r="D42" s="1">
        <v>46123</v>
      </c>
      <c r="E42" s="1">
        <v>46126</v>
      </c>
      <c r="F42" t="s">
        <v>34</v>
      </c>
      <c r="G42" t="s">
        <v>63</v>
      </c>
      <c r="H42" t="s">
        <v>24</v>
      </c>
      <c r="I42" t="s">
        <v>43</v>
      </c>
      <c r="J42">
        <v>333.5</v>
      </c>
      <c r="K42">
        <v>2104.3000000000002</v>
      </c>
      <c r="L42">
        <v>5467000</v>
      </c>
      <c r="M42" t="b">
        <v>0</v>
      </c>
      <c r="N42" t="b">
        <v>0</v>
      </c>
      <c r="O42">
        <v>5000</v>
      </c>
      <c r="P42" t="b">
        <v>0</v>
      </c>
      <c r="Q42" t="b">
        <v>0</v>
      </c>
      <c r="R42" t="b">
        <v>0</v>
      </c>
      <c r="S42" t="s">
        <v>101</v>
      </c>
      <c r="T42" t="s">
        <v>112</v>
      </c>
      <c r="U42">
        <v>3</v>
      </c>
    </row>
    <row r="43" spans="1:21" x14ac:dyDescent="0.3">
      <c r="A43" t="s">
        <v>146</v>
      </c>
      <c r="B43" s="1">
        <v>46094</v>
      </c>
      <c r="C43" s="1">
        <v>46095</v>
      </c>
      <c r="D43" s="1">
        <v>46098</v>
      </c>
      <c r="E43" s="1">
        <v>46098</v>
      </c>
      <c r="F43" t="s">
        <v>31</v>
      </c>
      <c r="G43" t="s">
        <v>54</v>
      </c>
      <c r="H43" t="s">
        <v>24</v>
      </c>
      <c r="I43" t="s">
        <v>43</v>
      </c>
      <c r="J43">
        <v>470.3</v>
      </c>
      <c r="K43">
        <v>2742.1</v>
      </c>
      <c r="L43">
        <v>7142000</v>
      </c>
      <c r="M43" t="b">
        <v>0</v>
      </c>
      <c r="N43" t="b">
        <v>0</v>
      </c>
      <c r="O43">
        <v>5000</v>
      </c>
      <c r="P43" t="b">
        <v>0</v>
      </c>
      <c r="Q43" t="b">
        <v>0</v>
      </c>
      <c r="R43" t="b">
        <v>0</v>
      </c>
      <c r="S43" t="s">
        <v>96</v>
      </c>
      <c r="T43" t="s">
        <v>118</v>
      </c>
    </row>
    <row r="44" spans="1:21" x14ac:dyDescent="0.3">
      <c r="A44" t="s">
        <v>147</v>
      </c>
      <c r="B44" s="1">
        <v>46138</v>
      </c>
      <c r="C44" s="1">
        <v>46139</v>
      </c>
      <c r="D44" s="1">
        <v>46141</v>
      </c>
      <c r="E44" s="1">
        <v>46143</v>
      </c>
      <c r="F44" t="s">
        <v>31</v>
      </c>
      <c r="G44" t="s">
        <v>59</v>
      </c>
      <c r="H44" t="s">
        <v>23</v>
      </c>
      <c r="I44" t="s">
        <v>44</v>
      </c>
      <c r="J44">
        <v>299.39999999999998</v>
      </c>
      <c r="K44">
        <v>774.6</v>
      </c>
      <c r="L44">
        <v>3954000</v>
      </c>
      <c r="M44" t="b">
        <v>0</v>
      </c>
      <c r="N44" t="b">
        <v>0</v>
      </c>
      <c r="O44">
        <v>1500</v>
      </c>
      <c r="P44" t="b">
        <v>0</v>
      </c>
      <c r="Q44" t="b">
        <v>0</v>
      </c>
      <c r="R44" t="b">
        <v>0</v>
      </c>
      <c r="S44" t="s">
        <v>101</v>
      </c>
      <c r="T44" t="s">
        <v>112</v>
      </c>
      <c r="U44">
        <v>2</v>
      </c>
    </row>
    <row r="45" spans="1:21" x14ac:dyDescent="0.3">
      <c r="A45" t="s">
        <v>148</v>
      </c>
      <c r="B45" s="1">
        <v>46176</v>
      </c>
      <c r="C45" s="1">
        <v>46176</v>
      </c>
      <c r="D45" s="1">
        <v>46178</v>
      </c>
      <c r="E45" s="1">
        <v>46178</v>
      </c>
      <c r="F45" t="s">
        <v>34</v>
      </c>
      <c r="G45" t="s">
        <v>52</v>
      </c>
      <c r="H45" t="s">
        <v>20</v>
      </c>
      <c r="I45" t="s">
        <v>44</v>
      </c>
      <c r="J45">
        <v>278.2</v>
      </c>
      <c r="K45">
        <v>1224.4000000000001</v>
      </c>
      <c r="L45">
        <v>4036000</v>
      </c>
      <c r="M45" t="b">
        <v>0</v>
      </c>
      <c r="N45" t="b">
        <v>0</v>
      </c>
      <c r="O45">
        <v>1500</v>
      </c>
      <c r="P45" t="b">
        <v>0</v>
      </c>
      <c r="Q45" t="b">
        <v>0</v>
      </c>
      <c r="R45" t="b">
        <v>0</v>
      </c>
      <c r="S45" t="s">
        <v>96</v>
      </c>
      <c r="T45" t="s">
        <v>99</v>
      </c>
    </row>
    <row r="46" spans="1:21" x14ac:dyDescent="0.3">
      <c r="A46" t="s">
        <v>149</v>
      </c>
      <c r="B46" s="1">
        <v>46189</v>
      </c>
      <c r="C46" s="1">
        <v>46190</v>
      </c>
      <c r="D46" s="1">
        <v>46192</v>
      </c>
      <c r="E46" s="1">
        <v>46192</v>
      </c>
      <c r="F46" t="s">
        <v>31</v>
      </c>
      <c r="G46" t="s">
        <v>59</v>
      </c>
      <c r="H46" t="s">
        <v>23</v>
      </c>
      <c r="I46" t="s">
        <v>44</v>
      </c>
      <c r="J46">
        <v>292.10000000000002</v>
      </c>
      <c r="K46">
        <v>1142.7</v>
      </c>
      <c r="L46">
        <v>4031000</v>
      </c>
      <c r="M46" t="b">
        <v>0</v>
      </c>
      <c r="N46" t="b">
        <v>0</v>
      </c>
      <c r="O46">
        <v>1500</v>
      </c>
      <c r="P46" t="b">
        <v>0</v>
      </c>
      <c r="Q46" t="b">
        <v>0</v>
      </c>
      <c r="R46" t="b">
        <v>0</v>
      </c>
      <c r="S46" t="s">
        <v>96</v>
      </c>
      <c r="T46" t="s">
        <v>99</v>
      </c>
    </row>
    <row r="47" spans="1:21" x14ac:dyDescent="0.3">
      <c r="A47" t="s">
        <v>150</v>
      </c>
      <c r="B47" s="1">
        <v>46198</v>
      </c>
      <c r="C47" s="1">
        <v>46199</v>
      </c>
      <c r="D47" s="1">
        <v>46201</v>
      </c>
      <c r="E47" s="1">
        <v>46203</v>
      </c>
      <c r="F47" t="s">
        <v>31</v>
      </c>
      <c r="G47" t="s">
        <v>59</v>
      </c>
      <c r="H47" t="s">
        <v>22</v>
      </c>
      <c r="I47" t="s">
        <v>43</v>
      </c>
      <c r="J47">
        <v>293.10000000000002</v>
      </c>
      <c r="K47">
        <v>2287.8000000000002</v>
      </c>
      <c r="L47">
        <v>4824000</v>
      </c>
      <c r="M47" t="b">
        <v>0</v>
      </c>
      <c r="N47" t="b">
        <v>0</v>
      </c>
      <c r="O47">
        <v>5000</v>
      </c>
      <c r="P47" t="b">
        <v>0</v>
      </c>
      <c r="Q47" t="b">
        <v>0</v>
      </c>
      <c r="R47" t="b">
        <v>0</v>
      </c>
      <c r="S47" t="s">
        <v>101</v>
      </c>
      <c r="T47" t="s">
        <v>99</v>
      </c>
      <c r="U47">
        <v>2</v>
      </c>
    </row>
    <row r="48" spans="1:21" x14ac:dyDescent="0.3">
      <c r="A48" t="s">
        <v>151</v>
      </c>
      <c r="B48" s="1">
        <v>46116</v>
      </c>
      <c r="C48" s="1">
        <v>46116</v>
      </c>
      <c r="D48" s="1">
        <v>46117</v>
      </c>
      <c r="E48" s="1">
        <v>46117</v>
      </c>
      <c r="F48" t="s">
        <v>34</v>
      </c>
      <c r="G48" t="s">
        <v>61</v>
      </c>
      <c r="H48" t="s">
        <v>20</v>
      </c>
      <c r="I48" t="s">
        <v>45</v>
      </c>
      <c r="J48">
        <v>26.6</v>
      </c>
      <c r="K48">
        <v>169.5</v>
      </c>
      <c r="L48">
        <v>569000</v>
      </c>
      <c r="M48" t="b">
        <v>0</v>
      </c>
      <c r="N48" t="b">
        <v>0</v>
      </c>
      <c r="O48">
        <v>1000</v>
      </c>
      <c r="P48" t="b">
        <v>0</v>
      </c>
      <c r="Q48" t="b">
        <v>0</v>
      </c>
      <c r="R48" t="b">
        <v>0</v>
      </c>
      <c r="S48" t="s">
        <v>96</v>
      </c>
      <c r="T48" t="s">
        <v>112</v>
      </c>
    </row>
    <row r="49" spans="1:21" x14ac:dyDescent="0.3">
      <c r="A49" t="s">
        <v>152</v>
      </c>
      <c r="B49" s="1">
        <v>46042</v>
      </c>
      <c r="C49" s="1">
        <v>46043</v>
      </c>
      <c r="D49" s="1">
        <v>46044</v>
      </c>
      <c r="E49" s="1">
        <v>46044</v>
      </c>
      <c r="F49" t="s">
        <v>34</v>
      </c>
      <c r="G49" t="s">
        <v>55</v>
      </c>
      <c r="H49" t="s">
        <v>22</v>
      </c>
      <c r="I49" t="s">
        <v>45</v>
      </c>
      <c r="J49">
        <v>54.4</v>
      </c>
      <c r="K49">
        <v>168.2</v>
      </c>
      <c r="L49">
        <v>943000</v>
      </c>
      <c r="M49" t="b">
        <v>0</v>
      </c>
      <c r="N49" t="b">
        <v>0</v>
      </c>
      <c r="O49">
        <v>1000</v>
      </c>
      <c r="P49" t="b">
        <v>0</v>
      </c>
      <c r="Q49" t="b">
        <v>0</v>
      </c>
      <c r="R49" t="b">
        <v>0</v>
      </c>
      <c r="S49" t="s">
        <v>96</v>
      </c>
      <c r="T49" t="s">
        <v>104</v>
      </c>
    </row>
    <row r="50" spans="1:21" x14ac:dyDescent="0.3">
      <c r="A50" t="s">
        <v>153</v>
      </c>
      <c r="B50" s="1">
        <v>46155</v>
      </c>
      <c r="C50" s="1">
        <v>46156</v>
      </c>
      <c r="D50" s="1">
        <v>46159</v>
      </c>
      <c r="E50" s="1">
        <v>46159</v>
      </c>
      <c r="F50" t="s">
        <v>34</v>
      </c>
      <c r="G50" t="s">
        <v>59</v>
      </c>
      <c r="H50" t="s">
        <v>23</v>
      </c>
      <c r="I50" t="s">
        <v>42</v>
      </c>
      <c r="J50">
        <v>306.7</v>
      </c>
      <c r="K50">
        <v>12621.1</v>
      </c>
      <c r="L50">
        <v>10251000</v>
      </c>
      <c r="M50" t="b">
        <v>0</v>
      </c>
      <c r="N50" t="b">
        <v>0</v>
      </c>
      <c r="O50">
        <v>16000</v>
      </c>
      <c r="P50" t="b">
        <v>0</v>
      </c>
      <c r="Q50" t="b">
        <v>0</v>
      </c>
      <c r="R50" t="b">
        <v>0</v>
      </c>
      <c r="S50" t="s">
        <v>96</v>
      </c>
      <c r="T50" t="s">
        <v>102</v>
      </c>
    </row>
    <row r="51" spans="1:21" x14ac:dyDescent="0.3">
      <c r="A51" t="s">
        <v>154</v>
      </c>
      <c r="B51" s="1">
        <v>46197</v>
      </c>
      <c r="C51" s="1">
        <v>46198</v>
      </c>
      <c r="D51" s="1">
        <v>46200</v>
      </c>
      <c r="E51" s="1">
        <v>46201</v>
      </c>
      <c r="F51" t="s">
        <v>34</v>
      </c>
      <c r="G51" t="s">
        <v>58</v>
      </c>
      <c r="H51" t="s">
        <v>22</v>
      </c>
      <c r="I51" t="s">
        <v>44</v>
      </c>
      <c r="J51">
        <v>144.80000000000001</v>
      </c>
      <c r="K51">
        <v>1193.5</v>
      </c>
      <c r="L51">
        <v>2451000</v>
      </c>
      <c r="M51" t="b">
        <v>0</v>
      </c>
      <c r="N51" t="b">
        <v>0</v>
      </c>
      <c r="O51">
        <v>1500</v>
      </c>
      <c r="P51" t="b">
        <v>0</v>
      </c>
      <c r="Q51" t="b">
        <v>0</v>
      </c>
      <c r="R51" t="b">
        <v>0</v>
      </c>
      <c r="S51" t="s">
        <v>101</v>
      </c>
      <c r="T51" t="s">
        <v>99</v>
      </c>
      <c r="U51">
        <v>1</v>
      </c>
    </row>
    <row r="52" spans="1:21" x14ac:dyDescent="0.3">
      <c r="A52" t="s">
        <v>155</v>
      </c>
      <c r="B52" s="1">
        <v>46109</v>
      </c>
      <c r="C52" s="1">
        <v>46110</v>
      </c>
      <c r="D52" s="1">
        <v>46114</v>
      </c>
      <c r="E52" s="1">
        <v>46115</v>
      </c>
      <c r="F52" t="s">
        <v>31</v>
      </c>
      <c r="G52" t="s">
        <v>54</v>
      </c>
      <c r="H52" t="s">
        <v>21</v>
      </c>
      <c r="I52" t="s">
        <v>42</v>
      </c>
      <c r="J52">
        <v>470.2</v>
      </c>
      <c r="K52">
        <v>5323.1</v>
      </c>
      <c r="L52">
        <v>10422000</v>
      </c>
      <c r="M52" t="b">
        <v>0</v>
      </c>
      <c r="N52" t="b">
        <v>0</v>
      </c>
      <c r="O52">
        <v>16000</v>
      </c>
      <c r="P52" t="b">
        <v>0</v>
      </c>
      <c r="Q52" t="b">
        <v>0</v>
      </c>
      <c r="R52" t="b">
        <v>0</v>
      </c>
      <c r="S52" t="s">
        <v>101</v>
      </c>
      <c r="T52" t="s">
        <v>118</v>
      </c>
      <c r="U52">
        <v>1</v>
      </c>
    </row>
    <row r="53" spans="1:21" x14ac:dyDescent="0.3">
      <c r="A53" t="s">
        <v>156</v>
      </c>
      <c r="B53" s="1">
        <v>46054</v>
      </c>
      <c r="C53" s="1">
        <v>46055</v>
      </c>
      <c r="D53" s="1">
        <v>46057</v>
      </c>
      <c r="E53" s="1">
        <v>46058</v>
      </c>
      <c r="F53" t="s">
        <v>32</v>
      </c>
      <c r="G53" t="s">
        <v>55</v>
      </c>
      <c r="H53" t="s">
        <v>22</v>
      </c>
      <c r="I53" t="s">
        <v>42</v>
      </c>
      <c r="J53">
        <v>122.5</v>
      </c>
      <c r="K53">
        <v>13060.6</v>
      </c>
      <c r="L53">
        <v>7055000</v>
      </c>
      <c r="M53" t="b">
        <v>0</v>
      </c>
      <c r="N53" t="b">
        <v>0</v>
      </c>
      <c r="O53">
        <v>16000</v>
      </c>
      <c r="P53" t="b">
        <v>0</v>
      </c>
      <c r="Q53" t="b">
        <v>0</v>
      </c>
      <c r="R53" t="b">
        <v>0</v>
      </c>
      <c r="S53" t="s">
        <v>101</v>
      </c>
      <c r="T53" t="s">
        <v>115</v>
      </c>
      <c r="U53">
        <v>1</v>
      </c>
    </row>
    <row r="54" spans="1:21" x14ac:dyDescent="0.3">
      <c r="A54" t="s">
        <v>157</v>
      </c>
      <c r="B54" s="1">
        <v>46182</v>
      </c>
      <c r="C54" s="1">
        <v>46184</v>
      </c>
      <c r="D54" s="1">
        <v>46189</v>
      </c>
      <c r="E54" s="1">
        <v>46189</v>
      </c>
      <c r="F54" t="s">
        <v>33</v>
      </c>
      <c r="G54" t="s">
        <v>52</v>
      </c>
      <c r="H54" t="s">
        <v>23</v>
      </c>
      <c r="I54" t="s">
        <v>44</v>
      </c>
      <c r="J54">
        <v>638.29999999999995</v>
      </c>
      <c r="K54">
        <v>574.4</v>
      </c>
      <c r="L54">
        <v>7590000</v>
      </c>
      <c r="M54" t="b">
        <v>0</v>
      </c>
      <c r="N54" t="b">
        <v>0</v>
      </c>
      <c r="O54">
        <v>1500</v>
      </c>
      <c r="P54" t="b">
        <v>0</v>
      </c>
      <c r="Q54" t="b">
        <v>0</v>
      </c>
      <c r="R54" t="b">
        <v>0</v>
      </c>
      <c r="S54" t="s">
        <v>96</v>
      </c>
      <c r="T54" t="s">
        <v>99</v>
      </c>
    </row>
    <row r="55" spans="1:21" x14ac:dyDescent="0.3">
      <c r="A55" t="s">
        <v>158</v>
      </c>
      <c r="B55" s="1">
        <v>46070</v>
      </c>
      <c r="C55" s="1">
        <v>46070</v>
      </c>
      <c r="D55" s="1">
        <v>46072</v>
      </c>
      <c r="E55" s="1">
        <v>46072</v>
      </c>
      <c r="F55" t="s">
        <v>31</v>
      </c>
      <c r="G55" t="s">
        <v>63</v>
      </c>
      <c r="H55" t="s">
        <v>23</v>
      </c>
      <c r="I55" t="s">
        <v>42</v>
      </c>
      <c r="J55">
        <v>295.2</v>
      </c>
      <c r="K55">
        <v>8981.9</v>
      </c>
      <c r="L55">
        <v>8101000</v>
      </c>
      <c r="M55" t="b">
        <v>0</v>
      </c>
      <c r="N55" t="b">
        <v>0</v>
      </c>
      <c r="O55">
        <v>16000</v>
      </c>
      <c r="P55" t="b">
        <v>0</v>
      </c>
      <c r="Q55" t="b">
        <v>0</v>
      </c>
      <c r="R55" t="b">
        <v>0</v>
      </c>
      <c r="S55" t="s">
        <v>96</v>
      </c>
      <c r="T55" t="s">
        <v>115</v>
      </c>
    </row>
    <row r="56" spans="1:21" x14ac:dyDescent="0.3">
      <c r="A56" t="s">
        <v>159</v>
      </c>
      <c r="B56" s="1">
        <v>46201</v>
      </c>
      <c r="C56" s="1">
        <v>46202</v>
      </c>
      <c r="D56" s="1">
        <v>46206</v>
      </c>
      <c r="E56" s="1">
        <v>46206</v>
      </c>
      <c r="F56" t="s">
        <v>31</v>
      </c>
      <c r="G56" t="s">
        <v>56</v>
      </c>
      <c r="H56" t="s">
        <v>20</v>
      </c>
      <c r="I56" t="s">
        <v>44</v>
      </c>
      <c r="J56">
        <v>929.8</v>
      </c>
      <c r="K56">
        <v>806.5</v>
      </c>
      <c r="L56">
        <v>9579000</v>
      </c>
      <c r="M56" t="b">
        <v>0</v>
      </c>
      <c r="N56" t="b">
        <v>0</v>
      </c>
      <c r="O56">
        <v>1500</v>
      </c>
      <c r="P56" t="b">
        <v>0</v>
      </c>
      <c r="Q56" t="b">
        <v>0</v>
      </c>
      <c r="R56" t="b">
        <v>0</v>
      </c>
      <c r="S56" t="s">
        <v>96</v>
      </c>
      <c r="T56" t="s">
        <v>99</v>
      </c>
    </row>
    <row r="57" spans="1:21" x14ac:dyDescent="0.3">
      <c r="A57" t="s">
        <v>160</v>
      </c>
      <c r="B57" s="1">
        <v>46192</v>
      </c>
      <c r="C57" s="1">
        <v>46193</v>
      </c>
      <c r="D57" s="1">
        <v>46195</v>
      </c>
      <c r="E57" s="1">
        <v>46195</v>
      </c>
      <c r="F57" t="s">
        <v>34</v>
      </c>
      <c r="G57" t="s">
        <v>58</v>
      </c>
      <c r="H57" t="s">
        <v>24</v>
      </c>
      <c r="I57" t="s">
        <v>44</v>
      </c>
      <c r="J57">
        <v>159.30000000000001</v>
      </c>
      <c r="K57">
        <v>253.6</v>
      </c>
      <c r="L57">
        <v>2138000</v>
      </c>
      <c r="M57" t="b">
        <v>0</v>
      </c>
      <c r="N57" t="b">
        <v>0</v>
      </c>
      <c r="O57">
        <v>1500</v>
      </c>
      <c r="P57" t="b">
        <v>0</v>
      </c>
      <c r="Q57" t="b">
        <v>0</v>
      </c>
      <c r="R57" t="b">
        <v>0</v>
      </c>
      <c r="S57" t="s">
        <v>96</v>
      </c>
      <c r="T57" t="s">
        <v>99</v>
      </c>
    </row>
    <row r="58" spans="1:21" x14ac:dyDescent="0.3">
      <c r="A58" t="s">
        <v>161</v>
      </c>
      <c r="B58" s="1">
        <v>46163</v>
      </c>
      <c r="C58" s="1">
        <v>46163</v>
      </c>
      <c r="D58" s="1">
        <v>46166</v>
      </c>
      <c r="E58" s="1">
        <v>46168</v>
      </c>
      <c r="F58" t="s">
        <v>32</v>
      </c>
      <c r="G58" t="s">
        <v>52</v>
      </c>
      <c r="H58" t="s">
        <v>22</v>
      </c>
      <c r="I58" t="s">
        <v>42</v>
      </c>
      <c r="J58">
        <v>328.9</v>
      </c>
      <c r="K58">
        <v>6284.9</v>
      </c>
      <c r="L58">
        <v>9044000</v>
      </c>
      <c r="M58" t="b">
        <v>0</v>
      </c>
      <c r="N58" t="b">
        <v>0</v>
      </c>
      <c r="O58">
        <v>16000</v>
      </c>
      <c r="P58" t="b">
        <v>0</v>
      </c>
      <c r="Q58" t="b">
        <v>0</v>
      </c>
      <c r="R58" t="b">
        <v>0</v>
      </c>
      <c r="S58" t="s">
        <v>101</v>
      </c>
      <c r="T58" t="s">
        <v>102</v>
      </c>
      <c r="U58">
        <v>2</v>
      </c>
    </row>
    <row r="59" spans="1:21" x14ac:dyDescent="0.3">
      <c r="A59" t="s">
        <v>162</v>
      </c>
      <c r="B59" s="1">
        <v>46191</v>
      </c>
      <c r="C59" s="1">
        <v>46193</v>
      </c>
      <c r="D59" s="1">
        <v>46195</v>
      </c>
      <c r="E59" s="1">
        <v>46195</v>
      </c>
      <c r="F59" t="s">
        <v>32</v>
      </c>
      <c r="G59" t="s">
        <v>63</v>
      </c>
      <c r="H59" t="s">
        <v>22</v>
      </c>
      <c r="I59" t="s">
        <v>43</v>
      </c>
      <c r="J59">
        <v>174.4</v>
      </c>
      <c r="K59">
        <v>2814.2</v>
      </c>
      <c r="L59">
        <v>4454000</v>
      </c>
      <c r="M59" t="b">
        <v>0</v>
      </c>
      <c r="N59" t="b">
        <v>0</v>
      </c>
      <c r="O59">
        <v>5000</v>
      </c>
      <c r="P59" t="b">
        <v>0</v>
      </c>
      <c r="Q59" t="b">
        <v>0</v>
      </c>
      <c r="R59" t="b">
        <v>0</v>
      </c>
      <c r="S59" t="s">
        <v>96</v>
      </c>
      <c r="T59" t="s">
        <v>99</v>
      </c>
    </row>
    <row r="60" spans="1:21" x14ac:dyDescent="0.3">
      <c r="A60" t="s">
        <v>163</v>
      </c>
      <c r="B60" s="1">
        <v>46155</v>
      </c>
      <c r="C60" s="1">
        <v>46156</v>
      </c>
      <c r="D60" s="1">
        <v>46157</v>
      </c>
      <c r="E60" s="1">
        <v>46157</v>
      </c>
      <c r="F60" t="s">
        <v>34</v>
      </c>
      <c r="G60" t="s">
        <v>55</v>
      </c>
      <c r="H60" t="s">
        <v>20</v>
      </c>
      <c r="I60" t="s">
        <v>42</v>
      </c>
      <c r="J60">
        <v>53.9</v>
      </c>
      <c r="K60">
        <v>8640.4</v>
      </c>
      <c r="L60">
        <v>4009000</v>
      </c>
      <c r="M60" t="b">
        <v>0</v>
      </c>
      <c r="N60" t="b">
        <v>0</v>
      </c>
      <c r="O60">
        <v>16000</v>
      </c>
      <c r="P60" t="b">
        <v>0</v>
      </c>
      <c r="Q60" t="b">
        <v>0</v>
      </c>
      <c r="R60" t="b">
        <v>0</v>
      </c>
      <c r="S60" t="s">
        <v>96</v>
      </c>
      <c r="T60" t="s">
        <v>102</v>
      </c>
    </row>
    <row r="61" spans="1:21" x14ac:dyDescent="0.3">
      <c r="A61" t="s">
        <v>164</v>
      </c>
      <c r="B61" s="1">
        <v>46106</v>
      </c>
      <c r="C61" s="1">
        <v>46107</v>
      </c>
      <c r="D61" s="1">
        <v>46109</v>
      </c>
      <c r="E61" s="1">
        <v>46111</v>
      </c>
      <c r="F61" t="s">
        <v>33</v>
      </c>
      <c r="G61" t="s">
        <v>63</v>
      </c>
      <c r="H61" t="s">
        <v>24</v>
      </c>
      <c r="I61" t="s">
        <v>44</v>
      </c>
      <c r="J61">
        <v>299.10000000000002</v>
      </c>
      <c r="K61">
        <v>551.20000000000005</v>
      </c>
      <c r="L61">
        <v>3681000</v>
      </c>
      <c r="M61" t="b">
        <v>0</v>
      </c>
      <c r="N61" t="b">
        <v>0</v>
      </c>
      <c r="O61">
        <v>1500</v>
      </c>
      <c r="P61" t="b">
        <v>0</v>
      </c>
      <c r="Q61" t="b">
        <v>0</v>
      </c>
      <c r="R61" t="b">
        <v>0</v>
      </c>
      <c r="S61" t="s">
        <v>101</v>
      </c>
      <c r="T61" t="s">
        <v>118</v>
      </c>
      <c r="U61">
        <v>2</v>
      </c>
    </row>
    <row r="62" spans="1:21" x14ac:dyDescent="0.3">
      <c r="A62" t="s">
        <v>165</v>
      </c>
      <c r="B62" s="1">
        <v>46065</v>
      </c>
      <c r="C62" s="1">
        <v>46066</v>
      </c>
      <c r="D62" s="1">
        <v>46071</v>
      </c>
      <c r="E62" s="1">
        <v>46071</v>
      </c>
      <c r="F62" t="s">
        <v>32</v>
      </c>
      <c r="G62" t="s">
        <v>62</v>
      </c>
      <c r="H62" t="s">
        <v>24</v>
      </c>
      <c r="I62" t="s">
        <v>44</v>
      </c>
      <c r="J62">
        <v>603.4</v>
      </c>
      <c r="K62">
        <v>1085.7</v>
      </c>
      <c r="L62">
        <v>6408000</v>
      </c>
      <c r="M62" t="b">
        <v>0</v>
      </c>
      <c r="N62" t="b">
        <v>0</v>
      </c>
      <c r="O62">
        <v>1500</v>
      </c>
      <c r="P62" t="b">
        <v>0</v>
      </c>
      <c r="Q62" t="b">
        <v>0</v>
      </c>
      <c r="R62" t="b">
        <v>0</v>
      </c>
      <c r="S62" t="s">
        <v>96</v>
      </c>
      <c r="T62" t="s">
        <v>115</v>
      </c>
    </row>
    <row r="63" spans="1:21" x14ac:dyDescent="0.3">
      <c r="A63" t="s">
        <v>166</v>
      </c>
      <c r="B63" s="1">
        <v>46120</v>
      </c>
      <c r="C63" s="1">
        <v>46121</v>
      </c>
      <c r="D63" s="1">
        <v>46124</v>
      </c>
      <c r="E63" s="1">
        <v>46126</v>
      </c>
      <c r="F63" t="s">
        <v>34</v>
      </c>
      <c r="G63" t="s">
        <v>54</v>
      </c>
      <c r="H63" t="s">
        <v>23</v>
      </c>
      <c r="I63" t="s">
        <v>43</v>
      </c>
      <c r="J63">
        <v>428.6</v>
      </c>
      <c r="K63">
        <v>3307.7</v>
      </c>
      <c r="L63">
        <v>7005000</v>
      </c>
      <c r="M63" t="b">
        <v>0</v>
      </c>
      <c r="N63" t="b">
        <v>0</v>
      </c>
      <c r="O63">
        <v>5000</v>
      </c>
      <c r="P63" t="b">
        <v>0</v>
      </c>
      <c r="Q63" t="b">
        <v>0</v>
      </c>
      <c r="R63" t="b">
        <v>0</v>
      </c>
      <c r="S63" t="s">
        <v>101</v>
      </c>
      <c r="T63" t="s">
        <v>112</v>
      </c>
      <c r="U63">
        <v>2</v>
      </c>
    </row>
    <row r="64" spans="1:21" x14ac:dyDescent="0.3">
      <c r="A64" t="s">
        <v>167</v>
      </c>
      <c r="B64" s="1">
        <v>46083</v>
      </c>
      <c r="C64" s="1">
        <v>46084</v>
      </c>
      <c r="D64" s="1">
        <v>46087</v>
      </c>
      <c r="E64" s="1">
        <v>46087</v>
      </c>
      <c r="F64" t="s">
        <v>34</v>
      </c>
      <c r="G64" t="s">
        <v>54</v>
      </c>
      <c r="H64" t="s">
        <v>20</v>
      </c>
      <c r="I64" t="s">
        <v>44</v>
      </c>
      <c r="J64">
        <v>450.8</v>
      </c>
      <c r="K64">
        <v>970.9</v>
      </c>
      <c r="L64">
        <v>5330000</v>
      </c>
      <c r="M64" t="b">
        <v>0</v>
      </c>
      <c r="N64" t="b">
        <v>0</v>
      </c>
      <c r="O64">
        <v>1500</v>
      </c>
      <c r="P64" t="b">
        <v>0</v>
      </c>
      <c r="Q64" t="b">
        <v>0</v>
      </c>
      <c r="R64" t="b">
        <v>0</v>
      </c>
      <c r="S64" t="s">
        <v>96</v>
      </c>
      <c r="T64" t="s">
        <v>118</v>
      </c>
    </row>
    <row r="65" spans="1:21" x14ac:dyDescent="0.3">
      <c r="A65" t="s">
        <v>168</v>
      </c>
      <c r="B65" s="1">
        <v>46090</v>
      </c>
      <c r="C65" s="1">
        <v>46091</v>
      </c>
      <c r="D65" s="1">
        <v>46093</v>
      </c>
      <c r="E65" s="1">
        <v>46093</v>
      </c>
      <c r="F65" t="s">
        <v>32</v>
      </c>
      <c r="G65" t="s">
        <v>63</v>
      </c>
      <c r="H65" t="s">
        <v>20</v>
      </c>
      <c r="I65" t="s">
        <v>44</v>
      </c>
      <c r="J65">
        <v>177.4</v>
      </c>
      <c r="K65">
        <v>479.9</v>
      </c>
      <c r="L65">
        <v>2236000</v>
      </c>
      <c r="M65" t="b">
        <v>0</v>
      </c>
      <c r="N65" t="b">
        <v>0</v>
      </c>
      <c r="O65">
        <v>1500</v>
      </c>
      <c r="P65" t="b">
        <v>0</v>
      </c>
      <c r="Q65" t="b">
        <v>0</v>
      </c>
      <c r="R65" t="b">
        <v>0</v>
      </c>
      <c r="S65" t="s">
        <v>96</v>
      </c>
      <c r="T65" t="s">
        <v>118</v>
      </c>
    </row>
    <row r="66" spans="1:21" x14ac:dyDescent="0.3">
      <c r="A66" t="s">
        <v>169</v>
      </c>
      <c r="B66" s="1">
        <v>46182</v>
      </c>
      <c r="C66" s="1">
        <v>46182</v>
      </c>
      <c r="D66" s="1">
        <v>46185</v>
      </c>
      <c r="E66" s="1">
        <v>46185</v>
      </c>
      <c r="F66" t="s">
        <v>34</v>
      </c>
      <c r="G66" t="s">
        <v>54</v>
      </c>
      <c r="H66" t="s">
        <v>22</v>
      </c>
      <c r="I66" t="s">
        <v>43</v>
      </c>
      <c r="J66">
        <v>430.8</v>
      </c>
      <c r="K66">
        <v>2083.5</v>
      </c>
      <c r="L66">
        <v>7272000</v>
      </c>
      <c r="M66" t="b">
        <v>0</v>
      </c>
      <c r="N66" t="b">
        <v>0</v>
      </c>
      <c r="O66">
        <v>5000</v>
      </c>
      <c r="P66" t="b">
        <v>0</v>
      </c>
      <c r="Q66" t="b">
        <v>0</v>
      </c>
      <c r="R66" t="b">
        <v>0</v>
      </c>
      <c r="S66" t="s">
        <v>96</v>
      </c>
      <c r="T66" t="s">
        <v>99</v>
      </c>
    </row>
    <row r="67" spans="1:21" x14ac:dyDescent="0.3">
      <c r="A67" t="s">
        <v>170</v>
      </c>
      <c r="B67" s="1">
        <v>46132</v>
      </c>
      <c r="C67" s="1">
        <v>46133</v>
      </c>
      <c r="D67" s="1">
        <v>46135</v>
      </c>
      <c r="E67" s="1">
        <v>46137</v>
      </c>
      <c r="F67" t="s">
        <v>32</v>
      </c>
      <c r="G67" t="s">
        <v>53</v>
      </c>
      <c r="H67" t="s">
        <v>23</v>
      </c>
      <c r="I67" t="s">
        <v>42</v>
      </c>
      <c r="J67">
        <v>284.5</v>
      </c>
      <c r="K67">
        <v>2552.8000000000002</v>
      </c>
      <c r="L67">
        <v>7472000</v>
      </c>
      <c r="M67" t="b">
        <v>0</v>
      </c>
      <c r="N67" t="b">
        <v>0</v>
      </c>
      <c r="O67">
        <v>16000</v>
      </c>
      <c r="P67" t="b">
        <v>0</v>
      </c>
      <c r="Q67" t="b">
        <v>0</v>
      </c>
      <c r="R67" t="b">
        <v>0</v>
      </c>
      <c r="S67" t="s">
        <v>101</v>
      </c>
      <c r="T67" t="s">
        <v>112</v>
      </c>
      <c r="U67">
        <v>2</v>
      </c>
    </row>
    <row r="68" spans="1:21" x14ac:dyDescent="0.3">
      <c r="A68" t="s">
        <v>171</v>
      </c>
      <c r="B68" s="1">
        <v>46143</v>
      </c>
      <c r="C68" s="1">
        <v>46144</v>
      </c>
      <c r="D68" s="1">
        <v>46146</v>
      </c>
      <c r="E68" s="1">
        <v>46148</v>
      </c>
      <c r="F68" t="s">
        <v>34</v>
      </c>
      <c r="G68" t="s">
        <v>58</v>
      </c>
      <c r="H68" t="s">
        <v>24</v>
      </c>
      <c r="I68" t="s">
        <v>43</v>
      </c>
      <c r="J68">
        <v>150.9</v>
      </c>
      <c r="K68">
        <v>1420.6</v>
      </c>
      <c r="L68">
        <v>2856000</v>
      </c>
      <c r="M68" t="b">
        <v>0</v>
      </c>
      <c r="N68" t="b">
        <v>0</v>
      </c>
      <c r="O68">
        <v>5000</v>
      </c>
      <c r="P68" t="b">
        <v>0</v>
      </c>
      <c r="Q68" t="b">
        <v>0</v>
      </c>
      <c r="R68" t="b">
        <v>0</v>
      </c>
      <c r="S68" t="s">
        <v>101</v>
      </c>
      <c r="T68" t="s">
        <v>102</v>
      </c>
      <c r="U68">
        <v>2</v>
      </c>
    </row>
    <row r="69" spans="1:21" x14ac:dyDescent="0.3">
      <c r="A69" t="s">
        <v>172</v>
      </c>
      <c r="B69" s="1">
        <v>46174</v>
      </c>
      <c r="C69" s="1">
        <v>46175</v>
      </c>
      <c r="D69" s="1">
        <v>46178</v>
      </c>
      <c r="E69" s="1">
        <v>46179</v>
      </c>
      <c r="F69" t="s">
        <v>32</v>
      </c>
      <c r="G69" t="s">
        <v>55</v>
      </c>
      <c r="H69" t="s">
        <v>23</v>
      </c>
      <c r="I69" t="s">
        <v>45</v>
      </c>
      <c r="J69">
        <v>127.8</v>
      </c>
      <c r="K69">
        <v>333.1</v>
      </c>
      <c r="L69">
        <v>1586000</v>
      </c>
      <c r="M69" t="b">
        <v>0</v>
      </c>
      <c r="N69" t="b">
        <v>0</v>
      </c>
      <c r="O69">
        <v>1000</v>
      </c>
      <c r="P69" t="b">
        <v>0</v>
      </c>
      <c r="Q69" t="b">
        <v>0</v>
      </c>
      <c r="R69" t="b">
        <v>0</v>
      </c>
      <c r="S69" t="s">
        <v>101</v>
      </c>
      <c r="T69" t="s">
        <v>99</v>
      </c>
      <c r="U69">
        <v>1</v>
      </c>
    </row>
    <row r="70" spans="1:21" x14ac:dyDescent="0.3">
      <c r="A70" t="s">
        <v>173</v>
      </c>
      <c r="B70" s="1">
        <v>46107</v>
      </c>
      <c r="C70" s="1">
        <v>46108</v>
      </c>
      <c r="D70" s="1">
        <v>46112</v>
      </c>
      <c r="E70" s="1">
        <v>46112</v>
      </c>
      <c r="F70" t="s">
        <v>32</v>
      </c>
      <c r="G70" t="s">
        <v>62</v>
      </c>
      <c r="H70" t="s">
        <v>20</v>
      </c>
      <c r="I70" t="s">
        <v>42</v>
      </c>
      <c r="J70">
        <v>612.70000000000005</v>
      </c>
      <c r="K70">
        <v>10755.2</v>
      </c>
      <c r="L70">
        <v>15363000</v>
      </c>
      <c r="M70" t="b">
        <v>0</v>
      </c>
      <c r="N70" t="b">
        <v>0</v>
      </c>
      <c r="O70">
        <v>16000</v>
      </c>
      <c r="P70" t="b">
        <v>0</v>
      </c>
      <c r="Q70" t="b">
        <v>0</v>
      </c>
      <c r="R70" t="b">
        <v>0</v>
      </c>
      <c r="S70" t="s">
        <v>96</v>
      </c>
      <c r="T70" t="s">
        <v>118</v>
      </c>
    </row>
    <row r="71" spans="1:21" x14ac:dyDescent="0.3">
      <c r="A71" t="s">
        <v>174</v>
      </c>
      <c r="B71" s="1">
        <v>46112</v>
      </c>
      <c r="C71" s="1">
        <v>46113</v>
      </c>
      <c r="D71" s="1">
        <v>46116</v>
      </c>
      <c r="E71" s="1">
        <v>46117</v>
      </c>
      <c r="F71" t="s">
        <v>31</v>
      </c>
      <c r="G71" t="s">
        <v>52</v>
      </c>
      <c r="H71" t="s">
        <v>20</v>
      </c>
      <c r="I71" t="s">
        <v>44</v>
      </c>
      <c r="J71">
        <v>302.2</v>
      </c>
      <c r="K71">
        <v>647.79999999999995</v>
      </c>
      <c r="L71">
        <v>3964000</v>
      </c>
      <c r="M71" t="b">
        <v>0</v>
      </c>
      <c r="N71" t="b">
        <v>0</v>
      </c>
      <c r="O71">
        <v>1500</v>
      </c>
      <c r="P71" t="b">
        <v>0</v>
      </c>
      <c r="Q71" t="b">
        <v>0</v>
      </c>
      <c r="R71" t="b">
        <v>0</v>
      </c>
      <c r="S71" t="s">
        <v>101</v>
      </c>
      <c r="T71" t="s">
        <v>112</v>
      </c>
      <c r="U71">
        <v>1</v>
      </c>
    </row>
    <row r="72" spans="1:21" x14ac:dyDescent="0.3">
      <c r="A72" t="s">
        <v>175</v>
      </c>
      <c r="B72" s="1">
        <v>46077</v>
      </c>
      <c r="C72" s="1">
        <v>46078</v>
      </c>
      <c r="D72" s="1">
        <v>46082</v>
      </c>
      <c r="E72" s="1">
        <v>46082</v>
      </c>
      <c r="F72" t="s">
        <v>33</v>
      </c>
      <c r="G72" t="s">
        <v>54</v>
      </c>
      <c r="H72" t="s">
        <v>23</v>
      </c>
      <c r="I72" t="s">
        <v>44</v>
      </c>
      <c r="J72">
        <v>793.2</v>
      </c>
      <c r="L72">
        <v>8855000</v>
      </c>
      <c r="M72" t="b">
        <v>0</v>
      </c>
      <c r="N72" t="b">
        <v>1</v>
      </c>
      <c r="O72">
        <v>1500</v>
      </c>
      <c r="P72" t="b">
        <v>0</v>
      </c>
      <c r="Q72" t="b">
        <v>0</v>
      </c>
      <c r="R72" t="b">
        <v>1</v>
      </c>
      <c r="S72" t="s">
        <v>96</v>
      </c>
      <c r="T72" t="s">
        <v>115</v>
      </c>
    </row>
    <row r="73" spans="1:21" x14ac:dyDescent="0.3">
      <c r="A73" t="s">
        <v>176</v>
      </c>
      <c r="B73" s="1">
        <v>46197</v>
      </c>
      <c r="C73" s="1">
        <v>46199</v>
      </c>
      <c r="D73" s="1">
        <v>46201</v>
      </c>
      <c r="E73" s="1">
        <v>46201</v>
      </c>
      <c r="F73" t="s">
        <v>31</v>
      </c>
      <c r="G73" t="s">
        <v>52</v>
      </c>
      <c r="H73" t="s">
        <v>20</v>
      </c>
      <c r="I73" t="s">
        <v>45</v>
      </c>
      <c r="J73">
        <v>286</v>
      </c>
      <c r="K73">
        <v>133.1</v>
      </c>
      <c r="L73">
        <v>2969000</v>
      </c>
      <c r="M73" t="b">
        <v>0</v>
      </c>
      <c r="N73" t="b">
        <v>0</v>
      </c>
      <c r="O73">
        <v>1000</v>
      </c>
      <c r="P73" t="b">
        <v>0</v>
      </c>
      <c r="Q73" t="b">
        <v>0</v>
      </c>
      <c r="R73" t="b">
        <v>0</v>
      </c>
      <c r="S73" t="s">
        <v>96</v>
      </c>
      <c r="T73" t="s">
        <v>99</v>
      </c>
    </row>
    <row r="74" spans="1:21" x14ac:dyDescent="0.3">
      <c r="A74" t="s">
        <v>177</v>
      </c>
      <c r="B74" s="1">
        <v>46153</v>
      </c>
      <c r="C74" s="1">
        <v>46154</v>
      </c>
      <c r="D74" s="1">
        <v>46157</v>
      </c>
      <c r="E74" s="1">
        <v>46157</v>
      </c>
      <c r="F74" t="s">
        <v>31</v>
      </c>
      <c r="G74" t="s">
        <v>54</v>
      </c>
      <c r="H74" t="s">
        <v>22</v>
      </c>
      <c r="I74" t="s">
        <v>45</v>
      </c>
      <c r="J74">
        <v>514.20000000000005</v>
      </c>
      <c r="K74">
        <v>673.8</v>
      </c>
      <c r="L74">
        <v>5169000</v>
      </c>
      <c r="M74" t="b">
        <v>0</v>
      </c>
      <c r="N74" t="b">
        <v>0</v>
      </c>
      <c r="O74">
        <v>1000</v>
      </c>
      <c r="P74" t="b">
        <v>0</v>
      </c>
      <c r="Q74" t="b">
        <v>0</v>
      </c>
      <c r="R74" t="b">
        <v>0</v>
      </c>
      <c r="S74" t="s">
        <v>96</v>
      </c>
      <c r="T74" t="s">
        <v>102</v>
      </c>
    </row>
    <row r="75" spans="1:21" x14ac:dyDescent="0.3">
      <c r="A75" t="s">
        <v>178</v>
      </c>
      <c r="B75" s="1">
        <v>46108</v>
      </c>
      <c r="C75" s="1">
        <v>46109</v>
      </c>
      <c r="D75" s="1">
        <v>46114</v>
      </c>
      <c r="E75" s="1">
        <v>46117</v>
      </c>
      <c r="F75" t="s">
        <v>33</v>
      </c>
      <c r="G75" t="s">
        <v>61</v>
      </c>
      <c r="H75" t="s">
        <v>22</v>
      </c>
      <c r="I75" t="s">
        <v>43</v>
      </c>
      <c r="J75">
        <v>625.1</v>
      </c>
      <c r="K75">
        <v>3001</v>
      </c>
      <c r="L75">
        <v>8598000</v>
      </c>
      <c r="M75" t="b">
        <v>0</v>
      </c>
      <c r="N75" t="b">
        <v>0</v>
      </c>
      <c r="O75">
        <v>5000</v>
      </c>
      <c r="P75" t="b">
        <v>0</v>
      </c>
      <c r="Q75" t="b">
        <v>0</v>
      </c>
      <c r="R75" t="b">
        <v>0</v>
      </c>
      <c r="S75" t="s">
        <v>101</v>
      </c>
      <c r="T75" t="s">
        <v>118</v>
      </c>
      <c r="U75">
        <v>3</v>
      </c>
    </row>
    <row r="76" spans="1:21" x14ac:dyDescent="0.3">
      <c r="A76" t="s">
        <v>179</v>
      </c>
      <c r="B76" s="1">
        <v>46024</v>
      </c>
      <c r="C76" s="1">
        <v>46024</v>
      </c>
      <c r="D76" s="1">
        <v>46028</v>
      </c>
      <c r="E76" s="1">
        <v>46028</v>
      </c>
      <c r="F76" t="s">
        <v>34</v>
      </c>
      <c r="G76" t="s">
        <v>60</v>
      </c>
      <c r="H76" t="s">
        <v>23</v>
      </c>
      <c r="I76" t="s">
        <v>43</v>
      </c>
      <c r="J76">
        <v>604.4</v>
      </c>
      <c r="K76">
        <v>1084.4000000000001</v>
      </c>
      <c r="L76">
        <v>7956000</v>
      </c>
      <c r="M76" t="b">
        <v>0</v>
      </c>
      <c r="N76" t="b">
        <v>0</v>
      </c>
      <c r="O76">
        <v>5000</v>
      </c>
      <c r="P76" t="b">
        <v>0</v>
      </c>
      <c r="Q76" t="b">
        <v>0</v>
      </c>
      <c r="R76" t="b">
        <v>0</v>
      </c>
      <c r="S76" t="s">
        <v>96</v>
      </c>
      <c r="T76" t="s">
        <v>104</v>
      </c>
    </row>
    <row r="77" spans="1:21" x14ac:dyDescent="0.3">
      <c r="A77" t="s">
        <v>180</v>
      </c>
      <c r="B77" s="1">
        <v>46084</v>
      </c>
      <c r="C77" s="1">
        <v>46085</v>
      </c>
      <c r="D77" s="1">
        <v>46086</v>
      </c>
      <c r="E77" s="1">
        <v>46087</v>
      </c>
      <c r="F77" t="s">
        <v>31</v>
      </c>
      <c r="G77" t="s">
        <v>61</v>
      </c>
      <c r="H77" t="s">
        <v>21</v>
      </c>
      <c r="I77" t="s">
        <v>44</v>
      </c>
      <c r="J77">
        <v>56</v>
      </c>
      <c r="K77">
        <v>1065.5</v>
      </c>
      <c r="L77">
        <v>1418000</v>
      </c>
      <c r="M77" t="b">
        <v>0</v>
      </c>
      <c r="N77" t="b">
        <v>0</v>
      </c>
      <c r="O77">
        <v>1500</v>
      </c>
      <c r="P77" t="b">
        <v>0</v>
      </c>
      <c r="Q77" t="b">
        <v>0</v>
      </c>
      <c r="R77" t="b">
        <v>0</v>
      </c>
      <c r="S77" t="s">
        <v>101</v>
      </c>
      <c r="T77" t="s">
        <v>118</v>
      </c>
      <c r="U77">
        <v>1</v>
      </c>
    </row>
    <row r="78" spans="1:21" x14ac:dyDescent="0.3">
      <c r="A78" t="s">
        <v>181</v>
      </c>
      <c r="B78" s="1">
        <v>46123</v>
      </c>
      <c r="C78" s="1">
        <v>46124</v>
      </c>
      <c r="D78" s="1">
        <v>46127</v>
      </c>
      <c r="E78" s="1">
        <v>46127</v>
      </c>
      <c r="F78" t="s">
        <v>34</v>
      </c>
      <c r="G78" t="s">
        <v>58</v>
      </c>
      <c r="H78" t="s">
        <v>20</v>
      </c>
      <c r="I78" t="s">
        <v>42</v>
      </c>
      <c r="J78">
        <v>155</v>
      </c>
      <c r="K78">
        <v>10389.299999999999</v>
      </c>
      <c r="L78">
        <v>6722000</v>
      </c>
      <c r="M78" t="b">
        <v>0</v>
      </c>
      <c r="N78" t="b">
        <v>0</v>
      </c>
      <c r="O78">
        <v>16000</v>
      </c>
      <c r="P78" t="b">
        <v>0</v>
      </c>
      <c r="Q78" t="b">
        <v>0</v>
      </c>
      <c r="R78" t="b">
        <v>0</v>
      </c>
      <c r="S78" t="s">
        <v>96</v>
      </c>
      <c r="T78" t="s">
        <v>112</v>
      </c>
    </row>
    <row r="79" spans="1:21" x14ac:dyDescent="0.3">
      <c r="A79" t="s">
        <v>182</v>
      </c>
      <c r="B79" s="1">
        <v>46057</v>
      </c>
      <c r="C79" s="1">
        <v>46057</v>
      </c>
      <c r="D79" s="1">
        <v>46061</v>
      </c>
      <c r="E79" s="1">
        <v>46062</v>
      </c>
      <c r="F79" t="s">
        <v>33</v>
      </c>
      <c r="G79" t="s">
        <v>54</v>
      </c>
      <c r="H79" t="s">
        <v>20</v>
      </c>
      <c r="I79" t="s">
        <v>42</v>
      </c>
      <c r="J79">
        <v>936.8</v>
      </c>
      <c r="K79">
        <v>13606.3</v>
      </c>
      <c r="L79">
        <v>20939000</v>
      </c>
      <c r="M79" t="b">
        <v>0</v>
      </c>
      <c r="N79" t="b">
        <v>0</v>
      </c>
      <c r="O79">
        <v>16000</v>
      </c>
      <c r="P79" t="b">
        <v>0</v>
      </c>
      <c r="Q79" t="b">
        <v>0</v>
      </c>
      <c r="R79" t="b">
        <v>0</v>
      </c>
      <c r="S79" t="s">
        <v>101</v>
      </c>
      <c r="T79" t="s">
        <v>115</v>
      </c>
      <c r="U79">
        <v>1</v>
      </c>
    </row>
    <row r="80" spans="1:21" x14ac:dyDescent="0.3">
      <c r="A80" t="s">
        <v>183</v>
      </c>
      <c r="B80" s="1">
        <v>46048</v>
      </c>
      <c r="C80" s="1">
        <v>46050</v>
      </c>
      <c r="D80" s="1">
        <v>46054</v>
      </c>
      <c r="E80" s="1">
        <v>46054</v>
      </c>
      <c r="F80" t="s">
        <v>34</v>
      </c>
      <c r="G80" t="s">
        <v>56</v>
      </c>
      <c r="H80" t="s">
        <v>24</v>
      </c>
      <c r="I80" t="s">
        <v>44</v>
      </c>
      <c r="J80">
        <v>878.3</v>
      </c>
      <c r="K80">
        <v>953</v>
      </c>
      <c r="L80">
        <v>9083000</v>
      </c>
      <c r="M80" t="b">
        <v>0</v>
      </c>
      <c r="N80" t="b">
        <v>0</v>
      </c>
      <c r="O80">
        <v>1500</v>
      </c>
      <c r="P80" t="b">
        <v>0</v>
      </c>
      <c r="Q80" t="b">
        <v>0</v>
      </c>
      <c r="R80" t="b">
        <v>0</v>
      </c>
      <c r="S80" t="s">
        <v>96</v>
      </c>
      <c r="T80" t="s">
        <v>104</v>
      </c>
    </row>
    <row r="81" spans="1:21" x14ac:dyDescent="0.3">
      <c r="A81" t="s">
        <v>184</v>
      </c>
      <c r="B81" s="1">
        <v>46120</v>
      </c>
      <c r="C81" s="1">
        <v>46120</v>
      </c>
      <c r="D81" s="1">
        <v>46123</v>
      </c>
      <c r="E81" s="1">
        <v>46123</v>
      </c>
      <c r="F81" t="s">
        <v>32</v>
      </c>
      <c r="G81" t="s">
        <v>60</v>
      </c>
      <c r="H81" t="s">
        <v>23</v>
      </c>
      <c r="I81" t="s">
        <v>44</v>
      </c>
      <c r="J81">
        <v>441.6</v>
      </c>
      <c r="K81">
        <v>1016.7</v>
      </c>
      <c r="L81">
        <v>5731000</v>
      </c>
      <c r="M81" t="b">
        <v>0</v>
      </c>
      <c r="N81" t="b">
        <v>0</v>
      </c>
      <c r="O81">
        <v>1500</v>
      </c>
      <c r="P81" t="b">
        <v>0</v>
      </c>
      <c r="Q81" t="b">
        <v>0</v>
      </c>
      <c r="R81" t="b">
        <v>0</v>
      </c>
      <c r="S81" t="s">
        <v>96</v>
      </c>
      <c r="T81" t="s">
        <v>112</v>
      </c>
    </row>
    <row r="82" spans="1:21" x14ac:dyDescent="0.3">
      <c r="A82" t="s">
        <v>185</v>
      </c>
      <c r="B82" s="1">
        <v>46035</v>
      </c>
      <c r="C82" s="1">
        <v>46036</v>
      </c>
      <c r="D82" s="1">
        <v>46039</v>
      </c>
      <c r="E82" s="1">
        <v>46038</v>
      </c>
      <c r="F82" t="s">
        <v>32</v>
      </c>
      <c r="G82" t="s">
        <v>60</v>
      </c>
      <c r="H82" t="s">
        <v>20</v>
      </c>
      <c r="I82" t="s">
        <v>42</v>
      </c>
      <c r="J82">
        <v>443.6</v>
      </c>
      <c r="K82">
        <v>10580.6</v>
      </c>
      <c r="L82">
        <v>14125000</v>
      </c>
      <c r="M82" t="b">
        <v>0</v>
      </c>
      <c r="N82" t="b">
        <v>0</v>
      </c>
      <c r="O82">
        <v>16000</v>
      </c>
      <c r="P82" t="b">
        <v>0</v>
      </c>
      <c r="Q82" t="b">
        <v>0</v>
      </c>
      <c r="R82" t="b">
        <v>0</v>
      </c>
      <c r="S82" t="s">
        <v>96</v>
      </c>
      <c r="T82" t="s">
        <v>104</v>
      </c>
    </row>
    <row r="83" spans="1:21" x14ac:dyDescent="0.3">
      <c r="A83" t="s">
        <v>186</v>
      </c>
      <c r="B83" s="1">
        <v>46103</v>
      </c>
      <c r="C83" s="1">
        <v>46103</v>
      </c>
      <c r="D83" s="1">
        <v>46106</v>
      </c>
      <c r="E83" s="1">
        <v>46106</v>
      </c>
      <c r="F83" t="s">
        <v>32</v>
      </c>
      <c r="G83" t="s">
        <v>60</v>
      </c>
      <c r="H83" t="s">
        <v>20</v>
      </c>
      <c r="I83" t="s">
        <v>44</v>
      </c>
      <c r="J83">
        <v>487.4</v>
      </c>
      <c r="K83">
        <v>1013</v>
      </c>
      <c r="L83">
        <v>5102000</v>
      </c>
      <c r="M83" t="b">
        <v>0</v>
      </c>
      <c r="N83" t="b">
        <v>0</v>
      </c>
      <c r="O83">
        <v>1500</v>
      </c>
      <c r="P83" t="b">
        <v>0</v>
      </c>
      <c r="Q83" t="b">
        <v>0</v>
      </c>
      <c r="R83" t="b">
        <v>0</v>
      </c>
      <c r="S83" t="s">
        <v>96</v>
      </c>
      <c r="T83" t="s">
        <v>118</v>
      </c>
    </row>
    <row r="84" spans="1:21" x14ac:dyDescent="0.3">
      <c r="A84" t="s">
        <v>187</v>
      </c>
      <c r="B84" s="1">
        <v>46048</v>
      </c>
      <c r="C84" s="1">
        <v>46048</v>
      </c>
      <c r="D84" s="1">
        <v>46050</v>
      </c>
      <c r="E84" s="1">
        <v>46050</v>
      </c>
      <c r="F84" t="s">
        <v>31</v>
      </c>
      <c r="G84" t="s">
        <v>63</v>
      </c>
      <c r="H84" t="s">
        <v>24</v>
      </c>
      <c r="I84" t="s">
        <v>42</v>
      </c>
      <c r="J84">
        <v>288.10000000000002</v>
      </c>
      <c r="K84">
        <v>9083</v>
      </c>
      <c r="L84">
        <v>7847000</v>
      </c>
      <c r="M84" t="b">
        <v>0</v>
      </c>
      <c r="N84" t="b">
        <v>0</v>
      </c>
      <c r="O84">
        <v>16000</v>
      </c>
      <c r="P84" t="b">
        <v>0</v>
      </c>
      <c r="Q84" t="b">
        <v>0</v>
      </c>
      <c r="R84" t="b">
        <v>0</v>
      </c>
      <c r="S84" t="s">
        <v>96</v>
      </c>
      <c r="T84" t="s">
        <v>104</v>
      </c>
    </row>
    <row r="85" spans="1:21" x14ac:dyDescent="0.3">
      <c r="A85" t="s">
        <v>188</v>
      </c>
      <c r="B85" s="1">
        <v>46080</v>
      </c>
      <c r="C85" s="1">
        <v>46080</v>
      </c>
      <c r="D85" s="1">
        <v>46083</v>
      </c>
      <c r="E85" s="1">
        <v>46082</v>
      </c>
      <c r="F85" t="s">
        <v>33</v>
      </c>
      <c r="G85" t="s">
        <v>59</v>
      </c>
      <c r="H85" t="s">
        <v>21</v>
      </c>
      <c r="I85" t="s">
        <v>45</v>
      </c>
      <c r="J85">
        <v>491.9</v>
      </c>
      <c r="K85">
        <v>431.5</v>
      </c>
      <c r="L85">
        <v>4762000</v>
      </c>
      <c r="M85" t="b">
        <v>0</v>
      </c>
      <c r="N85" t="b">
        <v>0</v>
      </c>
      <c r="O85">
        <v>1000</v>
      </c>
      <c r="P85" t="b">
        <v>0</v>
      </c>
      <c r="Q85" t="b">
        <v>0</v>
      </c>
      <c r="R85" t="b">
        <v>0</v>
      </c>
      <c r="S85" t="s">
        <v>96</v>
      </c>
      <c r="T85" t="s">
        <v>115</v>
      </c>
    </row>
    <row r="86" spans="1:21" x14ac:dyDescent="0.3">
      <c r="A86" t="s">
        <v>189</v>
      </c>
      <c r="B86" s="1">
        <v>46042</v>
      </c>
      <c r="C86" s="1">
        <v>46042</v>
      </c>
      <c r="D86" s="1">
        <v>46047</v>
      </c>
      <c r="E86" s="1">
        <v>46048</v>
      </c>
      <c r="F86" t="s">
        <v>34</v>
      </c>
      <c r="G86" t="s">
        <v>62</v>
      </c>
      <c r="H86" t="s">
        <v>23</v>
      </c>
      <c r="I86" t="s">
        <v>45</v>
      </c>
      <c r="J86">
        <v>746</v>
      </c>
      <c r="K86">
        <v>687.4</v>
      </c>
      <c r="L86">
        <v>7724000</v>
      </c>
      <c r="M86" t="b">
        <v>0</v>
      </c>
      <c r="N86" t="b">
        <v>0</v>
      </c>
      <c r="O86">
        <v>1000</v>
      </c>
      <c r="P86" t="b">
        <v>0</v>
      </c>
      <c r="Q86" t="b">
        <v>0</v>
      </c>
      <c r="R86" t="b">
        <v>0</v>
      </c>
      <c r="S86" t="s">
        <v>101</v>
      </c>
      <c r="T86" t="s">
        <v>104</v>
      </c>
      <c r="U86">
        <v>1</v>
      </c>
    </row>
    <row r="87" spans="1:21" x14ac:dyDescent="0.3">
      <c r="A87" t="s">
        <v>190</v>
      </c>
      <c r="B87" s="1">
        <v>46081</v>
      </c>
      <c r="C87" s="1">
        <v>46082</v>
      </c>
      <c r="D87" s="1">
        <v>46083</v>
      </c>
      <c r="E87" s="1">
        <v>46084</v>
      </c>
      <c r="F87" t="s">
        <v>33</v>
      </c>
      <c r="G87" t="s">
        <v>60</v>
      </c>
      <c r="H87" t="s">
        <v>21</v>
      </c>
      <c r="I87" t="s">
        <v>43</v>
      </c>
      <c r="J87">
        <v>25.2</v>
      </c>
      <c r="K87">
        <v>2122.4</v>
      </c>
      <c r="L87">
        <v>1780000</v>
      </c>
      <c r="M87" t="b">
        <v>0</v>
      </c>
      <c r="N87" t="b">
        <v>0</v>
      </c>
      <c r="O87">
        <v>5000</v>
      </c>
      <c r="P87" t="b">
        <v>0</v>
      </c>
      <c r="Q87" t="b">
        <v>0</v>
      </c>
      <c r="R87" t="b">
        <v>0</v>
      </c>
      <c r="S87" t="s">
        <v>101</v>
      </c>
      <c r="T87" t="s">
        <v>118</v>
      </c>
      <c r="U87">
        <v>1</v>
      </c>
    </row>
    <row r="88" spans="1:21" x14ac:dyDescent="0.3">
      <c r="A88" t="s">
        <v>191</v>
      </c>
      <c r="B88" s="1">
        <v>46163</v>
      </c>
      <c r="C88" s="1">
        <v>46164</v>
      </c>
      <c r="D88" s="1">
        <v>46165</v>
      </c>
      <c r="E88" s="1">
        <v>46166</v>
      </c>
      <c r="F88" t="s">
        <v>34</v>
      </c>
      <c r="G88" t="s">
        <v>61</v>
      </c>
      <c r="H88" t="s">
        <v>22</v>
      </c>
      <c r="I88" t="s">
        <v>43</v>
      </c>
      <c r="J88">
        <v>30.3</v>
      </c>
      <c r="K88">
        <v>1891.5</v>
      </c>
      <c r="L88">
        <v>2133000</v>
      </c>
      <c r="M88" t="b">
        <v>0</v>
      </c>
      <c r="N88" t="b">
        <v>0</v>
      </c>
      <c r="O88">
        <v>5000</v>
      </c>
      <c r="P88" t="b">
        <v>0</v>
      </c>
      <c r="Q88" t="b">
        <v>0</v>
      </c>
      <c r="R88" t="b">
        <v>0</v>
      </c>
      <c r="S88" t="s">
        <v>101</v>
      </c>
      <c r="T88" t="s">
        <v>102</v>
      </c>
      <c r="U88">
        <v>1</v>
      </c>
    </row>
    <row r="89" spans="1:21" x14ac:dyDescent="0.3">
      <c r="A89" t="s">
        <v>192</v>
      </c>
      <c r="B89" s="1">
        <v>46067</v>
      </c>
      <c r="C89" s="1">
        <v>46069</v>
      </c>
      <c r="D89" s="1">
        <v>46071</v>
      </c>
      <c r="E89" s="1">
        <v>46072</v>
      </c>
      <c r="F89" t="s">
        <v>34</v>
      </c>
      <c r="G89" t="s">
        <v>52</v>
      </c>
      <c r="H89" t="s">
        <v>24</v>
      </c>
      <c r="I89" t="s">
        <v>44</v>
      </c>
      <c r="J89">
        <v>277</v>
      </c>
      <c r="K89">
        <v>1052</v>
      </c>
      <c r="L89">
        <v>3624000</v>
      </c>
      <c r="M89" t="b">
        <v>0</v>
      </c>
      <c r="N89" t="b">
        <v>0</v>
      </c>
      <c r="O89">
        <v>1500</v>
      </c>
      <c r="P89" t="b">
        <v>0</v>
      </c>
      <c r="Q89" t="b">
        <v>0</v>
      </c>
      <c r="R89" t="b">
        <v>0</v>
      </c>
      <c r="S89" t="s">
        <v>101</v>
      </c>
      <c r="T89" t="s">
        <v>115</v>
      </c>
      <c r="U89">
        <v>1</v>
      </c>
    </row>
    <row r="90" spans="1:21" x14ac:dyDescent="0.3">
      <c r="A90" t="s">
        <v>193</v>
      </c>
      <c r="B90" s="1">
        <v>46123</v>
      </c>
      <c r="C90" s="1">
        <v>46124</v>
      </c>
      <c r="D90" s="1">
        <v>46126</v>
      </c>
      <c r="E90" s="1">
        <v>46125</v>
      </c>
      <c r="F90" t="s">
        <v>31</v>
      </c>
      <c r="G90" t="s">
        <v>63</v>
      </c>
      <c r="H90" t="s">
        <v>21</v>
      </c>
      <c r="I90" t="s">
        <v>43</v>
      </c>
      <c r="J90">
        <v>295.2</v>
      </c>
      <c r="K90">
        <v>3261.4</v>
      </c>
      <c r="L90">
        <v>5436000</v>
      </c>
      <c r="M90" t="b">
        <v>0</v>
      </c>
      <c r="N90" t="b">
        <v>0</v>
      </c>
      <c r="O90">
        <v>5000</v>
      </c>
      <c r="P90" t="b">
        <v>0</v>
      </c>
      <c r="Q90" t="b">
        <v>0</v>
      </c>
      <c r="R90" t="b">
        <v>0</v>
      </c>
      <c r="S90" t="s">
        <v>96</v>
      </c>
      <c r="T90" t="s">
        <v>112</v>
      </c>
    </row>
    <row r="91" spans="1:21" x14ac:dyDescent="0.3">
      <c r="A91" t="s">
        <v>194</v>
      </c>
      <c r="B91" s="1">
        <v>46120</v>
      </c>
      <c r="C91" s="1">
        <v>46121</v>
      </c>
      <c r="D91" s="1">
        <v>46124</v>
      </c>
      <c r="E91" s="1">
        <v>46124</v>
      </c>
      <c r="F91" t="s">
        <v>33</v>
      </c>
      <c r="G91" t="s">
        <v>53</v>
      </c>
      <c r="H91" t="s">
        <v>22</v>
      </c>
      <c r="I91" t="s">
        <v>43</v>
      </c>
      <c r="J91">
        <v>559.5</v>
      </c>
      <c r="K91">
        <v>3610.7</v>
      </c>
      <c r="L91">
        <v>10076000</v>
      </c>
      <c r="M91" t="b">
        <v>0</v>
      </c>
      <c r="N91" t="b">
        <v>0</v>
      </c>
      <c r="O91">
        <v>5000</v>
      </c>
      <c r="P91" t="b">
        <v>0</v>
      </c>
      <c r="Q91" t="b">
        <v>0</v>
      </c>
      <c r="R91" t="b">
        <v>0</v>
      </c>
      <c r="S91" t="s">
        <v>96</v>
      </c>
      <c r="T91" t="s">
        <v>112</v>
      </c>
    </row>
    <row r="92" spans="1:21" x14ac:dyDescent="0.3">
      <c r="A92" t="s">
        <v>195</v>
      </c>
      <c r="B92" s="1">
        <v>46107</v>
      </c>
      <c r="C92" s="1">
        <v>46109</v>
      </c>
      <c r="D92" s="1">
        <v>46114</v>
      </c>
      <c r="E92" s="1">
        <v>46114</v>
      </c>
      <c r="F92" t="s">
        <v>34</v>
      </c>
      <c r="G92" t="s">
        <v>62</v>
      </c>
      <c r="H92" t="s">
        <v>21</v>
      </c>
      <c r="I92" t="s">
        <v>43</v>
      </c>
      <c r="J92">
        <v>783.3</v>
      </c>
      <c r="K92">
        <v>2695.5</v>
      </c>
      <c r="L92">
        <v>11065000</v>
      </c>
      <c r="M92" t="b">
        <v>0</v>
      </c>
      <c r="N92" t="b">
        <v>0</v>
      </c>
      <c r="O92">
        <v>5000</v>
      </c>
      <c r="P92" t="b">
        <v>0</v>
      </c>
      <c r="Q92" t="b">
        <v>0</v>
      </c>
      <c r="R92" t="b">
        <v>0</v>
      </c>
      <c r="S92" t="s">
        <v>96</v>
      </c>
      <c r="T92" t="s">
        <v>118</v>
      </c>
    </row>
    <row r="93" spans="1:21" x14ac:dyDescent="0.3">
      <c r="A93" t="s">
        <v>196</v>
      </c>
      <c r="B93" s="1">
        <v>46098</v>
      </c>
      <c r="C93" s="1">
        <v>46098</v>
      </c>
      <c r="D93" s="1">
        <v>46102</v>
      </c>
      <c r="E93" s="1">
        <v>46104</v>
      </c>
      <c r="F93" t="s">
        <v>33</v>
      </c>
      <c r="G93" t="s">
        <v>58</v>
      </c>
      <c r="H93" t="s">
        <v>24</v>
      </c>
      <c r="I93" t="s">
        <v>45</v>
      </c>
      <c r="J93">
        <v>646.4</v>
      </c>
      <c r="K93">
        <v>572</v>
      </c>
      <c r="L93">
        <v>5783000</v>
      </c>
      <c r="M93" t="b">
        <v>0</v>
      </c>
      <c r="N93" t="b">
        <v>0</v>
      </c>
      <c r="O93">
        <v>1000</v>
      </c>
      <c r="P93" t="b">
        <v>0</v>
      </c>
      <c r="Q93" t="b">
        <v>0</v>
      </c>
      <c r="R93" t="b">
        <v>0</v>
      </c>
      <c r="S93" t="s">
        <v>101</v>
      </c>
      <c r="T93" t="s">
        <v>118</v>
      </c>
      <c r="U93">
        <v>2</v>
      </c>
    </row>
    <row r="94" spans="1:21" x14ac:dyDescent="0.3">
      <c r="A94" t="s">
        <v>197</v>
      </c>
      <c r="B94" s="1">
        <v>46164</v>
      </c>
      <c r="C94" s="1">
        <v>46164</v>
      </c>
      <c r="D94" s="1">
        <v>46167</v>
      </c>
      <c r="E94" s="1">
        <v>46167</v>
      </c>
      <c r="F94" t="s">
        <v>31</v>
      </c>
      <c r="G94" t="s">
        <v>60</v>
      </c>
      <c r="H94" t="s">
        <v>20</v>
      </c>
      <c r="I94" t="s">
        <v>43</v>
      </c>
      <c r="J94">
        <v>590.20000000000005</v>
      </c>
      <c r="K94">
        <v>4333.8999999999996</v>
      </c>
      <c r="L94">
        <v>10555000</v>
      </c>
      <c r="M94" t="b">
        <v>0</v>
      </c>
      <c r="N94" t="b">
        <v>0</v>
      </c>
      <c r="O94">
        <v>5000</v>
      </c>
      <c r="P94" t="b">
        <v>0</v>
      </c>
      <c r="Q94" t="b">
        <v>0</v>
      </c>
      <c r="R94" t="b">
        <v>0</v>
      </c>
      <c r="S94" t="s">
        <v>96</v>
      </c>
      <c r="T94" t="s">
        <v>102</v>
      </c>
    </row>
    <row r="95" spans="1:21" x14ac:dyDescent="0.3">
      <c r="A95" t="s">
        <v>198</v>
      </c>
      <c r="B95" s="1">
        <v>46077</v>
      </c>
      <c r="C95" s="1">
        <v>46077</v>
      </c>
      <c r="D95" s="1">
        <v>46078</v>
      </c>
      <c r="E95" s="1">
        <v>46078</v>
      </c>
      <c r="F95" t="s">
        <v>33</v>
      </c>
      <c r="G95" t="s">
        <v>60</v>
      </c>
      <c r="H95" t="s">
        <v>22</v>
      </c>
      <c r="I95" t="s">
        <v>43</v>
      </c>
      <c r="J95">
        <v>15.7</v>
      </c>
      <c r="K95">
        <v>3660.8</v>
      </c>
      <c r="L95">
        <v>2475000</v>
      </c>
      <c r="M95" t="b">
        <v>0</v>
      </c>
      <c r="N95" t="b">
        <v>0</v>
      </c>
      <c r="O95">
        <v>5000</v>
      </c>
      <c r="P95" t="b">
        <v>0</v>
      </c>
      <c r="Q95" t="b">
        <v>0</v>
      </c>
      <c r="R95" t="b">
        <v>0</v>
      </c>
      <c r="S95" t="s">
        <v>96</v>
      </c>
      <c r="T95" t="s">
        <v>115</v>
      </c>
    </row>
    <row r="96" spans="1:21" x14ac:dyDescent="0.3">
      <c r="A96" t="s">
        <v>199</v>
      </c>
      <c r="B96" s="1">
        <v>46190</v>
      </c>
      <c r="C96" s="1">
        <v>46191</v>
      </c>
      <c r="D96" s="1">
        <v>46192</v>
      </c>
      <c r="E96" s="1">
        <v>46194</v>
      </c>
      <c r="F96" t="s">
        <v>33</v>
      </c>
      <c r="G96" t="s">
        <v>60</v>
      </c>
      <c r="H96" t="s">
        <v>22</v>
      </c>
      <c r="I96" t="s">
        <v>44</v>
      </c>
      <c r="J96">
        <v>27.1</v>
      </c>
      <c r="K96">
        <v>558.5</v>
      </c>
      <c r="L96">
        <v>1052000</v>
      </c>
      <c r="M96" t="b">
        <v>0</v>
      </c>
      <c r="N96" t="b">
        <v>0</v>
      </c>
      <c r="O96">
        <v>1500</v>
      </c>
      <c r="P96" t="b">
        <v>0</v>
      </c>
      <c r="Q96" t="b">
        <v>0</v>
      </c>
      <c r="R96" t="b">
        <v>0</v>
      </c>
      <c r="S96" t="s">
        <v>101</v>
      </c>
      <c r="T96" t="s">
        <v>99</v>
      </c>
      <c r="U96">
        <v>2</v>
      </c>
    </row>
    <row r="97" spans="1:21" x14ac:dyDescent="0.3">
      <c r="A97" t="s">
        <v>200</v>
      </c>
      <c r="B97" s="1">
        <v>46042</v>
      </c>
      <c r="C97" s="1">
        <v>46043</v>
      </c>
      <c r="D97" s="1">
        <v>46046</v>
      </c>
      <c r="E97" s="1">
        <v>46046</v>
      </c>
      <c r="F97" t="s">
        <v>34</v>
      </c>
      <c r="G97" t="s">
        <v>59</v>
      </c>
      <c r="H97" t="s">
        <v>24</v>
      </c>
      <c r="I97" t="s">
        <v>42</v>
      </c>
      <c r="J97">
        <v>300.10000000000002</v>
      </c>
      <c r="K97">
        <v>3243.1</v>
      </c>
      <c r="L97">
        <v>7680000</v>
      </c>
      <c r="M97" t="b">
        <v>0</v>
      </c>
      <c r="N97" t="b">
        <v>0</v>
      </c>
      <c r="O97">
        <v>16000</v>
      </c>
      <c r="P97" t="b">
        <v>0</v>
      </c>
      <c r="Q97" t="b">
        <v>0</v>
      </c>
      <c r="R97" t="b">
        <v>0</v>
      </c>
      <c r="S97" t="s">
        <v>96</v>
      </c>
      <c r="T97" t="s">
        <v>104</v>
      </c>
    </row>
    <row r="98" spans="1:21" x14ac:dyDescent="0.3">
      <c r="A98" t="s">
        <v>201</v>
      </c>
      <c r="B98" s="1">
        <v>46179</v>
      </c>
      <c r="C98" s="1">
        <v>46180</v>
      </c>
      <c r="D98" s="1">
        <v>46183</v>
      </c>
      <c r="E98" s="1">
        <v>46183</v>
      </c>
      <c r="F98" t="s">
        <v>33</v>
      </c>
      <c r="G98" t="s">
        <v>55</v>
      </c>
      <c r="H98" t="s">
        <v>21</v>
      </c>
      <c r="I98" t="s">
        <v>45</v>
      </c>
      <c r="J98">
        <v>578.29999999999995</v>
      </c>
      <c r="K98">
        <v>572.70000000000005</v>
      </c>
      <c r="L98">
        <v>5936000</v>
      </c>
      <c r="M98" t="b">
        <v>0</v>
      </c>
      <c r="N98" t="b">
        <v>0</v>
      </c>
      <c r="O98">
        <v>1000</v>
      </c>
      <c r="P98" t="b">
        <v>0</v>
      </c>
      <c r="Q98" t="b">
        <v>0</v>
      </c>
      <c r="R98" t="b">
        <v>0</v>
      </c>
      <c r="S98" t="s">
        <v>96</v>
      </c>
      <c r="T98" t="s">
        <v>99</v>
      </c>
    </row>
    <row r="99" spans="1:21" x14ac:dyDescent="0.3">
      <c r="A99" t="s">
        <v>202</v>
      </c>
      <c r="B99" s="1">
        <v>46108</v>
      </c>
      <c r="C99" s="1">
        <v>46108</v>
      </c>
      <c r="D99" s="1">
        <v>46112</v>
      </c>
      <c r="F99" t="s">
        <v>34</v>
      </c>
      <c r="G99" t="s">
        <v>62</v>
      </c>
      <c r="H99" t="s">
        <v>24</v>
      </c>
      <c r="I99" t="s">
        <v>43</v>
      </c>
      <c r="J99">
        <v>770.3</v>
      </c>
      <c r="K99">
        <v>2060.6999999999998</v>
      </c>
      <c r="L99">
        <v>12273000</v>
      </c>
      <c r="M99" t="b">
        <v>0</v>
      </c>
      <c r="N99" t="b">
        <v>0</v>
      </c>
      <c r="O99">
        <v>5000</v>
      </c>
      <c r="P99" t="b">
        <v>0</v>
      </c>
      <c r="Q99" t="b">
        <v>0</v>
      </c>
      <c r="R99" t="b">
        <v>0</v>
      </c>
      <c r="S99" t="s">
        <v>203</v>
      </c>
      <c r="T99" t="s">
        <v>118</v>
      </c>
    </row>
    <row r="100" spans="1:21" x14ac:dyDescent="0.3">
      <c r="A100" t="s">
        <v>204</v>
      </c>
      <c r="B100" s="1">
        <v>46189</v>
      </c>
      <c r="C100" s="1">
        <v>46190</v>
      </c>
      <c r="D100" s="1">
        <v>46192</v>
      </c>
      <c r="E100" s="1">
        <v>46192</v>
      </c>
      <c r="F100" t="s">
        <v>31</v>
      </c>
      <c r="G100" t="s">
        <v>63</v>
      </c>
      <c r="H100" t="s">
        <v>22</v>
      </c>
      <c r="I100" t="s">
        <v>43</v>
      </c>
      <c r="J100">
        <v>294.5</v>
      </c>
      <c r="K100">
        <v>3669.3</v>
      </c>
      <c r="L100">
        <v>5998000</v>
      </c>
      <c r="M100" t="b">
        <v>0</v>
      </c>
      <c r="N100" t="b">
        <v>0</v>
      </c>
      <c r="O100">
        <v>5000</v>
      </c>
      <c r="P100" t="b">
        <v>0</v>
      </c>
      <c r="Q100" t="b">
        <v>0</v>
      </c>
      <c r="R100" t="b">
        <v>0</v>
      </c>
      <c r="S100" t="s">
        <v>96</v>
      </c>
      <c r="T100" t="s">
        <v>99</v>
      </c>
    </row>
    <row r="101" spans="1:21" x14ac:dyDescent="0.3">
      <c r="A101" t="s">
        <v>205</v>
      </c>
      <c r="B101" s="1">
        <v>46153</v>
      </c>
      <c r="C101" s="1">
        <v>46153</v>
      </c>
      <c r="D101" s="1">
        <v>46155</v>
      </c>
      <c r="E101" s="1">
        <v>46157</v>
      </c>
      <c r="F101" t="s">
        <v>31</v>
      </c>
      <c r="G101" t="s">
        <v>53</v>
      </c>
      <c r="H101" t="s">
        <v>23</v>
      </c>
      <c r="I101" t="s">
        <v>42</v>
      </c>
      <c r="J101">
        <v>261.2</v>
      </c>
      <c r="K101">
        <v>2862</v>
      </c>
      <c r="L101">
        <v>5865000</v>
      </c>
      <c r="M101" t="b">
        <v>0</v>
      </c>
      <c r="N101" t="b">
        <v>0</v>
      </c>
      <c r="O101">
        <v>16000</v>
      </c>
      <c r="P101" t="b">
        <v>0</v>
      </c>
      <c r="Q101" t="b">
        <v>0</v>
      </c>
      <c r="R101" t="b">
        <v>0</v>
      </c>
      <c r="S101" t="s">
        <v>101</v>
      </c>
      <c r="T101" t="s">
        <v>102</v>
      </c>
      <c r="U101">
        <v>2</v>
      </c>
    </row>
    <row r="102" spans="1:21" x14ac:dyDescent="0.3">
      <c r="A102" t="s">
        <v>206</v>
      </c>
      <c r="B102" s="1">
        <v>46141</v>
      </c>
      <c r="C102" s="1">
        <v>46142</v>
      </c>
      <c r="D102" s="1">
        <v>46143</v>
      </c>
      <c r="E102" s="1">
        <v>46142</v>
      </c>
      <c r="F102" t="s">
        <v>34</v>
      </c>
      <c r="G102" t="s">
        <v>61</v>
      </c>
      <c r="H102" t="s">
        <v>22</v>
      </c>
      <c r="I102" t="s">
        <v>43</v>
      </c>
      <c r="J102">
        <v>16.3</v>
      </c>
      <c r="K102">
        <v>3343.1</v>
      </c>
      <c r="L102">
        <v>19856000</v>
      </c>
      <c r="M102" t="b">
        <v>0</v>
      </c>
      <c r="N102" t="b">
        <v>0</v>
      </c>
      <c r="O102">
        <v>5000</v>
      </c>
      <c r="P102" t="b">
        <v>0</v>
      </c>
      <c r="Q102" t="b">
        <v>0</v>
      </c>
      <c r="R102" t="b">
        <v>0</v>
      </c>
      <c r="S102" t="s">
        <v>96</v>
      </c>
      <c r="T102" t="s">
        <v>112</v>
      </c>
    </row>
    <row r="103" spans="1:21" x14ac:dyDescent="0.3">
      <c r="A103" t="s">
        <v>207</v>
      </c>
      <c r="B103" s="1">
        <v>46167</v>
      </c>
      <c r="C103" s="1">
        <v>46168</v>
      </c>
      <c r="D103" s="1">
        <v>46171</v>
      </c>
      <c r="E103" s="1">
        <v>46172</v>
      </c>
      <c r="F103" t="s">
        <v>33</v>
      </c>
      <c r="G103" t="s">
        <v>53</v>
      </c>
      <c r="H103" t="s">
        <v>20</v>
      </c>
      <c r="I103" t="s">
        <v>45</v>
      </c>
      <c r="J103">
        <v>521.20000000000005</v>
      </c>
      <c r="K103">
        <v>592.79999999999995</v>
      </c>
      <c r="L103">
        <v>5269000</v>
      </c>
      <c r="M103" t="b">
        <v>0</v>
      </c>
      <c r="N103" t="b">
        <v>0</v>
      </c>
      <c r="O103">
        <v>1000</v>
      </c>
      <c r="P103" t="b">
        <v>0</v>
      </c>
      <c r="Q103" t="b">
        <v>0</v>
      </c>
      <c r="R103" t="b">
        <v>0</v>
      </c>
      <c r="S103" t="s">
        <v>101</v>
      </c>
      <c r="T103" t="s">
        <v>102</v>
      </c>
      <c r="U103">
        <v>1</v>
      </c>
    </row>
    <row r="104" spans="1:21" x14ac:dyDescent="0.3">
      <c r="A104" t="s">
        <v>208</v>
      </c>
      <c r="B104" s="1">
        <v>46134</v>
      </c>
      <c r="C104" s="1">
        <v>46135</v>
      </c>
      <c r="D104" s="1">
        <v>46136</v>
      </c>
      <c r="E104" s="1">
        <v>46136</v>
      </c>
      <c r="F104" t="s">
        <v>32</v>
      </c>
      <c r="G104" t="s">
        <v>57</v>
      </c>
      <c r="H104" t="s">
        <v>20</v>
      </c>
      <c r="I104" t="s">
        <v>43</v>
      </c>
      <c r="J104">
        <v>12.9</v>
      </c>
      <c r="K104">
        <v>4444.2</v>
      </c>
      <c r="L104">
        <v>2598000</v>
      </c>
      <c r="M104" t="b">
        <v>0</v>
      </c>
      <c r="N104" t="b">
        <v>0</v>
      </c>
      <c r="O104">
        <v>5000</v>
      </c>
      <c r="P104" t="b">
        <v>0</v>
      </c>
      <c r="Q104" t="b">
        <v>0</v>
      </c>
      <c r="R104" t="b">
        <v>0</v>
      </c>
      <c r="S104" t="s">
        <v>96</v>
      </c>
      <c r="T104" t="s">
        <v>112</v>
      </c>
    </row>
    <row r="105" spans="1:21" x14ac:dyDescent="0.3">
      <c r="A105" t="s">
        <v>209</v>
      </c>
      <c r="B105" s="1">
        <v>46059</v>
      </c>
      <c r="C105" s="1">
        <v>46059</v>
      </c>
      <c r="D105" s="1">
        <v>46063</v>
      </c>
      <c r="E105" s="1">
        <v>46062</v>
      </c>
      <c r="F105" t="s">
        <v>31</v>
      </c>
      <c r="G105" t="s">
        <v>62</v>
      </c>
      <c r="H105" t="s">
        <v>21</v>
      </c>
      <c r="I105" t="s">
        <v>42</v>
      </c>
      <c r="J105">
        <v>740.7</v>
      </c>
      <c r="K105">
        <v>8741.9</v>
      </c>
      <c r="L105">
        <v>17278000</v>
      </c>
      <c r="M105" t="b">
        <v>0</v>
      </c>
      <c r="N105" t="b">
        <v>0</v>
      </c>
      <c r="O105">
        <v>16000</v>
      </c>
      <c r="P105" t="b">
        <v>0</v>
      </c>
      <c r="Q105" t="b">
        <v>0</v>
      </c>
      <c r="R105" t="b">
        <v>0</v>
      </c>
      <c r="S105" t="s">
        <v>96</v>
      </c>
      <c r="T105" t="s">
        <v>115</v>
      </c>
    </row>
    <row r="106" spans="1:21" x14ac:dyDescent="0.3">
      <c r="A106" t="s">
        <v>210</v>
      </c>
      <c r="B106" s="1">
        <v>46090</v>
      </c>
      <c r="C106" s="1">
        <v>46092</v>
      </c>
      <c r="D106" s="1">
        <v>46096</v>
      </c>
      <c r="E106" s="1">
        <v>46096</v>
      </c>
      <c r="F106" t="s">
        <v>34</v>
      </c>
      <c r="G106" t="s">
        <v>62</v>
      </c>
      <c r="H106" t="s">
        <v>23</v>
      </c>
      <c r="I106" t="s">
        <v>45</v>
      </c>
      <c r="J106">
        <v>841.4</v>
      </c>
      <c r="K106">
        <v>553.20000000000005</v>
      </c>
      <c r="L106">
        <v>8076000</v>
      </c>
      <c r="M106" t="b">
        <v>0</v>
      </c>
      <c r="N106" t="b">
        <v>0</v>
      </c>
      <c r="O106">
        <v>1000</v>
      </c>
      <c r="P106" t="b">
        <v>0</v>
      </c>
      <c r="Q106" t="b">
        <v>0</v>
      </c>
      <c r="R106" t="b">
        <v>0</v>
      </c>
      <c r="S106" t="s">
        <v>96</v>
      </c>
      <c r="T106" t="s">
        <v>118</v>
      </c>
    </row>
    <row r="107" spans="1:21" x14ac:dyDescent="0.3">
      <c r="A107" t="s">
        <v>211</v>
      </c>
      <c r="B107" s="1">
        <v>46035</v>
      </c>
      <c r="C107" s="1">
        <v>46036</v>
      </c>
      <c r="D107" s="1">
        <v>46039</v>
      </c>
      <c r="E107" s="1">
        <v>46039</v>
      </c>
      <c r="F107" t="s">
        <v>32</v>
      </c>
      <c r="G107" t="s">
        <v>52</v>
      </c>
      <c r="H107" t="s">
        <v>20</v>
      </c>
      <c r="I107" t="s">
        <v>43</v>
      </c>
      <c r="J107">
        <v>304.2</v>
      </c>
      <c r="K107">
        <v>3507.9</v>
      </c>
      <c r="L107">
        <v>6163000</v>
      </c>
      <c r="M107" t="b">
        <v>0</v>
      </c>
      <c r="N107" t="b">
        <v>0</v>
      </c>
      <c r="O107">
        <v>5000</v>
      </c>
      <c r="P107" t="b">
        <v>0</v>
      </c>
      <c r="Q107" t="b">
        <v>0</v>
      </c>
      <c r="R107" t="b">
        <v>0</v>
      </c>
      <c r="S107" t="s">
        <v>96</v>
      </c>
      <c r="T107" t="s">
        <v>104</v>
      </c>
    </row>
    <row r="108" spans="1:21" x14ac:dyDescent="0.3">
      <c r="A108" t="s">
        <v>212</v>
      </c>
      <c r="B108" s="1">
        <v>46146</v>
      </c>
      <c r="C108" s="1">
        <v>46147</v>
      </c>
      <c r="D108" s="1">
        <v>46150</v>
      </c>
      <c r="E108" s="1">
        <v>46150</v>
      </c>
      <c r="F108" t="s">
        <v>34</v>
      </c>
      <c r="G108" t="s">
        <v>53</v>
      </c>
      <c r="H108" t="s">
        <v>20</v>
      </c>
      <c r="I108" t="s">
        <v>44</v>
      </c>
      <c r="J108">
        <v>337</v>
      </c>
      <c r="K108">
        <v>1166.9000000000001</v>
      </c>
      <c r="L108">
        <v>3932000</v>
      </c>
      <c r="M108" t="b">
        <v>0</v>
      </c>
      <c r="N108" t="b">
        <v>0</v>
      </c>
      <c r="O108">
        <v>1500</v>
      </c>
      <c r="P108" t="b">
        <v>0</v>
      </c>
      <c r="Q108" t="b">
        <v>0</v>
      </c>
      <c r="R108" t="b">
        <v>0</v>
      </c>
      <c r="S108" t="s">
        <v>96</v>
      </c>
      <c r="T108" t="s">
        <v>102</v>
      </c>
    </row>
    <row r="109" spans="1:21" x14ac:dyDescent="0.3">
      <c r="A109" t="s">
        <v>213</v>
      </c>
      <c r="B109" s="1">
        <v>46113</v>
      </c>
      <c r="C109" s="1">
        <v>46114</v>
      </c>
      <c r="D109" s="1">
        <v>46118</v>
      </c>
      <c r="E109" s="1">
        <v>46118</v>
      </c>
      <c r="F109" t="s">
        <v>33</v>
      </c>
      <c r="G109" t="s">
        <v>53</v>
      </c>
      <c r="H109" t="s">
        <v>21</v>
      </c>
      <c r="I109" t="s">
        <v>45</v>
      </c>
      <c r="J109">
        <v>605.70000000000005</v>
      </c>
      <c r="K109">
        <v>341.5</v>
      </c>
      <c r="L109">
        <v>5955000</v>
      </c>
      <c r="M109" t="b">
        <v>0</v>
      </c>
      <c r="N109" t="b">
        <v>0</v>
      </c>
      <c r="O109">
        <v>1000</v>
      </c>
      <c r="P109" t="b">
        <v>0</v>
      </c>
      <c r="Q109" t="b">
        <v>0</v>
      </c>
      <c r="R109" t="b">
        <v>0</v>
      </c>
      <c r="S109" t="s">
        <v>96</v>
      </c>
      <c r="T109" t="s">
        <v>112</v>
      </c>
    </row>
    <row r="110" spans="1:21" x14ac:dyDescent="0.3">
      <c r="A110" t="s">
        <v>214</v>
      </c>
      <c r="B110" s="1">
        <v>46190</v>
      </c>
      <c r="C110" s="1">
        <v>46191</v>
      </c>
      <c r="D110" s="1">
        <v>46193</v>
      </c>
      <c r="E110" s="1">
        <v>46193</v>
      </c>
      <c r="F110" t="s">
        <v>34</v>
      </c>
      <c r="G110" t="s">
        <v>55</v>
      </c>
      <c r="H110" t="s">
        <v>22</v>
      </c>
      <c r="I110" t="s">
        <v>44</v>
      </c>
      <c r="J110">
        <v>61.3</v>
      </c>
      <c r="K110">
        <v>1243.4000000000001</v>
      </c>
      <c r="L110">
        <v>1348000</v>
      </c>
      <c r="M110" t="b">
        <v>0</v>
      </c>
      <c r="N110" t="b">
        <v>0</v>
      </c>
      <c r="O110">
        <v>1500</v>
      </c>
      <c r="P110" t="b">
        <v>0</v>
      </c>
      <c r="Q110" t="b">
        <v>0</v>
      </c>
      <c r="R110" t="b">
        <v>0</v>
      </c>
      <c r="S110" t="s">
        <v>96</v>
      </c>
      <c r="T110" t="s">
        <v>99</v>
      </c>
    </row>
    <row r="111" spans="1:21" x14ac:dyDescent="0.3">
      <c r="A111" t="s">
        <v>215</v>
      </c>
      <c r="B111" s="1">
        <v>46149</v>
      </c>
      <c r="C111" s="1">
        <v>46150</v>
      </c>
      <c r="D111" s="1">
        <v>46154</v>
      </c>
      <c r="E111" s="1">
        <v>46154</v>
      </c>
      <c r="F111" t="s">
        <v>31</v>
      </c>
      <c r="G111" t="s">
        <v>56</v>
      </c>
      <c r="H111" t="s">
        <v>22</v>
      </c>
      <c r="I111" t="s">
        <v>44</v>
      </c>
      <c r="J111">
        <v>803.8</v>
      </c>
      <c r="K111">
        <v>752.5</v>
      </c>
      <c r="L111">
        <v>6850000</v>
      </c>
      <c r="M111" t="b">
        <v>0</v>
      </c>
      <c r="N111" t="b">
        <v>0</v>
      </c>
      <c r="O111">
        <v>1500</v>
      </c>
      <c r="P111" t="b">
        <v>0</v>
      </c>
      <c r="Q111" t="b">
        <v>0</v>
      </c>
      <c r="R111" t="b">
        <v>0</v>
      </c>
      <c r="S111" t="s">
        <v>96</v>
      </c>
      <c r="T111" t="s">
        <v>102</v>
      </c>
    </row>
    <row r="112" spans="1:21" x14ac:dyDescent="0.3">
      <c r="A112" t="s">
        <v>216</v>
      </c>
      <c r="B112" s="1">
        <v>46173</v>
      </c>
      <c r="C112" s="1">
        <v>46174</v>
      </c>
      <c r="D112" s="1">
        <v>46176</v>
      </c>
      <c r="E112" s="1">
        <v>46176</v>
      </c>
      <c r="F112" t="s">
        <v>34</v>
      </c>
      <c r="G112" t="s">
        <v>58</v>
      </c>
      <c r="H112" t="s">
        <v>23</v>
      </c>
      <c r="I112" t="s">
        <v>44</v>
      </c>
      <c r="J112">
        <v>149.5</v>
      </c>
      <c r="K112">
        <v>901.5</v>
      </c>
      <c r="L112">
        <v>2405000</v>
      </c>
      <c r="M112" t="b">
        <v>0</v>
      </c>
      <c r="N112" t="b">
        <v>0</v>
      </c>
      <c r="O112">
        <v>1500</v>
      </c>
      <c r="P112" t="b">
        <v>0</v>
      </c>
      <c r="Q112" t="b">
        <v>0</v>
      </c>
      <c r="R112" t="b">
        <v>0</v>
      </c>
      <c r="S112" t="s">
        <v>96</v>
      </c>
      <c r="T112" t="s">
        <v>99</v>
      </c>
    </row>
    <row r="113" spans="1:21" x14ac:dyDescent="0.3">
      <c r="A113" t="s">
        <v>217</v>
      </c>
      <c r="B113" s="1">
        <v>46179</v>
      </c>
      <c r="C113" s="1">
        <v>46180</v>
      </c>
      <c r="D113" s="1">
        <v>46182</v>
      </c>
      <c r="E113" s="1">
        <v>46181</v>
      </c>
      <c r="F113" t="s">
        <v>34</v>
      </c>
      <c r="G113" t="s">
        <v>52</v>
      </c>
      <c r="H113" t="s">
        <v>21</v>
      </c>
      <c r="I113" t="s">
        <v>45</v>
      </c>
      <c r="J113">
        <v>293.8</v>
      </c>
      <c r="K113">
        <v>807.7</v>
      </c>
      <c r="L113">
        <v>4047000</v>
      </c>
      <c r="M113" t="b">
        <v>0</v>
      </c>
      <c r="N113" t="b">
        <v>0</v>
      </c>
      <c r="O113">
        <v>1000</v>
      </c>
      <c r="P113" t="b">
        <v>0</v>
      </c>
      <c r="Q113" t="b">
        <v>0</v>
      </c>
      <c r="R113" t="b">
        <v>0</v>
      </c>
      <c r="S113" t="s">
        <v>96</v>
      </c>
      <c r="T113" t="s">
        <v>99</v>
      </c>
    </row>
    <row r="114" spans="1:21" x14ac:dyDescent="0.3">
      <c r="A114" t="s">
        <v>218</v>
      </c>
      <c r="B114" s="1">
        <v>46088</v>
      </c>
      <c r="C114" s="1">
        <v>46090</v>
      </c>
      <c r="D114" s="1">
        <v>46093</v>
      </c>
      <c r="E114" s="1">
        <v>46093</v>
      </c>
      <c r="F114" t="s">
        <v>31</v>
      </c>
      <c r="G114" t="s">
        <v>54</v>
      </c>
      <c r="H114" t="s">
        <v>20</v>
      </c>
      <c r="I114" t="s">
        <v>45</v>
      </c>
      <c r="J114">
        <v>482.8</v>
      </c>
      <c r="K114">
        <v>602.6</v>
      </c>
      <c r="L114">
        <v>4130000</v>
      </c>
      <c r="M114" t="b">
        <v>0</v>
      </c>
      <c r="N114" t="b">
        <v>0</v>
      </c>
      <c r="O114">
        <v>1000</v>
      </c>
      <c r="P114" t="b">
        <v>0</v>
      </c>
      <c r="Q114" t="b">
        <v>0</v>
      </c>
      <c r="R114" t="b">
        <v>0</v>
      </c>
      <c r="S114" t="s">
        <v>96</v>
      </c>
      <c r="T114" t="s">
        <v>118</v>
      </c>
    </row>
    <row r="115" spans="1:21" x14ac:dyDescent="0.3">
      <c r="A115" t="s">
        <v>219</v>
      </c>
      <c r="B115" s="1">
        <v>46178</v>
      </c>
      <c r="C115" s="1">
        <v>46179</v>
      </c>
      <c r="D115" s="1">
        <v>46181</v>
      </c>
      <c r="E115" s="1">
        <v>46181</v>
      </c>
      <c r="F115" t="s">
        <v>32</v>
      </c>
      <c r="G115" t="s">
        <v>61</v>
      </c>
      <c r="H115" t="s">
        <v>21</v>
      </c>
      <c r="I115" t="s">
        <v>45</v>
      </c>
      <c r="J115">
        <v>147.9</v>
      </c>
      <c r="K115">
        <v>355.2</v>
      </c>
      <c r="L115">
        <v>1724000</v>
      </c>
      <c r="M115" t="b">
        <v>0</v>
      </c>
      <c r="N115" t="b">
        <v>0</v>
      </c>
      <c r="O115">
        <v>1000</v>
      </c>
      <c r="P115" t="b">
        <v>0</v>
      </c>
      <c r="Q115" t="b">
        <v>0</v>
      </c>
      <c r="R115" t="b">
        <v>0</v>
      </c>
      <c r="S115" t="s">
        <v>96</v>
      </c>
      <c r="T115" t="s">
        <v>99</v>
      </c>
    </row>
    <row r="116" spans="1:21" x14ac:dyDescent="0.3">
      <c r="A116" t="s">
        <v>220</v>
      </c>
      <c r="B116" s="1">
        <v>46177</v>
      </c>
      <c r="C116" s="1">
        <v>46177</v>
      </c>
      <c r="D116" s="1">
        <v>46179</v>
      </c>
      <c r="E116" s="1">
        <v>46181</v>
      </c>
      <c r="F116" t="s">
        <v>31</v>
      </c>
      <c r="G116" t="s">
        <v>61</v>
      </c>
      <c r="H116" t="s">
        <v>23</v>
      </c>
      <c r="I116" t="s">
        <v>43</v>
      </c>
      <c r="J116">
        <v>53.9</v>
      </c>
      <c r="K116">
        <v>3809.7</v>
      </c>
      <c r="L116">
        <v>2724000</v>
      </c>
      <c r="M116" t="b">
        <v>0</v>
      </c>
      <c r="N116" t="b">
        <v>0</v>
      </c>
      <c r="O116">
        <v>5000</v>
      </c>
      <c r="P116" t="b">
        <v>0</v>
      </c>
      <c r="Q116" t="b">
        <v>0</v>
      </c>
      <c r="R116" t="b">
        <v>0</v>
      </c>
      <c r="S116" t="s">
        <v>101</v>
      </c>
      <c r="T116" t="s">
        <v>99</v>
      </c>
      <c r="U116">
        <v>2</v>
      </c>
    </row>
    <row r="117" spans="1:21" x14ac:dyDescent="0.3">
      <c r="A117" t="s">
        <v>221</v>
      </c>
      <c r="B117" s="1">
        <v>46168</v>
      </c>
      <c r="C117" s="1">
        <v>46169</v>
      </c>
      <c r="D117" s="1">
        <v>46171</v>
      </c>
      <c r="E117" s="1">
        <v>46170</v>
      </c>
      <c r="F117" t="s">
        <v>32</v>
      </c>
      <c r="G117" t="s">
        <v>61</v>
      </c>
      <c r="H117" t="s">
        <v>21</v>
      </c>
      <c r="I117" t="s">
        <v>45</v>
      </c>
      <c r="J117">
        <v>162.19999999999999</v>
      </c>
      <c r="K117">
        <v>116.9</v>
      </c>
      <c r="L117">
        <v>1946000</v>
      </c>
      <c r="M117" t="b">
        <v>0</v>
      </c>
      <c r="N117" t="b">
        <v>0</v>
      </c>
      <c r="O117">
        <v>1000</v>
      </c>
      <c r="P117" t="b">
        <v>0</v>
      </c>
      <c r="Q117" t="b">
        <v>0</v>
      </c>
      <c r="R117" t="b">
        <v>0</v>
      </c>
      <c r="S117" t="s">
        <v>96</v>
      </c>
      <c r="T117" t="s">
        <v>102</v>
      </c>
    </row>
    <row r="118" spans="1:21" x14ac:dyDescent="0.3">
      <c r="A118" t="s">
        <v>222</v>
      </c>
      <c r="B118" s="1">
        <v>46143</v>
      </c>
      <c r="C118" s="1">
        <v>46144</v>
      </c>
      <c r="D118" s="1">
        <v>46145</v>
      </c>
      <c r="F118" t="s">
        <v>34</v>
      </c>
      <c r="G118" t="s">
        <v>55</v>
      </c>
      <c r="H118" t="s">
        <v>24</v>
      </c>
      <c r="I118" t="s">
        <v>44</v>
      </c>
      <c r="J118">
        <v>55.7</v>
      </c>
      <c r="K118">
        <v>1357.2</v>
      </c>
      <c r="L118">
        <v>1793000</v>
      </c>
      <c r="M118" t="b">
        <v>0</v>
      </c>
      <c r="N118" t="b">
        <v>0</v>
      </c>
      <c r="O118">
        <v>1500</v>
      </c>
      <c r="P118" t="b">
        <v>0</v>
      </c>
      <c r="Q118" t="b">
        <v>0</v>
      </c>
      <c r="R118" t="b">
        <v>0</v>
      </c>
      <c r="S118" t="s">
        <v>203</v>
      </c>
      <c r="T118" t="s">
        <v>102</v>
      </c>
    </row>
    <row r="119" spans="1:21" x14ac:dyDescent="0.3">
      <c r="A119" t="s">
        <v>223</v>
      </c>
      <c r="B119" s="1">
        <v>46083</v>
      </c>
      <c r="C119" s="1">
        <v>46084</v>
      </c>
      <c r="D119" s="1">
        <v>46087</v>
      </c>
      <c r="E119" s="1">
        <v>46087</v>
      </c>
      <c r="F119" t="s">
        <v>31</v>
      </c>
      <c r="G119" t="s">
        <v>60</v>
      </c>
      <c r="H119" t="s">
        <v>20</v>
      </c>
      <c r="I119" t="s">
        <v>43</v>
      </c>
      <c r="J119">
        <v>553.70000000000005</v>
      </c>
      <c r="K119">
        <v>3102.5</v>
      </c>
      <c r="L119">
        <v>8228000</v>
      </c>
      <c r="M119" t="b">
        <v>0</v>
      </c>
      <c r="N119" t="b">
        <v>0</v>
      </c>
      <c r="O119">
        <v>5000</v>
      </c>
      <c r="P119" t="b">
        <v>0</v>
      </c>
      <c r="Q119" t="b">
        <v>0</v>
      </c>
      <c r="R119" t="b">
        <v>0</v>
      </c>
      <c r="S119" t="s">
        <v>96</v>
      </c>
      <c r="T119" t="s">
        <v>118</v>
      </c>
    </row>
    <row r="120" spans="1:21" x14ac:dyDescent="0.3">
      <c r="A120" t="s">
        <v>224</v>
      </c>
      <c r="B120" s="1">
        <v>46125</v>
      </c>
      <c r="C120" s="1">
        <v>46126</v>
      </c>
      <c r="D120" s="1">
        <v>46129</v>
      </c>
      <c r="E120" s="1">
        <v>46129</v>
      </c>
      <c r="F120" t="s">
        <v>34</v>
      </c>
      <c r="G120" t="s">
        <v>59</v>
      </c>
      <c r="H120" t="s">
        <v>22</v>
      </c>
      <c r="I120" t="s">
        <v>43</v>
      </c>
      <c r="J120">
        <v>350</v>
      </c>
      <c r="K120">
        <v>2729.5</v>
      </c>
      <c r="L120">
        <v>6021000</v>
      </c>
      <c r="M120" t="b">
        <v>0</v>
      </c>
      <c r="N120" t="b">
        <v>0</v>
      </c>
      <c r="O120">
        <v>5000</v>
      </c>
      <c r="P120" t="b">
        <v>0</v>
      </c>
      <c r="Q120" t="b">
        <v>0</v>
      </c>
      <c r="R120" t="b">
        <v>0</v>
      </c>
      <c r="S120" t="s">
        <v>96</v>
      </c>
      <c r="T120" t="s">
        <v>112</v>
      </c>
    </row>
    <row r="121" spans="1:21" x14ac:dyDescent="0.3">
      <c r="A121" t="s">
        <v>225</v>
      </c>
      <c r="B121" s="1">
        <v>46140</v>
      </c>
      <c r="C121" s="1">
        <v>46141</v>
      </c>
      <c r="D121" s="1">
        <v>46145</v>
      </c>
      <c r="E121" s="1">
        <v>46146</v>
      </c>
      <c r="F121" t="s">
        <v>31</v>
      </c>
      <c r="G121" t="s">
        <v>56</v>
      </c>
      <c r="H121" t="s">
        <v>22</v>
      </c>
      <c r="I121" t="s">
        <v>45</v>
      </c>
      <c r="J121">
        <v>867</v>
      </c>
      <c r="K121">
        <v>313.3</v>
      </c>
      <c r="L121">
        <v>7751000</v>
      </c>
      <c r="M121" t="b">
        <v>0</v>
      </c>
      <c r="N121" t="b">
        <v>0</v>
      </c>
      <c r="O121">
        <v>1000</v>
      </c>
      <c r="P121" t="b">
        <v>0</v>
      </c>
      <c r="Q121" t="b">
        <v>0</v>
      </c>
      <c r="R121" t="b">
        <v>0</v>
      </c>
      <c r="S121" t="s">
        <v>101</v>
      </c>
      <c r="T121" t="s">
        <v>112</v>
      </c>
      <c r="U121">
        <v>1</v>
      </c>
    </row>
    <row r="122" spans="1:21" x14ac:dyDescent="0.3">
      <c r="A122" t="s">
        <v>226</v>
      </c>
      <c r="B122" s="1">
        <v>46134</v>
      </c>
      <c r="C122" s="1">
        <v>46135</v>
      </c>
      <c r="D122" s="1">
        <v>46139</v>
      </c>
      <c r="E122" s="1">
        <v>46139</v>
      </c>
      <c r="F122" t="s">
        <v>34</v>
      </c>
      <c r="G122" t="s">
        <v>56</v>
      </c>
      <c r="H122" t="s">
        <v>22</v>
      </c>
      <c r="I122" t="s">
        <v>44</v>
      </c>
      <c r="J122">
        <v>901.6</v>
      </c>
      <c r="K122">
        <v>1211.9000000000001</v>
      </c>
      <c r="L122">
        <v>10308000</v>
      </c>
      <c r="M122" t="b">
        <v>0</v>
      </c>
      <c r="N122" t="b">
        <v>0</v>
      </c>
      <c r="O122">
        <v>1500</v>
      </c>
      <c r="P122" t="b">
        <v>0</v>
      </c>
      <c r="Q122" t="b">
        <v>0</v>
      </c>
      <c r="R122" t="b">
        <v>0</v>
      </c>
      <c r="S122" t="s">
        <v>96</v>
      </c>
      <c r="T122" t="s">
        <v>112</v>
      </c>
    </row>
    <row r="123" spans="1:21" x14ac:dyDescent="0.3">
      <c r="A123" t="s">
        <v>227</v>
      </c>
      <c r="B123" s="1">
        <v>46129</v>
      </c>
      <c r="C123" s="1">
        <v>46130</v>
      </c>
      <c r="D123" s="1">
        <v>46131</v>
      </c>
      <c r="E123" s="1">
        <v>46131</v>
      </c>
      <c r="F123" t="s">
        <v>34</v>
      </c>
      <c r="G123" t="s">
        <v>55</v>
      </c>
      <c r="H123" t="s">
        <v>20</v>
      </c>
      <c r="I123" t="s">
        <v>43</v>
      </c>
      <c r="J123">
        <v>55.2</v>
      </c>
      <c r="K123">
        <v>1850.6</v>
      </c>
      <c r="L123">
        <v>2370000</v>
      </c>
      <c r="M123" t="b">
        <v>0</v>
      </c>
      <c r="N123" t="b">
        <v>0</v>
      </c>
      <c r="O123">
        <v>5000</v>
      </c>
      <c r="P123" t="b">
        <v>0</v>
      </c>
      <c r="Q123" t="b">
        <v>0</v>
      </c>
      <c r="R123" t="b">
        <v>0</v>
      </c>
      <c r="S123" t="s">
        <v>96</v>
      </c>
      <c r="T123" t="s">
        <v>112</v>
      </c>
    </row>
    <row r="124" spans="1:21" x14ac:dyDescent="0.3">
      <c r="A124" t="s">
        <v>228</v>
      </c>
      <c r="B124" s="1">
        <v>46069</v>
      </c>
      <c r="C124" s="1">
        <v>46070</v>
      </c>
      <c r="D124" s="1">
        <v>46075</v>
      </c>
      <c r="E124" s="1">
        <v>46075</v>
      </c>
      <c r="F124" t="s">
        <v>34</v>
      </c>
      <c r="G124" t="s">
        <v>60</v>
      </c>
      <c r="H124" t="s">
        <v>21</v>
      </c>
      <c r="I124" t="s">
        <v>43</v>
      </c>
      <c r="J124">
        <v>630.70000000000005</v>
      </c>
      <c r="K124">
        <v>2914.8</v>
      </c>
      <c r="L124">
        <v>10080000</v>
      </c>
      <c r="M124" t="b">
        <v>0</v>
      </c>
      <c r="N124" t="b">
        <v>0</v>
      </c>
      <c r="O124">
        <v>5000</v>
      </c>
      <c r="P124" t="b">
        <v>0</v>
      </c>
      <c r="Q124" t="b">
        <v>0</v>
      </c>
      <c r="R124" t="b">
        <v>0</v>
      </c>
      <c r="S124" t="s">
        <v>96</v>
      </c>
      <c r="T124" t="s">
        <v>115</v>
      </c>
    </row>
    <row r="125" spans="1:21" x14ac:dyDescent="0.3">
      <c r="A125" t="s">
        <v>229</v>
      </c>
      <c r="B125" s="1">
        <v>46145</v>
      </c>
      <c r="C125" s="1">
        <v>46146</v>
      </c>
      <c r="D125" s="1">
        <v>46150</v>
      </c>
      <c r="E125" s="1">
        <v>46151</v>
      </c>
      <c r="F125" t="s">
        <v>34</v>
      </c>
      <c r="G125" t="s">
        <v>59</v>
      </c>
      <c r="H125" t="s">
        <v>23</v>
      </c>
      <c r="I125" t="s">
        <v>43</v>
      </c>
      <c r="J125">
        <v>309.2</v>
      </c>
      <c r="K125">
        <v>3900.7</v>
      </c>
      <c r="L125">
        <v>6133000</v>
      </c>
      <c r="M125" t="b">
        <v>0</v>
      </c>
      <c r="N125" t="b">
        <v>0</v>
      </c>
      <c r="O125">
        <v>5000</v>
      </c>
      <c r="P125" t="b">
        <v>0</v>
      </c>
      <c r="Q125" t="b">
        <v>0</v>
      </c>
      <c r="R125" t="b">
        <v>0</v>
      </c>
      <c r="S125" t="s">
        <v>101</v>
      </c>
      <c r="T125" t="s">
        <v>102</v>
      </c>
      <c r="U125">
        <v>1</v>
      </c>
    </row>
    <row r="126" spans="1:21" x14ac:dyDescent="0.3">
      <c r="A126" t="s">
        <v>230</v>
      </c>
      <c r="B126" s="1">
        <v>46061</v>
      </c>
      <c r="C126" s="1">
        <v>46063</v>
      </c>
      <c r="D126" s="1">
        <v>46064</v>
      </c>
      <c r="E126" s="1">
        <v>46065</v>
      </c>
      <c r="F126" t="s">
        <v>31</v>
      </c>
      <c r="G126" t="s">
        <v>61</v>
      </c>
      <c r="H126" t="s">
        <v>20</v>
      </c>
      <c r="I126" t="s">
        <v>43</v>
      </c>
      <c r="J126">
        <v>55.9</v>
      </c>
      <c r="K126">
        <v>2046.3</v>
      </c>
      <c r="L126">
        <v>2551000</v>
      </c>
      <c r="M126" t="b">
        <v>0</v>
      </c>
      <c r="N126" t="b">
        <v>0</v>
      </c>
      <c r="O126">
        <v>5000</v>
      </c>
      <c r="P126" t="b">
        <v>0</v>
      </c>
      <c r="Q126" t="b">
        <v>0</v>
      </c>
      <c r="R126" t="b">
        <v>0</v>
      </c>
      <c r="S126" t="s">
        <v>101</v>
      </c>
      <c r="T126" t="s">
        <v>115</v>
      </c>
      <c r="U126">
        <v>1</v>
      </c>
    </row>
    <row r="127" spans="1:21" x14ac:dyDescent="0.3">
      <c r="A127" t="s">
        <v>231</v>
      </c>
      <c r="B127" s="1">
        <v>46158</v>
      </c>
      <c r="C127" s="1">
        <v>46159</v>
      </c>
      <c r="D127" s="1">
        <v>46162</v>
      </c>
      <c r="E127" s="1">
        <v>46162</v>
      </c>
      <c r="F127" t="s">
        <v>31</v>
      </c>
      <c r="G127" t="s">
        <v>53</v>
      </c>
      <c r="H127" t="s">
        <v>23</v>
      </c>
      <c r="I127" t="s">
        <v>44</v>
      </c>
      <c r="J127">
        <v>326.7</v>
      </c>
      <c r="K127">
        <v>431.8</v>
      </c>
      <c r="L127">
        <v>3873000</v>
      </c>
      <c r="M127" t="b">
        <v>0</v>
      </c>
      <c r="N127" t="b">
        <v>0</v>
      </c>
      <c r="O127">
        <v>1500</v>
      </c>
      <c r="P127" t="b">
        <v>0</v>
      </c>
      <c r="Q127" t="b">
        <v>0</v>
      </c>
      <c r="R127" t="b">
        <v>0</v>
      </c>
      <c r="S127" t="s">
        <v>96</v>
      </c>
      <c r="T127" t="s">
        <v>102</v>
      </c>
    </row>
    <row r="128" spans="1:21" x14ac:dyDescent="0.3">
      <c r="A128" t="s">
        <v>232</v>
      </c>
      <c r="B128" s="1">
        <v>46023</v>
      </c>
      <c r="C128" s="1">
        <v>46024</v>
      </c>
      <c r="D128" s="1">
        <v>46027</v>
      </c>
      <c r="E128" s="1">
        <v>46027</v>
      </c>
      <c r="F128" t="s">
        <v>31</v>
      </c>
      <c r="G128" t="s">
        <v>59</v>
      </c>
      <c r="H128" t="s">
        <v>21</v>
      </c>
      <c r="I128" t="s">
        <v>43</v>
      </c>
      <c r="J128">
        <v>309.10000000000002</v>
      </c>
      <c r="K128">
        <v>3801.6</v>
      </c>
      <c r="L128">
        <v>5872000</v>
      </c>
      <c r="M128" t="b">
        <v>0</v>
      </c>
      <c r="N128" t="b">
        <v>0</v>
      </c>
      <c r="O128">
        <v>5000</v>
      </c>
      <c r="P128" t="b">
        <v>0</v>
      </c>
      <c r="Q128" t="b">
        <v>0</v>
      </c>
      <c r="R128" t="b">
        <v>0</v>
      </c>
      <c r="S128" t="s">
        <v>96</v>
      </c>
      <c r="T128" t="s">
        <v>104</v>
      </c>
    </row>
    <row r="129" spans="1:21" x14ac:dyDescent="0.3">
      <c r="A129" t="s">
        <v>233</v>
      </c>
      <c r="B129" s="1">
        <v>46194</v>
      </c>
      <c r="C129" s="1">
        <v>46195</v>
      </c>
      <c r="D129" s="1">
        <v>46199</v>
      </c>
      <c r="E129" s="1">
        <v>46199</v>
      </c>
      <c r="F129" t="s">
        <v>33</v>
      </c>
      <c r="G129" t="s">
        <v>54</v>
      </c>
      <c r="H129" t="s">
        <v>22</v>
      </c>
      <c r="I129" t="s">
        <v>42</v>
      </c>
      <c r="J129">
        <v>949.1</v>
      </c>
      <c r="K129">
        <v>14287.8</v>
      </c>
      <c r="L129">
        <v>22286000</v>
      </c>
      <c r="M129" t="b">
        <v>0</v>
      </c>
      <c r="N129" t="b">
        <v>0</v>
      </c>
      <c r="O129">
        <v>16000</v>
      </c>
      <c r="P129" t="b">
        <v>0</v>
      </c>
      <c r="Q129" t="b">
        <v>0</v>
      </c>
      <c r="R129" t="b">
        <v>0</v>
      </c>
      <c r="S129" t="s">
        <v>96</v>
      </c>
      <c r="T129" t="s">
        <v>99</v>
      </c>
    </row>
    <row r="130" spans="1:21" x14ac:dyDescent="0.3">
      <c r="A130" t="s">
        <v>234</v>
      </c>
      <c r="B130" s="1">
        <v>46116</v>
      </c>
      <c r="C130" s="1">
        <v>46117</v>
      </c>
      <c r="D130" s="1">
        <v>46122</v>
      </c>
      <c r="E130" s="1">
        <v>46123</v>
      </c>
      <c r="F130" t="s">
        <v>31</v>
      </c>
      <c r="G130" t="s">
        <v>62</v>
      </c>
      <c r="H130" t="s">
        <v>20</v>
      </c>
      <c r="I130" t="s">
        <v>43</v>
      </c>
      <c r="J130">
        <v>721</v>
      </c>
      <c r="K130">
        <v>3857.9</v>
      </c>
      <c r="L130">
        <v>11022000</v>
      </c>
      <c r="M130" t="b">
        <v>0</v>
      </c>
      <c r="N130" t="b">
        <v>0</v>
      </c>
      <c r="O130">
        <v>5000</v>
      </c>
      <c r="P130" t="b">
        <v>0</v>
      </c>
      <c r="Q130" t="b">
        <v>0</v>
      </c>
      <c r="R130" t="b">
        <v>0</v>
      </c>
      <c r="S130" t="s">
        <v>101</v>
      </c>
      <c r="T130" t="s">
        <v>112</v>
      </c>
      <c r="U130">
        <v>1</v>
      </c>
    </row>
    <row r="131" spans="1:21" x14ac:dyDescent="0.3">
      <c r="A131" t="s">
        <v>235</v>
      </c>
      <c r="B131" s="1">
        <v>46158</v>
      </c>
      <c r="C131" s="1">
        <v>46160</v>
      </c>
      <c r="D131" s="1">
        <v>46164</v>
      </c>
      <c r="E131" s="1">
        <v>46164</v>
      </c>
      <c r="F131" t="s">
        <v>33</v>
      </c>
      <c r="G131" t="s">
        <v>61</v>
      </c>
      <c r="H131" t="s">
        <v>22</v>
      </c>
      <c r="I131" t="s">
        <v>43</v>
      </c>
      <c r="J131">
        <v>660.2</v>
      </c>
      <c r="K131">
        <v>1407.3</v>
      </c>
      <c r="L131">
        <v>8093000</v>
      </c>
      <c r="M131" t="b">
        <v>0</v>
      </c>
      <c r="N131" t="b">
        <v>0</v>
      </c>
      <c r="O131">
        <v>5000</v>
      </c>
      <c r="P131" t="b">
        <v>0</v>
      </c>
      <c r="Q131" t="b">
        <v>0</v>
      </c>
      <c r="R131" t="b">
        <v>0</v>
      </c>
      <c r="S131" t="s">
        <v>96</v>
      </c>
      <c r="T131" t="s">
        <v>102</v>
      </c>
    </row>
    <row r="132" spans="1:21" x14ac:dyDescent="0.3">
      <c r="A132" t="s">
        <v>236</v>
      </c>
      <c r="B132" s="1">
        <v>46111</v>
      </c>
      <c r="C132" s="1">
        <v>46113</v>
      </c>
      <c r="D132" s="1">
        <v>46116</v>
      </c>
      <c r="E132" s="1">
        <v>46116</v>
      </c>
      <c r="F132" t="s">
        <v>33</v>
      </c>
      <c r="G132" t="s">
        <v>59</v>
      </c>
      <c r="H132" t="s">
        <v>22</v>
      </c>
      <c r="I132" t="s">
        <v>44</v>
      </c>
      <c r="J132">
        <v>482.6</v>
      </c>
      <c r="K132">
        <v>279.2</v>
      </c>
      <c r="L132">
        <v>5189000</v>
      </c>
      <c r="M132" t="b">
        <v>0</v>
      </c>
      <c r="N132" t="b">
        <v>0</v>
      </c>
      <c r="O132">
        <v>1500</v>
      </c>
      <c r="P132" t="b">
        <v>0</v>
      </c>
      <c r="Q132" t="b">
        <v>0</v>
      </c>
      <c r="R132" t="b">
        <v>0</v>
      </c>
      <c r="S132" t="s">
        <v>96</v>
      </c>
      <c r="T132" t="s">
        <v>112</v>
      </c>
    </row>
    <row r="133" spans="1:21" x14ac:dyDescent="0.3">
      <c r="A133" t="s">
        <v>237</v>
      </c>
      <c r="B133" s="1">
        <v>46125</v>
      </c>
      <c r="C133" s="1">
        <v>46126</v>
      </c>
      <c r="D133" s="1">
        <v>46128</v>
      </c>
      <c r="E133" s="1">
        <v>46128</v>
      </c>
      <c r="F133" t="s">
        <v>31</v>
      </c>
      <c r="G133" t="s">
        <v>52</v>
      </c>
      <c r="H133" t="s">
        <v>23</v>
      </c>
      <c r="I133" t="s">
        <v>44</v>
      </c>
      <c r="J133">
        <v>285.5</v>
      </c>
      <c r="K133">
        <v>1085.9000000000001</v>
      </c>
      <c r="L133">
        <v>3584000</v>
      </c>
      <c r="M133" t="b">
        <v>0</v>
      </c>
      <c r="N133" t="b">
        <v>0</v>
      </c>
      <c r="O133">
        <v>1500</v>
      </c>
      <c r="P133" t="b">
        <v>0</v>
      </c>
      <c r="Q133" t="b">
        <v>0</v>
      </c>
      <c r="R133" t="b">
        <v>0</v>
      </c>
      <c r="S133" t="s">
        <v>96</v>
      </c>
      <c r="T133" t="s">
        <v>112</v>
      </c>
    </row>
    <row r="134" spans="1:21" x14ac:dyDescent="0.3">
      <c r="A134" t="s">
        <v>238</v>
      </c>
      <c r="B134" s="1">
        <v>46046</v>
      </c>
      <c r="C134" s="1">
        <v>46048</v>
      </c>
      <c r="D134" s="1">
        <v>46049</v>
      </c>
      <c r="E134" s="1">
        <v>46049</v>
      </c>
      <c r="F134" t="s">
        <v>33</v>
      </c>
      <c r="G134" t="s">
        <v>60</v>
      </c>
      <c r="H134" t="s">
        <v>20</v>
      </c>
      <c r="I134" t="s">
        <v>43</v>
      </c>
      <c r="J134">
        <v>21.6</v>
      </c>
      <c r="K134">
        <v>1941.6</v>
      </c>
      <c r="L134">
        <v>1817000</v>
      </c>
      <c r="M134" t="b">
        <v>0</v>
      </c>
      <c r="N134" t="b">
        <v>0</v>
      </c>
      <c r="O134">
        <v>5000</v>
      </c>
      <c r="P134" t="b">
        <v>0</v>
      </c>
      <c r="Q134" t="b">
        <v>0</v>
      </c>
      <c r="R134" t="b">
        <v>0</v>
      </c>
      <c r="S134" t="s">
        <v>96</v>
      </c>
      <c r="T134" t="s">
        <v>104</v>
      </c>
    </row>
    <row r="135" spans="1:21" x14ac:dyDescent="0.3">
      <c r="A135" t="s">
        <v>239</v>
      </c>
      <c r="B135" s="1">
        <v>46115</v>
      </c>
      <c r="C135" s="1">
        <v>46115</v>
      </c>
      <c r="D135" s="1">
        <v>46117</v>
      </c>
      <c r="E135" s="1">
        <v>46118</v>
      </c>
      <c r="F135" t="s">
        <v>31</v>
      </c>
      <c r="G135" t="s">
        <v>52</v>
      </c>
      <c r="H135" t="s">
        <v>23</v>
      </c>
      <c r="I135" t="s">
        <v>42</v>
      </c>
      <c r="J135">
        <v>294.39999999999998</v>
      </c>
      <c r="K135">
        <v>4072.3</v>
      </c>
      <c r="L135">
        <v>7088000</v>
      </c>
      <c r="M135" t="b">
        <v>0</v>
      </c>
      <c r="N135" t="b">
        <v>0</v>
      </c>
      <c r="O135">
        <v>16000</v>
      </c>
      <c r="P135" t="b">
        <v>0</v>
      </c>
      <c r="Q135" t="b">
        <v>0</v>
      </c>
      <c r="R135" t="b">
        <v>0</v>
      </c>
      <c r="S135" t="s">
        <v>101</v>
      </c>
      <c r="T135" t="s">
        <v>112</v>
      </c>
      <c r="U135">
        <v>1</v>
      </c>
    </row>
    <row r="136" spans="1:21" x14ac:dyDescent="0.3">
      <c r="A136" t="s">
        <v>240</v>
      </c>
      <c r="B136" s="1">
        <v>46098</v>
      </c>
      <c r="C136" s="1">
        <v>46099</v>
      </c>
      <c r="D136" s="1">
        <v>46103</v>
      </c>
      <c r="E136" s="1">
        <v>46104</v>
      </c>
      <c r="F136" t="s">
        <v>31</v>
      </c>
      <c r="G136" t="s">
        <v>56</v>
      </c>
      <c r="H136" t="s">
        <v>21</v>
      </c>
      <c r="I136" t="s">
        <v>44</v>
      </c>
      <c r="J136">
        <v>960.7</v>
      </c>
      <c r="K136">
        <v>1369.8</v>
      </c>
      <c r="L136">
        <v>11328000</v>
      </c>
      <c r="M136" t="b">
        <v>0</v>
      </c>
      <c r="N136" t="b">
        <v>0</v>
      </c>
      <c r="O136">
        <v>1500</v>
      </c>
      <c r="P136" t="b">
        <v>0</v>
      </c>
      <c r="Q136" t="b">
        <v>0</v>
      </c>
      <c r="R136" t="b">
        <v>0</v>
      </c>
      <c r="S136" t="s">
        <v>101</v>
      </c>
      <c r="T136" t="s">
        <v>118</v>
      </c>
      <c r="U136">
        <v>1</v>
      </c>
    </row>
    <row r="137" spans="1:21" x14ac:dyDescent="0.3">
      <c r="A137" t="s">
        <v>241</v>
      </c>
      <c r="B137" s="1">
        <v>46165</v>
      </c>
      <c r="C137" s="1">
        <v>46166</v>
      </c>
      <c r="D137" s="1">
        <v>46169</v>
      </c>
      <c r="E137" s="1">
        <v>46170</v>
      </c>
      <c r="F137" t="s">
        <v>34</v>
      </c>
      <c r="G137" t="s">
        <v>54</v>
      </c>
      <c r="H137" t="s">
        <v>23</v>
      </c>
      <c r="I137" t="s">
        <v>44</v>
      </c>
      <c r="J137">
        <v>466</v>
      </c>
      <c r="K137">
        <v>895</v>
      </c>
      <c r="L137">
        <v>5003000</v>
      </c>
      <c r="M137" t="b">
        <v>0</v>
      </c>
      <c r="N137" t="b">
        <v>0</v>
      </c>
      <c r="O137">
        <v>1500</v>
      </c>
      <c r="P137" t="b">
        <v>0</v>
      </c>
      <c r="Q137" t="b">
        <v>0</v>
      </c>
      <c r="R137" t="b">
        <v>0</v>
      </c>
      <c r="S137" t="s">
        <v>101</v>
      </c>
      <c r="T137" t="s">
        <v>102</v>
      </c>
      <c r="U137">
        <v>1</v>
      </c>
    </row>
    <row r="138" spans="1:21" x14ac:dyDescent="0.3">
      <c r="A138" t="s">
        <v>242</v>
      </c>
      <c r="B138" s="1">
        <v>46075</v>
      </c>
      <c r="C138" s="1">
        <v>46076</v>
      </c>
      <c r="D138" s="1">
        <v>46078</v>
      </c>
      <c r="E138" s="1">
        <v>46080</v>
      </c>
      <c r="F138" t="s">
        <v>34</v>
      </c>
      <c r="G138" t="s">
        <v>57</v>
      </c>
      <c r="H138" t="s">
        <v>20</v>
      </c>
      <c r="I138" t="s">
        <v>43</v>
      </c>
      <c r="J138">
        <v>154</v>
      </c>
      <c r="K138">
        <v>3844.5</v>
      </c>
      <c r="L138">
        <v>4864000</v>
      </c>
      <c r="M138" t="b">
        <v>0</v>
      </c>
      <c r="N138" t="b">
        <v>0</v>
      </c>
      <c r="O138">
        <v>5000</v>
      </c>
      <c r="P138" t="b">
        <v>0</v>
      </c>
      <c r="Q138" t="b">
        <v>0</v>
      </c>
      <c r="R138" t="b">
        <v>0</v>
      </c>
      <c r="S138" t="s">
        <v>101</v>
      </c>
      <c r="T138" t="s">
        <v>115</v>
      </c>
      <c r="U138">
        <v>2</v>
      </c>
    </row>
    <row r="139" spans="1:21" x14ac:dyDescent="0.3">
      <c r="A139" t="s">
        <v>243</v>
      </c>
      <c r="B139" s="1">
        <v>46119</v>
      </c>
      <c r="C139" s="1">
        <v>46121</v>
      </c>
      <c r="D139" s="1">
        <v>46125</v>
      </c>
      <c r="E139" s="1">
        <v>46126</v>
      </c>
      <c r="F139" t="s">
        <v>33</v>
      </c>
      <c r="G139" t="s">
        <v>56</v>
      </c>
      <c r="H139" t="s">
        <v>23</v>
      </c>
      <c r="I139" t="s">
        <v>43</v>
      </c>
      <c r="J139">
        <v>1542.6</v>
      </c>
      <c r="K139">
        <v>1674.4</v>
      </c>
      <c r="L139">
        <v>25519000</v>
      </c>
      <c r="M139" t="b">
        <v>0</v>
      </c>
      <c r="N139" t="b">
        <v>0</v>
      </c>
      <c r="O139">
        <v>5000</v>
      </c>
      <c r="P139" t="b">
        <v>0</v>
      </c>
      <c r="Q139" t="b">
        <v>0</v>
      </c>
      <c r="R139" t="b">
        <v>0</v>
      </c>
      <c r="S139" t="s">
        <v>101</v>
      </c>
      <c r="T139" t="s">
        <v>112</v>
      </c>
      <c r="U139">
        <v>1</v>
      </c>
    </row>
    <row r="140" spans="1:21" x14ac:dyDescent="0.3">
      <c r="A140" t="s">
        <v>244</v>
      </c>
      <c r="B140" s="1">
        <v>46115</v>
      </c>
      <c r="C140" s="1">
        <v>46115</v>
      </c>
      <c r="D140" s="1">
        <v>46117</v>
      </c>
      <c r="F140" t="s">
        <v>32</v>
      </c>
      <c r="G140" t="s">
        <v>53</v>
      </c>
      <c r="H140" t="s">
        <v>20</v>
      </c>
      <c r="I140" t="s">
        <v>42</v>
      </c>
      <c r="J140">
        <v>260.3</v>
      </c>
      <c r="K140">
        <v>7372.7</v>
      </c>
      <c r="L140">
        <v>7710000</v>
      </c>
      <c r="M140" t="b">
        <v>0</v>
      </c>
      <c r="N140" t="b">
        <v>0</v>
      </c>
      <c r="O140">
        <v>16000</v>
      </c>
      <c r="P140" t="b">
        <v>0</v>
      </c>
      <c r="Q140" t="b">
        <v>0</v>
      </c>
      <c r="R140" t="b">
        <v>0</v>
      </c>
      <c r="S140" t="s">
        <v>203</v>
      </c>
      <c r="T140" t="s">
        <v>112</v>
      </c>
    </row>
    <row r="141" spans="1:21" x14ac:dyDescent="0.3">
      <c r="A141" t="s">
        <v>245</v>
      </c>
      <c r="B141" s="1">
        <v>46098</v>
      </c>
      <c r="C141" s="1">
        <v>46099</v>
      </c>
      <c r="D141" s="1">
        <v>46101</v>
      </c>
      <c r="E141" s="1">
        <v>46101</v>
      </c>
      <c r="F141" t="s">
        <v>31</v>
      </c>
      <c r="G141" t="s">
        <v>58</v>
      </c>
      <c r="H141" t="s">
        <v>20</v>
      </c>
      <c r="I141" t="s">
        <v>42</v>
      </c>
      <c r="J141">
        <v>192</v>
      </c>
      <c r="K141">
        <v>13402.1</v>
      </c>
      <c r="L141">
        <v>9125000</v>
      </c>
      <c r="M141" t="b">
        <v>0</v>
      </c>
      <c r="N141" t="b">
        <v>0</v>
      </c>
      <c r="O141">
        <v>16000</v>
      </c>
      <c r="P141" t="b">
        <v>0</v>
      </c>
      <c r="Q141" t="b">
        <v>0</v>
      </c>
      <c r="R141" t="b">
        <v>0</v>
      </c>
      <c r="S141" t="s">
        <v>96</v>
      </c>
      <c r="T141" t="s">
        <v>118</v>
      </c>
    </row>
    <row r="142" spans="1:21" x14ac:dyDescent="0.3">
      <c r="A142" t="s">
        <v>246</v>
      </c>
      <c r="B142" s="1">
        <v>46073</v>
      </c>
      <c r="C142" s="1">
        <v>46074</v>
      </c>
      <c r="D142" s="1">
        <v>46078</v>
      </c>
      <c r="E142" s="1">
        <v>46079</v>
      </c>
      <c r="F142" t="s">
        <v>34</v>
      </c>
      <c r="G142" t="s">
        <v>56</v>
      </c>
      <c r="H142" t="s">
        <v>22</v>
      </c>
      <c r="I142" t="s">
        <v>45</v>
      </c>
      <c r="J142">
        <v>876.9</v>
      </c>
      <c r="K142">
        <v>519.70000000000005</v>
      </c>
      <c r="L142">
        <v>8340000</v>
      </c>
      <c r="M142" t="b">
        <v>0</v>
      </c>
      <c r="N142" t="b">
        <v>0</v>
      </c>
      <c r="O142">
        <v>1000</v>
      </c>
      <c r="P142" t="b">
        <v>0</v>
      </c>
      <c r="Q142" t="b">
        <v>0</v>
      </c>
      <c r="R142" t="b">
        <v>0</v>
      </c>
      <c r="S142" t="s">
        <v>101</v>
      </c>
      <c r="T142" t="s">
        <v>115</v>
      </c>
      <c r="U142">
        <v>1</v>
      </c>
    </row>
    <row r="143" spans="1:21" x14ac:dyDescent="0.3">
      <c r="A143" t="s">
        <v>247</v>
      </c>
      <c r="B143" s="1">
        <v>46027</v>
      </c>
      <c r="C143" s="1">
        <v>46028</v>
      </c>
      <c r="D143" s="1">
        <v>46029</v>
      </c>
      <c r="E143" s="1">
        <v>46029</v>
      </c>
      <c r="F143" t="s">
        <v>32</v>
      </c>
      <c r="G143" t="s">
        <v>57</v>
      </c>
      <c r="H143" t="s">
        <v>21</v>
      </c>
      <c r="I143" t="s">
        <v>45</v>
      </c>
      <c r="J143">
        <v>14.4</v>
      </c>
      <c r="K143">
        <v>778</v>
      </c>
      <c r="L143">
        <v>6036000</v>
      </c>
      <c r="M143" t="b">
        <v>0</v>
      </c>
      <c r="N143" t="b">
        <v>0</v>
      </c>
      <c r="O143">
        <v>1000</v>
      </c>
      <c r="P143" t="b">
        <v>0</v>
      </c>
      <c r="Q143" t="b">
        <v>0</v>
      </c>
      <c r="R143" t="b">
        <v>0</v>
      </c>
      <c r="S143" t="s">
        <v>96</v>
      </c>
      <c r="T143" t="s">
        <v>104</v>
      </c>
    </row>
    <row r="144" spans="1:21" x14ac:dyDescent="0.3">
      <c r="A144" t="s">
        <v>248</v>
      </c>
      <c r="B144" s="1">
        <v>46137</v>
      </c>
      <c r="C144" s="1">
        <v>46138</v>
      </c>
      <c r="D144" s="1">
        <v>46139</v>
      </c>
      <c r="E144" s="1">
        <v>46139</v>
      </c>
      <c r="F144" t="s">
        <v>31</v>
      </c>
      <c r="G144" t="s">
        <v>55</v>
      </c>
      <c r="H144" t="s">
        <v>22</v>
      </c>
      <c r="I144" t="s">
        <v>45</v>
      </c>
      <c r="J144">
        <v>15.7</v>
      </c>
      <c r="K144">
        <v>80</v>
      </c>
      <c r="L144">
        <v>641000</v>
      </c>
      <c r="M144" t="b">
        <v>0</v>
      </c>
      <c r="N144" t="b">
        <v>0</v>
      </c>
      <c r="O144">
        <v>1000</v>
      </c>
      <c r="P144" t="b">
        <v>0</v>
      </c>
      <c r="Q144" t="b">
        <v>0</v>
      </c>
      <c r="R144" t="b">
        <v>0</v>
      </c>
      <c r="S144" t="s">
        <v>96</v>
      </c>
      <c r="T144" t="s">
        <v>112</v>
      </c>
    </row>
    <row r="145" spans="1:21" x14ac:dyDescent="0.3">
      <c r="A145" t="s">
        <v>249</v>
      </c>
      <c r="B145" s="1">
        <v>46101</v>
      </c>
      <c r="C145" s="1">
        <v>46101</v>
      </c>
      <c r="D145" s="1">
        <v>46103</v>
      </c>
      <c r="E145" s="1">
        <v>46103</v>
      </c>
      <c r="F145" t="s">
        <v>34</v>
      </c>
      <c r="G145" t="s">
        <v>61</v>
      </c>
      <c r="H145" t="s">
        <v>23</v>
      </c>
      <c r="I145" t="s">
        <v>44</v>
      </c>
      <c r="J145">
        <v>26.2</v>
      </c>
      <c r="K145">
        <v>266.3</v>
      </c>
      <c r="L145">
        <v>877000</v>
      </c>
      <c r="M145" t="b">
        <v>0</v>
      </c>
      <c r="N145" t="b">
        <v>0</v>
      </c>
      <c r="O145">
        <v>1500</v>
      </c>
      <c r="P145" t="b">
        <v>0</v>
      </c>
      <c r="Q145" t="b">
        <v>0</v>
      </c>
      <c r="R145" t="b">
        <v>0</v>
      </c>
      <c r="S145" t="s">
        <v>96</v>
      </c>
      <c r="T145" t="s">
        <v>118</v>
      </c>
    </row>
    <row r="146" spans="1:21" x14ac:dyDescent="0.3">
      <c r="A146" t="s">
        <v>250</v>
      </c>
      <c r="B146" s="1">
        <v>46190</v>
      </c>
      <c r="C146" s="1">
        <v>46192</v>
      </c>
      <c r="D146" s="1">
        <v>46194</v>
      </c>
      <c r="E146" s="1">
        <v>46193</v>
      </c>
      <c r="F146" t="s">
        <v>31</v>
      </c>
      <c r="G146" t="s">
        <v>57</v>
      </c>
      <c r="H146" t="s">
        <v>22</v>
      </c>
      <c r="I146" t="s">
        <v>44</v>
      </c>
      <c r="J146">
        <v>131.5</v>
      </c>
      <c r="K146">
        <v>718.1</v>
      </c>
      <c r="L146">
        <v>2223000</v>
      </c>
      <c r="M146" t="b">
        <v>0</v>
      </c>
      <c r="N146" t="b">
        <v>0</v>
      </c>
      <c r="O146">
        <v>1500</v>
      </c>
      <c r="P146" t="b">
        <v>0</v>
      </c>
      <c r="Q146" t="b">
        <v>0</v>
      </c>
      <c r="R146" t="b">
        <v>0</v>
      </c>
      <c r="S146" t="s">
        <v>96</v>
      </c>
      <c r="T146" t="s">
        <v>99</v>
      </c>
    </row>
    <row r="147" spans="1:21" x14ac:dyDescent="0.3">
      <c r="A147" t="s">
        <v>251</v>
      </c>
      <c r="B147" s="1">
        <v>46164</v>
      </c>
      <c r="C147" s="1">
        <v>46165</v>
      </c>
      <c r="D147" s="1">
        <v>46168</v>
      </c>
      <c r="E147" s="1">
        <v>46167</v>
      </c>
      <c r="F147" t="s">
        <v>31</v>
      </c>
      <c r="G147" t="s">
        <v>53</v>
      </c>
      <c r="H147" t="s">
        <v>20</v>
      </c>
      <c r="I147" t="s">
        <v>45</v>
      </c>
      <c r="J147">
        <v>316.3</v>
      </c>
      <c r="K147">
        <v>200.1</v>
      </c>
      <c r="L147">
        <v>3067000</v>
      </c>
      <c r="M147" t="b">
        <v>0</v>
      </c>
      <c r="N147" t="b">
        <v>0</v>
      </c>
      <c r="O147">
        <v>1000</v>
      </c>
      <c r="P147" t="b">
        <v>0</v>
      </c>
      <c r="Q147" t="b">
        <v>0</v>
      </c>
      <c r="R147" t="b">
        <v>0</v>
      </c>
      <c r="S147" t="s">
        <v>96</v>
      </c>
      <c r="T147" t="s">
        <v>102</v>
      </c>
    </row>
    <row r="148" spans="1:21" x14ac:dyDescent="0.3">
      <c r="A148" t="s">
        <v>252</v>
      </c>
      <c r="B148" s="1">
        <v>46039</v>
      </c>
      <c r="C148" s="1">
        <v>46040</v>
      </c>
      <c r="D148" s="1">
        <v>46041</v>
      </c>
      <c r="E148" s="1">
        <v>46041</v>
      </c>
      <c r="F148" t="s">
        <v>31</v>
      </c>
      <c r="G148" t="s">
        <v>55</v>
      </c>
      <c r="H148" t="s">
        <v>22</v>
      </c>
      <c r="I148" t="s">
        <v>42</v>
      </c>
      <c r="J148">
        <v>19.2</v>
      </c>
      <c r="K148">
        <v>8027.7</v>
      </c>
      <c r="L148">
        <v>3625000</v>
      </c>
      <c r="M148" t="b">
        <v>0</v>
      </c>
      <c r="N148" t="b">
        <v>0</v>
      </c>
      <c r="O148">
        <v>16000</v>
      </c>
      <c r="P148" t="b">
        <v>0</v>
      </c>
      <c r="Q148" t="b">
        <v>0</v>
      </c>
      <c r="R148" t="b">
        <v>0</v>
      </c>
      <c r="S148" t="s">
        <v>96</v>
      </c>
      <c r="T148" t="s">
        <v>104</v>
      </c>
    </row>
    <row r="149" spans="1:21" x14ac:dyDescent="0.3">
      <c r="A149" t="s">
        <v>253</v>
      </c>
      <c r="B149" s="1">
        <v>46156</v>
      </c>
      <c r="C149" s="1">
        <v>46157</v>
      </c>
      <c r="D149" s="1">
        <v>46159</v>
      </c>
      <c r="E149" s="1">
        <v>46159</v>
      </c>
      <c r="F149" t="s">
        <v>32</v>
      </c>
      <c r="G149" t="s">
        <v>59</v>
      </c>
      <c r="H149" t="s">
        <v>20</v>
      </c>
      <c r="I149" t="s">
        <v>43</v>
      </c>
      <c r="J149">
        <v>174.1</v>
      </c>
      <c r="K149">
        <v>644.6</v>
      </c>
      <c r="L149">
        <v>3631000</v>
      </c>
      <c r="M149" t="b">
        <v>0</v>
      </c>
      <c r="N149" t="b">
        <v>0</v>
      </c>
      <c r="O149">
        <v>5000</v>
      </c>
      <c r="P149" t="b">
        <v>0</v>
      </c>
      <c r="Q149" t="b">
        <v>0</v>
      </c>
      <c r="R149" t="b">
        <v>0</v>
      </c>
      <c r="S149" t="s">
        <v>96</v>
      </c>
      <c r="T149" t="s">
        <v>102</v>
      </c>
    </row>
    <row r="150" spans="1:21" x14ac:dyDescent="0.3">
      <c r="A150" t="s">
        <v>254</v>
      </c>
      <c r="B150" s="1">
        <v>46134</v>
      </c>
      <c r="C150" s="1">
        <v>46135</v>
      </c>
      <c r="D150" s="1">
        <v>46139</v>
      </c>
      <c r="E150" s="1">
        <v>46139</v>
      </c>
      <c r="F150" t="s">
        <v>34</v>
      </c>
      <c r="G150" t="s">
        <v>62</v>
      </c>
      <c r="H150" t="s">
        <v>20</v>
      </c>
      <c r="I150" t="s">
        <v>44</v>
      </c>
      <c r="J150">
        <v>718.8</v>
      </c>
      <c r="K150">
        <v>364</v>
      </c>
      <c r="L150">
        <v>7570000</v>
      </c>
      <c r="M150" t="b">
        <v>0</v>
      </c>
      <c r="N150" t="b">
        <v>0</v>
      </c>
      <c r="O150">
        <v>1500</v>
      </c>
      <c r="P150" t="b">
        <v>0</v>
      </c>
      <c r="Q150" t="b">
        <v>0</v>
      </c>
      <c r="R150" t="b">
        <v>0</v>
      </c>
      <c r="S150" t="s">
        <v>96</v>
      </c>
      <c r="T150" t="s">
        <v>112</v>
      </c>
    </row>
    <row r="151" spans="1:21" x14ac:dyDescent="0.3">
      <c r="A151" t="s">
        <v>255</v>
      </c>
      <c r="B151" s="1">
        <v>46045</v>
      </c>
      <c r="C151" s="1">
        <v>46045</v>
      </c>
      <c r="D151" s="1">
        <v>46047</v>
      </c>
      <c r="E151" s="1">
        <v>46048</v>
      </c>
      <c r="F151" t="s">
        <v>32</v>
      </c>
      <c r="G151" t="s">
        <v>59</v>
      </c>
      <c r="H151" t="s">
        <v>24</v>
      </c>
      <c r="I151" t="s">
        <v>45</v>
      </c>
      <c r="J151">
        <v>171.5</v>
      </c>
      <c r="K151">
        <v>727</v>
      </c>
      <c r="L151">
        <v>1828000</v>
      </c>
      <c r="M151" t="b">
        <v>0</v>
      </c>
      <c r="N151" t="b">
        <v>0</v>
      </c>
      <c r="O151">
        <v>1000</v>
      </c>
      <c r="P151" t="b">
        <v>0</v>
      </c>
      <c r="Q151" t="b">
        <v>0</v>
      </c>
      <c r="R151" t="b">
        <v>0</v>
      </c>
      <c r="S151" t="s">
        <v>101</v>
      </c>
      <c r="T151" t="s">
        <v>104</v>
      </c>
      <c r="U151">
        <v>1</v>
      </c>
    </row>
    <row r="152" spans="1:21" x14ac:dyDescent="0.3">
      <c r="A152" t="s">
        <v>256</v>
      </c>
      <c r="B152" s="1">
        <v>46041</v>
      </c>
      <c r="C152" s="1">
        <v>46042</v>
      </c>
      <c r="D152" s="1">
        <v>46045</v>
      </c>
      <c r="E152" s="1">
        <v>46048</v>
      </c>
      <c r="F152" t="s">
        <v>34</v>
      </c>
      <c r="G152" t="s">
        <v>59</v>
      </c>
      <c r="H152" t="s">
        <v>22</v>
      </c>
      <c r="I152" t="s">
        <v>44</v>
      </c>
      <c r="J152">
        <v>335.5</v>
      </c>
      <c r="K152">
        <v>789.4</v>
      </c>
      <c r="L152">
        <v>4556000</v>
      </c>
      <c r="M152" t="b">
        <v>0</v>
      </c>
      <c r="N152" t="b">
        <v>0</v>
      </c>
      <c r="O152">
        <v>1500</v>
      </c>
      <c r="P152" t="b">
        <v>0</v>
      </c>
      <c r="Q152" t="b">
        <v>0</v>
      </c>
      <c r="R152" t="b">
        <v>0</v>
      </c>
      <c r="S152" t="s">
        <v>101</v>
      </c>
      <c r="T152" t="s">
        <v>104</v>
      </c>
      <c r="U152">
        <v>3</v>
      </c>
    </row>
    <row r="153" spans="1:21" x14ac:dyDescent="0.3">
      <c r="A153" t="s">
        <v>257</v>
      </c>
      <c r="B153" s="1">
        <v>46160</v>
      </c>
      <c r="C153" s="1">
        <v>46161</v>
      </c>
      <c r="D153" s="1">
        <v>46165</v>
      </c>
      <c r="E153" s="1">
        <v>46165</v>
      </c>
      <c r="F153" t="s">
        <v>34</v>
      </c>
      <c r="G153" t="s">
        <v>60</v>
      </c>
      <c r="H153" t="s">
        <v>23</v>
      </c>
      <c r="I153" t="s">
        <v>43</v>
      </c>
      <c r="J153">
        <v>659</v>
      </c>
      <c r="K153">
        <v>593.1</v>
      </c>
      <c r="L153">
        <v>7758000</v>
      </c>
      <c r="M153" t="b">
        <v>0</v>
      </c>
      <c r="N153" t="b">
        <v>0</v>
      </c>
      <c r="O153">
        <v>5000</v>
      </c>
      <c r="P153" t="b">
        <v>0</v>
      </c>
      <c r="Q153" t="b">
        <v>0</v>
      </c>
      <c r="R153" t="b">
        <v>0</v>
      </c>
      <c r="S153" t="s">
        <v>96</v>
      </c>
      <c r="T153" t="s">
        <v>102</v>
      </c>
    </row>
    <row r="154" spans="1:21" x14ac:dyDescent="0.3">
      <c r="A154" t="s">
        <v>258</v>
      </c>
      <c r="B154" s="1">
        <v>46077</v>
      </c>
      <c r="C154" s="1">
        <v>46079</v>
      </c>
      <c r="D154" s="1">
        <v>46081</v>
      </c>
      <c r="E154" s="1">
        <v>46081</v>
      </c>
      <c r="F154" t="s">
        <v>32</v>
      </c>
      <c r="G154" t="s">
        <v>55</v>
      </c>
      <c r="H154" t="s">
        <v>22</v>
      </c>
      <c r="I154" t="s">
        <v>44</v>
      </c>
      <c r="J154">
        <v>133.1</v>
      </c>
      <c r="K154">
        <v>649.4</v>
      </c>
      <c r="L154">
        <v>1898000</v>
      </c>
      <c r="M154" t="b">
        <v>0</v>
      </c>
      <c r="N154" t="b">
        <v>0</v>
      </c>
      <c r="O154">
        <v>1500</v>
      </c>
      <c r="P154" t="b">
        <v>0</v>
      </c>
      <c r="Q154" t="b">
        <v>0</v>
      </c>
      <c r="R154" t="b">
        <v>0</v>
      </c>
      <c r="S154" t="s">
        <v>96</v>
      </c>
      <c r="T154" t="s">
        <v>115</v>
      </c>
    </row>
    <row r="155" spans="1:21" x14ac:dyDescent="0.3">
      <c r="A155" t="s">
        <v>259</v>
      </c>
      <c r="B155" s="1">
        <v>46138</v>
      </c>
      <c r="C155" s="1">
        <v>46139</v>
      </c>
      <c r="D155" s="1">
        <v>46138</v>
      </c>
      <c r="E155" s="1">
        <v>46143</v>
      </c>
      <c r="F155" t="s">
        <v>32</v>
      </c>
      <c r="G155" t="s">
        <v>54</v>
      </c>
      <c r="H155" t="s">
        <v>24</v>
      </c>
      <c r="I155" t="s">
        <v>43</v>
      </c>
      <c r="J155">
        <v>577.1</v>
      </c>
      <c r="K155">
        <v>3349.3</v>
      </c>
      <c r="L155">
        <v>9326000</v>
      </c>
      <c r="M155" t="b">
        <v>1</v>
      </c>
      <c r="N155" t="b">
        <v>0</v>
      </c>
      <c r="O155">
        <v>5000</v>
      </c>
      <c r="P155" t="b">
        <v>0</v>
      </c>
      <c r="Q155" t="b">
        <v>0</v>
      </c>
      <c r="R155" t="b">
        <v>1</v>
      </c>
      <c r="S155" t="s">
        <v>260</v>
      </c>
      <c r="T155" t="s">
        <v>112</v>
      </c>
    </row>
    <row r="156" spans="1:21" x14ac:dyDescent="0.3">
      <c r="A156" t="s">
        <v>261</v>
      </c>
      <c r="B156" s="1">
        <v>46190</v>
      </c>
      <c r="C156" s="1">
        <v>46192</v>
      </c>
      <c r="D156" s="1">
        <v>46196</v>
      </c>
      <c r="E156" s="1">
        <v>46197</v>
      </c>
      <c r="F156" t="s">
        <v>31</v>
      </c>
      <c r="G156" t="s">
        <v>56</v>
      </c>
      <c r="H156" t="s">
        <v>22</v>
      </c>
      <c r="I156" t="s">
        <v>44</v>
      </c>
      <c r="J156">
        <v>916.8</v>
      </c>
      <c r="K156">
        <v>867.1</v>
      </c>
      <c r="L156">
        <v>9335000</v>
      </c>
      <c r="M156" t="b">
        <v>0</v>
      </c>
      <c r="N156" t="b">
        <v>0</v>
      </c>
      <c r="O156">
        <v>1500</v>
      </c>
      <c r="P156" t="b">
        <v>0</v>
      </c>
      <c r="Q156" t="b">
        <v>0</v>
      </c>
      <c r="R156" t="b">
        <v>0</v>
      </c>
      <c r="S156" t="s">
        <v>101</v>
      </c>
      <c r="T156" t="s">
        <v>99</v>
      </c>
      <c r="U156">
        <v>1</v>
      </c>
    </row>
    <row r="157" spans="1:21" x14ac:dyDescent="0.3">
      <c r="A157" t="s">
        <v>262</v>
      </c>
      <c r="B157" s="1">
        <v>46170</v>
      </c>
      <c r="C157" s="1">
        <v>46171</v>
      </c>
      <c r="D157" s="1">
        <v>46174</v>
      </c>
      <c r="E157" s="1">
        <v>46174</v>
      </c>
      <c r="F157" t="s">
        <v>31</v>
      </c>
      <c r="G157" t="s">
        <v>54</v>
      </c>
      <c r="H157" t="s">
        <v>20</v>
      </c>
      <c r="I157" t="s">
        <v>45</v>
      </c>
      <c r="J157">
        <v>493</v>
      </c>
      <c r="K157">
        <v>370.4</v>
      </c>
      <c r="L157">
        <v>5575000</v>
      </c>
      <c r="M157" t="b">
        <v>0</v>
      </c>
      <c r="N157" t="b">
        <v>0</v>
      </c>
      <c r="O157">
        <v>1000</v>
      </c>
      <c r="P157" t="b">
        <v>0</v>
      </c>
      <c r="Q157" t="b">
        <v>0</v>
      </c>
      <c r="R157" t="b">
        <v>0</v>
      </c>
      <c r="S157" t="s">
        <v>96</v>
      </c>
      <c r="T157" t="s">
        <v>102</v>
      </c>
    </row>
    <row r="158" spans="1:21" x14ac:dyDescent="0.3">
      <c r="A158" t="s">
        <v>263</v>
      </c>
      <c r="B158" s="1">
        <v>46136</v>
      </c>
      <c r="C158" s="1">
        <v>46138</v>
      </c>
      <c r="D158" s="1">
        <v>46140</v>
      </c>
      <c r="E158" s="1">
        <v>46142</v>
      </c>
      <c r="F158" t="s">
        <v>31</v>
      </c>
      <c r="G158" t="s">
        <v>58</v>
      </c>
      <c r="H158" t="s">
        <v>23</v>
      </c>
      <c r="I158" t="s">
        <v>43</v>
      </c>
      <c r="J158">
        <v>178.4</v>
      </c>
      <c r="K158">
        <v>1561.8</v>
      </c>
      <c r="L158">
        <v>3165000</v>
      </c>
      <c r="M158" t="b">
        <v>0</v>
      </c>
      <c r="N158" t="b">
        <v>0</v>
      </c>
      <c r="O158">
        <v>5000</v>
      </c>
      <c r="P158" t="b">
        <v>0</v>
      </c>
      <c r="Q158" t="b">
        <v>0</v>
      </c>
      <c r="R158" t="b">
        <v>0</v>
      </c>
      <c r="S158" t="s">
        <v>101</v>
      </c>
      <c r="T158" t="s">
        <v>112</v>
      </c>
      <c r="U158">
        <v>2</v>
      </c>
    </row>
    <row r="159" spans="1:21" x14ac:dyDescent="0.3">
      <c r="A159" t="s">
        <v>264</v>
      </c>
      <c r="B159" s="1">
        <v>46106</v>
      </c>
      <c r="C159" s="1">
        <v>46106</v>
      </c>
      <c r="D159" s="1">
        <v>46109</v>
      </c>
      <c r="E159" s="1">
        <v>46109</v>
      </c>
      <c r="F159" t="s">
        <v>33</v>
      </c>
      <c r="G159" t="s">
        <v>52</v>
      </c>
      <c r="H159" t="s">
        <v>21</v>
      </c>
      <c r="I159" t="s">
        <v>43</v>
      </c>
      <c r="J159">
        <v>599.4</v>
      </c>
      <c r="K159">
        <v>2442</v>
      </c>
      <c r="L159">
        <v>9253000</v>
      </c>
      <c r="M159" t="b">
        <v>0</v>
      </c>
      <c r="N159" t="b">
        <v>0</v>
      </c>
      <c r="O159">
        <v>5000</v>
      </c>
      <c r="P159" t="b">
        <v>0</v>
      </c>
      <c r="Q159" t="b">
        <v>0</v>
      </c>
      <c r="R159" t="b">
        <v>0</v>
      </c>
      <c r="S159" t="s">
        <v>96</v>
      </c>
      <c r="T159" t="s">
        <v>118</v>
      </c>
    </row>
    <row r="160" spans="1:21" x14ac:dyDescent="0.3">
      <c r="A160" t="s">
        <v>265</v>
      </c>
      <c r="B160" s="1">
        <v>46039</v>
      </c>
      <c r="C160" s="1">
        <v>46040</v>
      </c>
      <c r="D160" s="1">
        <v>46041</v>
      </c>
      <c r="F160" t="s">
        <v>34</v>
      </c>
      <c r="G160" t="s">
        <v>55</v>
      </c>
      <c r="H160" t="s">
        <v>22</v>
      </c>
      <c r="I160" t="s">
        <v>44</v>
      </c>
      <c r="J160">
        <v>53.4</v>
      </c>
      <c r="K160">
        <v>932.3</v>
      </c>
      <c r="L160">
        <v>1519000</v>
      </c>
      <c r="M160" t="b">
        <v>0</v>
      </c>
      <c r="N160" t="b">
        <v>0</v>
      </c>
      <c r="O160">
        <v>1500</v>
      </c>
      <c r="P160" t="b">
        <v>0</v>
      </c>
      <c r="Q160" t="b">
        <v>0</v>
      </c>
      <c r="R160" t="b">
        <v>0</v>
      </c>
      <c r="S160" t="s">
        <v>203</v>
      </c>
      <c r="T160" t="s">
        <v>104</v>
      </c>
    </row>
    <row r="161" spans="1:21" x14ac:dyDescent="0.3">
      <c r="A161" t="s">
        <v>266</v>
      </c>
      <c r="B161" s="1">
        <v>46087</v>
      </c>
      <c r="C161" s="1">
        <v>46088</v>
      </c>
      <c r="D161" s="1">
        <v>46091</v>
      </c>
      <c r="E161" s="1">
        <v>46091</v>
      </c>
      <c r="F161" t="s">
        <v>33</v>
      </c>
      <c r="G161" t="s">
        <v>53</v>
      </c>
      <c r="H161" t="s">
        <v>22</v>
      </c>
      <c r="I161" t="s">
        <v>43</v>
      </c>
      <c r="J161">
        <v>518.6</v>
      </c>
      <c r="K161">
        <v>3325.6</v>
      </c>
      <c r="L161">
        <v>9256000</v>
      </c>
      <c r="M161" t="b">
        <v>0</v>
      </c>
      <c r="N161" t="b">
        <v>0</v>
      </c>
      <c r="O161">
        <v>5000</v>
      </c>
      <c r="P161" t="b">
        <v>0</v>
      </c>
      <c r="Q161" t="b">
        <v>0</v>
      </c>
      <c r="R161" t="b">
        <v>0</v>
      </c>
      <c r="S161" t="s">
        <v>96</v>
      </c>
      <c r="T161" t="s">
        <v>118</v>
      </c>
    </row>
    <row r="162" spans="1:21" x14ac:dyDescent="0.3">
      <c r="A162" t="s">
        <v>267</v>
      </c>
      <c r="B162" s="1">
        <v>46198</v>
      </c>
      <c r="C162" s="1">
        <v>46199</v>
      </c>
      <c r="D162" s="1">
        <v>46200</v>
      </c>
      <c r="E162" s="1">
        <v>46200</v>
      </c>
      <c r="F162" t="s">
        <v>32</v>
      </c>
      <c r="G162" t="s">
        <v>57</v>
      </c>
      <c r="H162" t="s">
        <v>22</v>
      </c>
      <c r="I162" t="s">
        <v>45</v>
      </c>
      <c r="J162">
        <v>14.1</v>
      </c>
      <c r="K162">
        <v>203.7</v>
      </c>
      <c r="L162">
        <v>618000</v>
      </c>
      <c r="M162" t="b">
        <v>0</v>
      </c>
      <c r="N162" t="b">
        <v>0</v>
      </c>
      <c r="O162">
        <v>1000</v>
      </c>
      <c r="P162" t="b">
        <v>0</v>
      </c>
      <c r="Q162" t="b">
        <v>0</v>
      </c>
      <c r="R162" t="b">
        <v>0</v>
      </c>
      <c r="S162" t="s">
        <v>96</v>
      </c>
      <c r="T162" t="s">
        <v>99</v>
      </c>
    </row>
    <row r="163" spans="1:21" x14ac:dyDescent="0.3">
      <c r="A163" t="s">
        <v>268</v>
      </c>
      <c r="B163" s="1">
        <v>46186</v>
      </c>
      <c r="C163" s="1">
        <v>46187</v>
      </c>
      <c r="D163" s="1">
        <v>46190</v>
      </c>
      <c r="E163" s="1">
        <v>46190</v>
      </c>
      <c r="F163" t="s">
        <v>34</v>
      </c>
      <c r="G163" t="s">
        <v>57</v>
      </c>
      <c r="H163" t="s">
        <v>20</v>
      </c>
      <c r="I163" t="s">
        <v>42</v>
      </c>
      <c r="J163">
        <v>161.1</v>
      </c>
      <c r="K163">
        <v>9002.2000000000007</v>
      </c>
      <c r="L163">
        <v>7466000</v>
      </c>
      <c r="M163" t="b">
        <v>0</v>
      </c>
      <c r="N163" t="b">
        <v>0</v>
      </c>
      <c r="O163">
        <v>16000</v>
      </c>
      <c r="P163" t="b">
        <v>0</v>
      </c>
      <c r="Q163" t="b">
        <v>0</v>
      </c>
      <c r="R163" t="b">
        <v>0</v>
      </c>
      <c r="S163" t="s">
        <v>96</v>
      </c>
      <c r="T163" t="s">
        <v>99</v>
      </c>
    </row>
    <row r="164" spans="1:21" x14ac:dyDescent="0.3">
      <c r="A164" t="s">
        <v>269</v>
      </c>
      <c r="B164" s="1">
        <v>46037</v>
      </c>
      <c r="C164" s="1">
        <v>46038</v>
      </c>
      <c r="D164" s="1">
        <v>46041</v>
      </c>
      <c r="E164" s="1">
        <v>46041</v>
      </c>
      <c r="F164" t="s">
        <v>34</v>
      </c>
      <c r="G164" t="s">
        <v>63</v>
      </c>
      <c r="H164" t="s">
        <v>22</v>
      </c>
      <c r="I164" t="s">
        <v>42</v>
      </c>
      <c r="J164">
        <v>313</v>
      </c>
      <c r="K164">
        <v>5030.2</v>
      </c>
      <c r="L164">
        <v>8217000</v>
      </c>
      <c r="M164" t="b">
        <v>0</v>
      </c>
      <c r="N164" t="b">
        <v>0</v>
      </c>
      <c r="O164">
        <v>16000</v>
      </c>
      <c r="P164" t="b">
        <v>0</v>
      </c>
      <c r="Q164" t="b">
        <v>0</v>
      </c>
      <c r="R164" t="b">
        <v>0</v>
      </c>
      <c r="S164" t="s">
        <v>96</v>
      </c>
      <c r="T164" t="s">
        <v>104</v>
      </c>
    </row>
    <row r="165" spans="1:21" x14ac:dyDescent="0.3">
      <c r="A165" t="s">
        <v>270</v>
      </c>
      <c r="B165" s="1">
        <v>46066</v>
      </c>
      <c r="C165" s="1">
        <v>46066</v>
      </c>
      <c r="D165" s="1">
        <v>46069</v>
      </c>
      <c r="E165" s="1">
        <v>46069</v>
      </c>
      <c r="F165" t="s">
        <v>34</v>
      </c>
      <c r="G165" t="s">
        <v>52</v>
      </c>
      <c r="H165" t="s">
        <v>20</v>
      </c>
      <c r="I165" t="s">
        <v>45</v>
      </c>
      <c r="J165">
        <v>265.8</v>
      </c>
      <c r="K165">
        <v>843.1</v>
      </c>
      <c r="L165">
        <v>3054000</v>
      </c>
      <c r="M165" t="b">
        <v>0</v>
      </c>
      <c r="N165" t="b">
        <v>0</v>
      </c>
      <c r="O165">
        <v>1000</v>
      </c>
      <c r="P165" t="b">
        <v>0</v>
      </c>
      <c r="Q165" t="b">
        <v>0</v>
      </c>
      <c r="R165" t="b">
        <v>0</v>
      </c>
      <c r="S165" t="s">
        <v>96</v>
      </c>
      <c r="T165" t="s">
        <v>115</v>
      </c>
    </row>
    <row r="166" spans="1:21" x14ac:dyDescent="0.3">
      <c r="A166" t="s">
        <v>271</v>
      </c>
      <c r="B166" s="1">
        <v>46059</v>
      </c>
      <c r="C166" s="1">
        <v>46060</v>
      </c>
      <c r="D166" s="1">
        <v>46064</v>
      </c>
      <c r="E166" s="1">
        <v>46063</v>
      </c>
      <c r="F166" t="s">
        <v>33</v>
      </c>
      <c r="G166" t="s">
        <v>58</v>
      </c>
      <c r="H166" t="s">
        <v>24</v>
      </c>
      <c r="I166" t="s">
        <v>43</v>
      </c>
      <c r="J166">
        <v>705.9</v>
      </c>
      <c r="K166">
        <v>1131.5999999999999</v>
      </c>
      <c r="L166">
        <v>10007000</v>
      </c>
      <c r="M166" t="b">
        <v>0</v>
      </c>
      <c r="N166" t="b">
        <v>0</v>
      </c>
      <c r="O166">
        <v>5000</v>
      </c>
      <c r="P166" t="b">
        <v>0</v>
      </c>
      <c r="Q166" t="b">
        <v>0</v>
      </c>
      <c r="R166" t="b">
        <v>0</v>
      </c>
      <c r="S166" t="s">
        <v>96</v>
      </c>
      <c r="T166" t="s">
        <v>115</v>
      </c>
    </row>
    <row r="167" spans="1:21" x14ac:dyDescent="0.3">
      <c r="A167" t="s">
        <v>272</v>
      </c>
      <c r="B167" s="1">
        <v>46143</v>
      </c>
      <c r="C167" s="1">
        <v>46144</v>
      </c>
      <c r="D167" s="1">
        <v>46145</v>
      </c>
      <c r="E167" s="1">
        <v>46145</v>
      </c>
      <c r="F167" t="s">
        <v>31</v>
      </c>
      <c r="G167" t="s">
        <v>61</v>
      </c>
      <c r="H167" t="s">
        <v>21</v>
      </c>
      <c r="I167" t="s">
        <v>44</v>
      </c>
      <c r="J167">
        <v>60.8</v>
      </c>
      <c r="K167">
        <v>615.20000000000005</v>
      </c>
      <c r="L167">
        <v>1359000</v>
      </c>
      <c r="M167" t="b">
        <v>0</v>
      </c>
      <c r="N167" t="b">
        <v>0</v>
      </c>
      <c r="O167">
        <v>1500</v>
      </c>
      <c r="P167" t="b">
        <v>0</v>
      </c>
      <c r="Q167" t="b">
        <v>0</v>
      </c>
      <c r="R167" t="b">
        <v>0</v>
      </c>
      <c r="S167" t="s">
        <v>96</v>
      </c>
      <c r="T167" t="s">
        <v>102</v>
      </c>
    </row>
    <row r="168" spans="1:21" x14ac:dyDescent="0.3">
      <c r="A168" t="s">
        <v>273</v>
      </c>
      <c r="B168" s="1">
        <v>46135</v>
      </c>
      <c r="C168" s="1">
        <v>46136</v>
      </c>
      <c r="D168" s="1">
        <v>46140</v>
      </c>
      <c r="E168" s="1">
        <v>46140</v>
      </c>
      <c r="F168" t="s">
        <v>31</v>
      </c>
      <c r="G168" t="s">
        <v>62</v>
      </c>
      <c r="H168" t="s">
        <v>23</v>
      </c>
      <c r="I168" t="s">
        <v>44</v>
      </c>
      <c r="J168">
        <v>754.6</v>
      </c>
      <c r="K168">
        <v>730.1</v>
      </c>
      <c r="L168">
        <v>7751000</v>
      </c>
      <c r="M168" t="b">
        <v>0</v>
      </c>
      <c r="N168" t="b">
        <v>0</v>
      </c>
      <c r="O168">
        <v>1500</v>
      </c>
      <c r="P168" t="b">
        <v>0</v>
      </c>
      <c r="Q168" t="b">
        <v>0</v>
      </c>
      <c r="R168" t="b">
        <v>0</v>
      </c>
      <c r="S168" t="s">
        <v>96</v>
      </c>
      <c r="T168" t="s">
        <v>112</v>
      </c>
    </row>
    <row r="169" spans="1:21" x14ac:dyDescent="0.3">
      <c r="A169" t="s">
        <v>274</v>
      </c>
      <c r="B169" s="1">
        <v>46113</v>
      </c>
      <c r="C169" s="1">
        <v>46114</v>
      </c>
      <c r="D169" s="1">
        <v>46117</v>
      </c>
      <c r="E169" s="1">
        <v>46117</v>
      </c>
      <c r="F169" t="s">
        <v>33</v>
      </c>
      <c r="G169" t="s">
        <v>53</v>
      </c>
      <c r="H169" t="s">
        <v>20</v>
      </c>
      <c r="I169" t="s">
        <v>45</v>
      </c>
      <c r="J169">
        <v>585.4</v>
      </c>
      <c r="K169">
        <v>264.89999999999998</v>
      </c>
      <c r="L169">
        <v>6447000</v>
      </c>
      <c r="M169" t="b">
        <v>0</v>
      </c>
      <c r="N169" t="b">
        <v>0</v>
      </c>
      <c r="O169">
        <v>1000</v>
      </c>
      <c r="P169" t="b">
        <v>0</v>
      </c>
      <c r="Q169" t="b">
        <v>0</v>
      </c>
      <c r="R169" t="b">
        <v>0</v>
      </c>
      <c r="S169" t="s">
        <v>96</v>
      </c>
      <c r="T169" t="s">
        <v>112</v>
      </c>
    </row>
    <row r="170" spans="1:21" x14ac:dyDescent="0.3">
      <c r="A170" t="s">
        <v>275</v>
      </c>
      <c r="B170" s="1">
        <v>46194</v>
      </c>
      <c r="C170" s="1">
        <v>46195</v>
      </c>
      <c r="D170" s="1">
        <v>46198</v>
      </c>
      <c r="E170" s="1">
        <v>46198</v>
      </c>
      <c r="F170" t="s">
        <v>33</v>
      </c>
      <c r="G170" t="s">
        <v>53</v>
      </c>
      <c r="H170" t="s">
        <v>23</v>
      </c>
      <c r="I170" t="s">
        <v>43</v>
      </c>
      <c r="J170">
        <v>530.6</v>
      </c>
      <c r="K170">
        <v>3018.4</v>
      </c>
      <c r="L170">
        <v>7869000</v>
      </c>
      <c r="M170" t="b">
        <v>0</v>
      </c>
      <c r="N170" t="b">
        <v>0</v>
      </c>
      <c r="O170">
        <v>5000</v>
      </c>
      <c r="P170" t="b">
        <v>0</v>
      </c>
      <c r="Q170" t="b">
        <v>0</v>
      </c>
      <c r="R170" t="b">
        <v>0</v>
      </c>
      <c r="S170" t="s">
        <v>96</v>
      </c>
      <c r="T170" t="s">
        <v>99</v>
      </c>
    </row>
    <row r="171" spans="1:21" x14ac:dyDescent="0.3">
      <c r="A171" t="s">
        <v>276</v>
      </c>
      <c r="B171" s="1">
        <v>46023</v>
      </c>
      <c r="C171" s="1">
        <v>46025</v>
      </c>
      <c r="D171" s="1">
        <v>46027</v>
      </c>
      <c r="E171" s="1">
        <v>46027</v>
      </c>
      <c r="F171" t="s">
        <v>34</v>
      </c>
      <c r="G171" t="s">
        <v>57</v>
      </c>
      <c r="H171" t="s">
        <v>20</v>
      </c>
      <c r="I171" t="s">
        <v>43</v>
      </c>
      <c r="J171">
        <v>156</v>
      </c>
      <c r="K171">
        <v>3626.7</v>
      </c>
      <c r="L171">
        <v>4088000</v>
      </c>
      <c r="M171" t="b">
        <v>0</v>
      </c>
      <c r="N171" t="b">
        <v>0</v>
      </c>
      <c r="O171">
        <v>5000</v>
      </c>
      <c r="P171" t="b">
        <v>0</v>
      </c>
      <c r="Q171" t="b">
        <v>0</v>
      </c>
      <c r="R171" t="b">
        <v>0</v>
      </c>
      <c r="S171" t="s">
        <v>96</v>
      </c>
      <c r="T171" t="s">
        <v>104</v>
      </c>
    </row>
    <row r="172" spans="1:21" x14ac:dyDescent="0.3">
      <c r="A172" t="s">
        <v>277</v>
      </c>
      <c r="B172" s="1">
        <v>46136</v>
      </c>
      <c r="C172" s="1">
        <v>46136</v>
      </c>
      <c r="D172" s="1">
        <v>46137</v>
      </c>
      <c r="E172" s="1">
        <v>46138</v>
      </c>
      <c r="F172" t="s">
        <v>34</v>
      </c>
      <c r="G172" t="s">
        <v>55</v>
      </c>
      <c r="H172" t="s">
        <v>20</v>
      </c>
      <c r="I172" t="s">
        <v>43</v>
      </c>
      <c r="J172">
        <v>53.9</v>
      </c>
      <c r="K172">
        <v>1026.0999999999999</v>
      </c>
      <c r="L172">
        <v>1676000</v>
      </c>
      <c r="M172" t="b">
        <v>0</v>
      </c>
      <c r="N172" t="b">
        <v>0</v>
      </c>
      <c r="O172">
        <v>5000</v>
      </c>
      <c r="P172" t="b">
        <v>0</v>
      </c>
      <c r="Q172" t="b">
        <v>0</v>
      </c>
      <c r="R172" t="b">
        <v>0</v>
      </c>
      <c r="S172" t="s">
        <v>101</v>
      </c>
      <c r="T172" t="s">
        <v>112</v>
      </c>
      <c r="U172">
        <v>1</v>
      </c>
    </row>
    <row r="173" spans="1:21" x14ac:dyDescent="0.3">
      <c r="A173" t="s">
        <v>278</v>
      </c>
      <c r="B173" s="1">
        <v>46101</v>
      </c>
      <c r="C173" s="1">
        <v>46102</v>
      </c>
      <c r="D173" s="1">
        <v>46105</v>
      </c>
      <c r="E173" s="1">
        <v>46105</v>
      </c>
      <c r="F173" t="s">
        <v>34</v>
      </c>
      <c r="G173" t="s">
        <v>54</v>
      </c>
      <c r="H173" t="s">
        <v>24</v>
      </c>
      <c r="I173" t="s">
        <v>43</v>
      </c>
      <c r="J173">
        <v>460.3</v>
      </c>
      <c r="K173">
        <v>1464.3</v>
      </c>
      <c r="L173">
        <v>7231000</v>
      </c>
      <c r="M173" t="b">
        <v>0</v>
      </c>
      <c r="N173" t="b">
        <v>0</v>
      </c>
      <c r="O173">
        <v>5000</v>
      </c>
      <c r="P173" t="b">
        <v>0</v>
      </c>
      <c r="Q173" t="b">
        <v>0</v>
      </c>
      <c r="R173" t="b">
        <v>0</v>
      </c>
      <c r="S173" t="s">
        <v>96</v>
      </c>
      <c r="T173" t="s">
        <v>118</v>
      </c>
    </row>
    <row r="174" spans="1:21" x14ac:dyDescent="0.3">
      <c r="A174" t="s">
        <v>279</v>
      </c>
      <c r="B174" s="1">
        <v>46043</v>
      </c>
      <c r="C174" s="1">
        <v>46044</v>
      </c>
      <c r="D174" s="1">
        <v>46048</v>
      </c>
      <c r="E174" s="1">
        <v>46050</v>
      </c>
      <c r="F174" t="s">
        <v>34</v>
      </c>
      <c r="G174" t="s">
        <v>56</v>
      </c>
      <c r="H174" t="s">
        <v>23</v>
      </c>
      <c r="I174" t="s">
        <v>45</v>
      </c>
      <c r="J174">
        <v>946.6</v>
      </c>
      <c r="K174">
        <v>652.70000000000005</v>
      </c>
      <c r="L174">
        <v>10272000</v>
      </c>
      <c r="M174" t="b">
        <v>0</v>
      </c>
      <c r="N174" t="b">
        <v>0</v>
      </c>
      <c r="O174">
        <v>1000</v>
      </c>
      <c r="P174" t="b">
        <v>0</v>
      </c>
      <c r="Q174" t="b">
        <v>0</v>
      </c>
      <c r="R174" t="b">
        <v>0</v>
      </c>
      <c r="S174" t="s">
        <v>101</v>
      </c>
      <c r="T174" t="s">
        <v>104</v>
      </c>
      <c r="U174">
        <v>2</v>
      </c>
    </row>
    <row r="175" spans="1:21" x14ac:dyDescent="0.3">
      <c r="A175" t="s">
        <v>280</v>
      </c>
      <c r="B175" s="1">
        <v>46117</v>
      </c>
      <c r="C175" s="1">
        <v>46118</v>
      </c>
      <c r="D175" s="1">
        <v>46120</v>
      </c>
      <c r="E175" s="1">
        <v>46121</v>
      </c>
      <c r="F175" t="s">
        <v>32</v>
      </c>
      <c r="G175" t="s">
        <v>58</v>
      </c>
      <c r="H175" t="s">
        <v>23</v>
      </c>
      <c r="I175" t="s">
        <v>45</v>
      </c>
      <c r="J175">
        <v>299.60000000000002</v>
      </c>
      <c r="K175">
        <v>510.6</v>
      </c>
      <c r="L175">
        <v>3528000</v>
      </c>
      <c r="M175" t="b">
        <v>0</v>
      </c>
      <c r="N175" t="b">
        <v>0</v>
      </c>
      <c r="O175">
        <v>1000</v>
      </c>
      <c r="P175" t="b">
        <v>0</v>
      </c>
      <c r="Q175" t="b">
        <v>0</v>
      </c>
      <c r="R175" t="b">
        <v>0</v>
      </c>
      <c r="S175" t="s">
        <v>101</v>
      </c>
      <c r="T175" t="s">
        <v>112</v>
      </c>
      <c r="U175">
        <v>1</v>
      </c>
    </row>
    <row r="176" spans="1:21" x14ac:dyDescent="0.3">
      <c r="A176" t="s">
        <v>281</v>
      </c>
      <c r="B176" s="1">
        <v>46127</v>
      </c>
      <c r="C176" s="1">
        <v>46128</v>
      </c>
      <c r="D176" s="1">
        <v>46131</v>
      </c>
      <c r="E176" s="1">
        <v>46131</v>
      </c>
      <c r="F176" t="s">
        <v>31</v>
      </c>
      <c r="G176" t="s">
        <v>54</v>
      </c>
      <c r="H176" t="s">
        <v>21</v>
      </c>
      <c r="I176" t="s">
        <v>45</v>
      </c>
      <c r="J176">
        <v>483.9</v>
      </c>
      <c r="K176">
        <v>106</v>
      </c>
      <c r="L176">
        <v>5028000</v>
      </c>
      <c r="M176" t="b">
        <v>0</v>
      </c>
      <c r="N176" t="b">
        <v>0</v>
      </c>
      <c r="O176">
        <v>1000</v>
      </c>
      <c r="P176" t="b">
        <v>0</v>
      </c>
      <c r="Q176" t="b">
        <v>0</v>
      </c>
      <c r="R176" t="b">
        <v>0</v>
      </c>
      <c r="S176" t="s">
        <v>96</v>
      </c>
      <c r="T176" t="s">
        <v>112</v>
      </c>
    </row>
    <row r="177" spans="1:21" x14ac:dyDescent="0.3">
      <c r="A177" t="s">
        <v>282</v>
      </c>
      <c r="B177" s="1">
        <v>46136</v>
      </c>
      <c r="C177" s="1">
        <v>46136</v>
      </c>
      <c r="D177" s="1">
        <v>46140</v>
      </c>
      <c r="E177" s="1">
        <v>46140</v>
      </c>
      <c r="F177" t="s">
        <v>34</v>
      </c>
      <c r="G177" t="s">
        <v>60</v>
      </c>
      <c r="H177" t="s">
        <v>22</v>
      </c>
      <c r="I177" t="s">
        <v>43</v>
      </c>
      <c r="J177">
        <v>601.29999999999995</v>
      </c>
      <c r="K177">
        <v>3779.9</v>
      </c>
      <c r="L177">
        <v>10390000</v>
      </c>
      <c r="M177" t="b">
        <v>0</v>
      </c>
      <c r="N177" t="b">
        <v>0</v>
      </c>
      <c r="O177">
        <v>5000</v>
      </c>
      <c r="P177" t="b">
        <v>0</v>
      </c>
      <c r="Q177" t="b">
        <v>0</v>
      </c>
      <c r="R177" t="b">
        <v>0</v>
      </c>
      <c r="S177" t="s">
        <v>96</v>
      </c>
      <c r="T177" t="s">
        <v>112</v>
      </c>
    </row>
    <row r="178" spans="1:21" x14ac:dyDescent="0.3">
      <c r="A178" t="s">
        <v>283</v>
      </c>
      <c r="B178" s="1">
        <v>46058</v>
      </c>
      <c r="C178" s="1">
        <v>46059</v>
      </c>
      <c r="D178" s="1">
        <v>46062</v>
      </c>
      <c r="E178" s="1">
        <v>46063</v>
      </c>
      <c r="F178" t="s">
        <v>33</v>
      </c>
      <c r="G178" t="s">
        <v>52</v>
      </c>
      <c r="H178" t="s">
        <v>24</v>
      </c>
      <c r="I178" t="s">
        <v>44</v>
      </c>
      <c r="J178">
        <v>579.29999999999995</v>
      </c>
      <c r="K178">
        <v>328.9</v>
      </c>
      <c r="L178">
        <v>6129000</v>
      </c>
      <c r="M178" t="b">
        <v>0</v>
      </c>
      <c r="N178" t="b">
        <v>0</v>
      </c>
      <c r="O178">
        <v>1500</v>
      </c>
      <c r="P178" t="b">
        <v>0</v>
      </c>
      <c r="Q178" t="b">
        <v>0</v>
      </c>
      <c r="R178" t="b">
        <v>0</v>
      </c>
      <c r="S178" t="s">
        <v>101</v>
      </c>
      <c r="T178" t="s">
        <v>115</v>
      </c>
      <c r="U178">
        <v>1</v>
      </c>
    </row>
    <row r="179" spans="1:21" x14ac:dyDescent="0.3">
      <c r="A179" t="s">
        <v>284</v>
      </c>
      <c r="B179" s="1">
        <v>46196</v>
      </c>
      <c r="C179" s="1">
        <v>46196</v>
      </c>
      <c r="D179" s="1">
        <v>46197</v>
      </c>
      <c r="E179" s="1">
        <v>46198</v>
      </c>
      <c r="F179" t="s">
        <v>31</v>
      </c>
      <c r="G179" t="s">
        <v>61</v>
      </c>
      <c r="H179" t="s">
        <v>22</v>
      </c>
      <c r="I179" t="s">
        <v>44</v>
      </c>
      <c r="J179">
        <v>53.1</v>
      </c>
      <c r="K179">
        <v>826.9</v>
      </c>
      <c r="L179">
        <v>1369000</v>
      </c>
      <c r="M179" t="b">
        <v>0</v>
      </c>
      <c r="N179" t="b">
        <v>0</v>
      </c>
      <c r="O179">
        <v>1500</v>
      </c>
      <c r="P179" t="b">
        <v>0</v>
      </c>
      <c r="Q179" t="b">
        <v>0</v>
      </c>
      <c r="R179" t="b">
        <v>0</v>
      </c>
      <c r="S179" t="s">
        <v>101</v>
      </c>
      <c r="T179" t="s">
        <v>99</v>
      </c>
      <c r="U179">
        <v>1</v>
      </c>
    </row>
    <row r="180" spans="1:21" x14ac:dyDescent="0.3">
      <c r="A180" t="s">
        <v>285</v>
      </c>
      <c r="B180" s="1">
        <v>46068</v>
      </c>
      <c r="C180" s="1">
        <v>46069</v>
      </c>
      <c r="D180" s="1">
        <v>46070</v>
      </c>
      <c r="E180" s="1">
        <v>46071</v>
      </c>
      <c r="F180" t="s">
        <v>31</v>
      </c>
      <c r="G180" t="s">
        <v>61</v>
      </c>
      <c r="H180" t="s">
        <v>21</v>
      </c>
      <c r="I180" t="s">
        <v>43</v>
      </c>
      <c r="J180">
        <v>58.2</v>
      </c>
      <c r="K180">
        <v>2995.5</v>
      </c>
      <c r="L180">
        <v>2475000</v>
      </c>
      <c r="M180" t="b">
        <v>0</v>
      </c>
      <c r="N180" t="b">
        <v>0</v>
      </c>
      <c r="O180">
        <v>5000</v>
      </c>
      <c r="P180" t="b">
        <v>0</v>
      </c>
      <c r="Q180" t="b">
        <v>0</v>
      </c>
      <c r="R180" t="b">
        <v>0</v>
      </c>
      <c r="S180" t="s">
        <v>101</v>
      </c>
      <c r="T180" t="s">
        <v>115</v>
      </c>
      <c r="U180">
        <v>1</v>
      </c>
    </row>
    <row r="181" spans="1:21" x14ac:dyDescent="0.3">
      <c r="A181" t="s">
        <v>286</v>
      </c>
      <c r="B181" s="1">
        <v>46144</v>
      </c>
      <c r="C181" s="1">
        <v>46145</v>
      </c>
      <c r="D181" s="1">
        <v>46148</v>
      </c>
      <c r="E181" s="1">
        <v>46149</v>
      </c>
      <c r="F181" t="s">
        <v>34</v>
      </c>
      <c r="G181" t="s">
        <v>59</v>
      </c>
      <c r="H181" t="s">
        <v>23</v>
      </c>
      <c r="I181" t="s">
        <v>44</v>
      </c>
      <c r="J181">
        <v>358.2</v>
      </c>
      <c r="K181">
        <v>575.20000000000005</v>
      </c>
      <c r="L181">
        <v>3668000</v>
      </c>
      <c r="M181" t="b">
        <v>0</v>
      </c>
      <c r="N181" t="b">
        <v>0</v>
      </c>
      <c r="O181">
        <v>1500</v>
      </c>
      <c r="P181" t="b">
        <v>0</v>
      </c>
      <c r="Q181" t="b">
        <v>0</v>
      </c>
      <c r="R181" t="b">
        <v>0</v>
      </c>
      <c r="S181" t="s">
        <v>101</v>
      </c>
      <c r="T181" t="s">
        <v>102</v>
      </c>
      <c r="U181">
        <v>1</v>
      </c>
    </row>
    <row r="182" spans="1:21" x14ac:dyDescent="0.3">
      <c r="A182" t="s">
        <v>287</v>
      </c>
      <c r="B182" s="1">
        <v>46110</v>
      </c>
      <c r="C182" s="1">
        <v>46110</v>
      </c>
      <c r="D182" s="1">
        <v>46113</v>
      </c>
      <c r="E182" s="1">
        <v>46113</v>
      </c>
      <c r="F182" t="s">
        <v>33</v>
      </c>
      <c r="G182" t="s">
        <v>53</v>
      </c>
      <c r="H182" t="s">
        <v>21</v>
      </c>
      <c r="I182" t="s">
        <v>44</v>
      </c>
      <c r="J182">
        <v>594.9</v>
      </c>
      <c r="K182">
        <v>585.9</v>
      </c>
      <c r="L182">
        <v>6072000</v>
      </c>
      <c r="M182" t="b">
        <v>0</v>
      </c>
      <c r="N182" t="b">
        <v>0</v>
      </c>
      <c r="O182">
        <v>1500</v>
      </c>
      <c r="P182" t="b">
        <v>0</v>
      </c>
      <c r="Q182" t="b">
        <v>0</v>
      </c>
      <c r="R182" t="b">
        <v>0</v>
      </c>
      <c r="S182" t="s">
        <v>96</v>
      </c>
      <c r="T182" t="s">
        <v>118</v>
      </c>
    </row>
    <row r="183" spans="1:21" x14ac:dyDescent="0.3">
      <c r="A183" t="s">
        <v>288</v>
      </c>
      <c r="B183" s="1">
        <v>46042</v>
      </c>
      <c r="C183" s="1">
        <v>46043</v>
      </c>
      <c r="D183" s="1">
        <v>46047</v>
      </c>
      <c r="E183" s="1">
        <v>46048</v>
      </c>
      <c r="F183" t="s">
        <v>34</v>
      </c>
      <c r="G183" t="s">
        <v>56</v>
      </c>
      <c r="H183" t="s">
        <v>20</v>
      </c>
      <c r="I183" t="s">
        <v>43</v>
      </c>
      <c r="J183">
        <v>914</v>
      </c>
      <c r="K183">
        <v>2485.4</v>
      </c>
      <c r="L183">
        <v>13005000</v>
      </c>
      <c r="M183" t="b">
        <v>0</v>
      </c>
      <c r="N183" t="b">
        <v>0</v>
      </c>
      <c r="O183">
        <v>5000</v>
      </c>
      <c r="P183" t="b">
        <v>0</v>
      </c>
      <c r="Q183" t="b">
        <v>0</v>
      </c>
      <c r="R183" t="b">
        <v>0</v>
      </c>
      <c r="S183" t="s">
        <v>101</v>
      </c>
      <c r="T183" t="s">
        <v>104</v>
      </c>
      <c r="U183">
        <v>1</v>
      </c>
    </row>
    <row r="184" spans="1:21" x14ac:dyDescent="0.3">
      <c r="A184" t="s">
        <v>289</v>
      </c>
      <c r="B184" s="1">
        <v>46149</v>
      </c>
      <c r="C184" s="1">
        <v>46149</v>
      </c>
      <c r="D184" s="1">
        <v>46151</v>
      </c>
      <c r="E184" s="1">
        <v>46151</v>
      </c>
      <c r="F184" t="s">
        <v>32</v>
      </c>
      <c r="G184" t="s">
        <v>58</v>
      </c>
      <c r="H184" t="s">
        <v>20</v>
      </c>
      <c r="I184" t="s">
        <v>43</v>
      </c>
      <c r="J184">
        <v>289.10000000000002</v>
      </c>
      <c r="K184">
        <v>2824.5</v>
      </c>
      <c r="L184">
        <v>5423000</v>
      </c>
      <c r="M184" t="b">
        <v>0</v>
      </c>
      <c r="N184" t="b">
        <v>0</v>
      </c>
      <c r="O184">
        <v>5000</v>
      </c>
      <c r="P184" t="b">
        <v>0</v>
      </c>
      <c r="Q184" t="b">
        <v>0</v>
      </c>
      <c r="R184" t="b">
        <v>0</v>
      </c>
      <c r="S184" t="s">
        <v>96</v>
      </c>
      <c r="T184" t="s">
        <v>102</v>
      </c>
    </row>
    <row r="185" spans="1:21" x14ac:dyDescent="0.3">
      <c r="A185" t="s">
        <v>290</v>
      </c>
      <c r="B185" s="1">
        <v>46039</v>
      </c>
      <c r="C185" s="1">
        <v>46040</v>
      </c>
      <c r="D185" s="1">
        <v>46043</v>
      </c>
      <c r="E185" s="1">
        <v>46044</v>
      </c>
      <c r="F185" t="s">
        <v>34</v>
      </c>
      <c r="G185" t="s">
        <v>53</v>
      </c>
      <c r="H185" t="s">
        <v>20</v>
      </c>
      <c r="I185" t="s">
        <v>42</v>
      </c>
      <c r="J185">
        <v>311.60000000000002</v>
      </c>
      <c r="K185">
        <v>11523.8</v>
      </c>
      <c r="M185" t="b">
        <v>0</v>
      </c>
      <c r="N185" t="b">
        <v>1</v>
      </c>
      <c r="O185">
        <v>16000</v>
      </c>
      <c r="P185" t="b">
        <v>0</v>
      </c>
      <c r="Q185" t="b">
        <v>0</v>
      </c>
      <c r="R185" t="b">
        <v>1</v>
      </c>
      <c r="S185" t="s">
        <v>101</v>
      </c>
      <c r="T185" t="s">
        <v>104</v>
      </c>
      <c r="U185">
        <v>1</v>
      </c>
    </row>
    <row r="186" spans="1:21" x14ac:dyDescent="0.3">
      <c r="A186" t="s">
        <v>291</v>
      </c>
      <c r="B186" s="1">
        <v>46094</v>
      </c>
      <c r="C186" s="1">
        <v>46095</v>
      </c>
      <c r="D186" s="1">
        <v>46098</v>
      </c>
      <c r="E186" s="1">
        <v>46098</v>
      </c>
      <c r="F186" t="s">
        <v>34</v>
      </c>
      <c r="G186" t="s">
        <v>63</v>
      </c>
      <c r="H186" t="s">
        <v>23</v>
      </c>
      <c r="I186" t="s">
        <v>44</v>
      </c>
      <c r="J186">
        <v>363.9</v>
      </c>
      <c r="K186">
        <v>1183</v>
      </c>
      <c r="L186">
        <v>4638000</v>
      </c>
      <c r="M186" t="b">
        <v>0</v>
      </c>
      <c r="N186" t="b">
        <v>0</v>
      </c>
      <c r="O186">
        <v>1500</v>
      </c>
      <c r="P186" t="b">
        <v>0</v>
      </c>
      <c r="Q186" t="b">
        <v>0</v>
      </c>
      <c r="R186" t="b">
        <v>0</v>
      </c>
      <c r="S186" t="s">
        <v>96</v>
      </c>
      <c r="T186" t="s">
        <v>118</v>
      </c>
    </row>
    <row r="187" spans="1:21" x14ac:dyDescent="0.3">
      <c r="A187" t="s">
        <v>292</v>
      </c>
      <c r="B187" s="1">
        <v>46074</v>
      </c>
      <c r="C187" s="1">
        <v>46075</v>
      </c>
      <c r="D187" s="1">
        <v>46079</v>
      </c>
      <c r="E187" s="1">
        <v>46080</v>
      </c>
      <c r="F187" t="s">
        <v>34</v>
      </c>
      <c r="G187" t="s">
        <v>62</v>
      </c>
      <c r="H187" t="s">
        <v>21</v>
      </c>
      <c r="I187" t="s">
        <v>45</v>
      </c>
      <c r="J187">
        <v>765.6</v>
      </c>
      <c r="K187">
        <v>702.8</v>
      </c>
      <c r="L187">
        <v>8112000</v>
      </c>
      <c r="M187" t="b">
        <v>0</v>
      </c>
      <c r="N187" t="b">
        <v>0</v>
      </c>
      <c r="O187">
        <v>1000</v>
      </c>
      <c r="P187" t="b">
        <v>0</v>
      </c>
      <c r="Q187" t="b">
        <v>0</v>
      </c>
      <c r="R187" t="b">
        <v>0</v>
      </c>
      <c r="S187" t="s">
        <v>101</v>
      </c>
      <c r="T187" t="s">
        <v>115</v>
      </c>
      <c r="U187">
        <v>1</v>
      </c>
    </row>
    <row r="188" spans="1:21" x14ac:dyDescent="0.3">
      <c r="A188" t="s">
        <v>293</v>
      </c>
      <c r="B188" s="1">
        <v>46088</v>
      </c>
      <c r="C188" s="1">
        <v>46089</v>
      </c>
      <c r="D188" s="1">
        <v>46091</v>
      </c>
      <c r="E188" s="1">
        <v>46091</v>
      </c>
      <c r="F188" t="s">
        <v>33</v>
      </c>
      <c r="G188" t="s">
        <v>62</v>
      </c>
      <c r="H188" t="s">
        <v>21</v>
      </c>
      <c r="I188" t="s">
        <v>45</v>
      </c>
      <c r="J188">
        <v>146.9</v>
      </c>
      <c r="K188">
        <v>533.5</v>
      </c>
      <c r="L188">
        <v>1675000</v>
      </c>
      <c r="M188" t="b">
        <v>0</v>
      </c>
      <c r="N188" t="b">
        <v>0</v>
      </c>
      <c r="O188">
        <v>1000</v>
      </c>
      <c r="P188" t="b">
        <v>0</v>
      </c>
      <c r="Q188" t="b">
        <v>0</v>
      </c>
      <c r="R188" t="b">
        <v>0</v>
      </c>
      <c r="S188" t="s">
        <v>96</v>
      </c>
      <c r="T188" t="s">
        <v>118</v>
      </c>
    </row>
    <row r="189" spans="1:21" x14ac:dyDescent="0.3">
      <c r="A189" t="s">
        <v>294</v>
      </c>
      <c r="B189" s="1">
        <v>46192</v>
      </c>
      <c r="C189" s="1">
        <v>46192</v>
      </c>
      <c r="D189" s="1">
        <v>46196</v>
      </c>
      <c r="E189" s="1">
        <v>46197</v>
      </c>
      <c r="F189" t="s">
        <v>34</v>
      </c>
      <c r="G189" t="s">
        <v>56</v>
      </c>
      <c r="H189" t="s">
        <v>22</v>
      </c>
      <c r="I189" t="s">
        <v>45</v>
      </c>
      <c r="J189">
        <v>930.2</v>
      </c>
      <c r="K189">
        <v>400.1</v>
      </c>
      <c r="L189">
        <v>9199000</v>
      </c>
      <c r="M189" t="b">
        <v>0</v>
      </c>
      <c r="N189" t="b">
        <v>0</v>
      </c>
      <c r="O189">
        <v>1000</v>
      </c>
      <c r="P189" t="b">
        <v>0</v>
      </c>
      <c r="Q189" t="b">
        <v>0</v>
      </c>
      <c r="R189" t="b">
        <v>0</v>
      </c>
      <c r="S189" t="s">
        <v>101</v>
      </c>
      <c r="T189" t="s">
        <v>99</v>
      </c>
      <c r="U189">
        <v>1</v>
      </c>
    </row>
    <row r="190" spans="1:21" x14ac:dyDescent="0.3">
      <c r="A190" t="s">
        <v>295</v>
      </c>
      <c r="B190" s="1">
        <v>46118</v>
      </c>
      <c r="C190" s="1">
        <v>46119</v>
      </c>
      <c r="D190" s="1">
        <v>46122</v>
      </c>
      <c r="E190" s="1">
        <v>46123</v>
      </c>
      <c r="F190" t="s">
        <v>31</v>
      </c>
      <c r="G190" t="s">
        <v>54</v>
      </c>
      <c r="H190" t="s">
        <v>20</v>
      </c>
      <c r="I190" t="s">
        <v>44</v>
      </c>
      <c r="J190">
        <v>470.1</v>
      </c>
      <c r="K190">
        <v>817.6</v>
      </c>
      <c r="L190">
        <v>5286000</v>
      </c>
      <c r="M190" t="b">
        <v>0</v>
      </c>
      <c r="N190" t="b">
        <v>0</v>
      </c>
      <c r="O190">
        <v>1500</v>
      </c>
      <c r="P190" t="b">
        <v>0</v>
      </c>
      <c r="Q190" t="b">
        <v>0</v>
      </c>
      <c r="R190" t="b">
        <v>0</v>
      </c>
      <c r="S190" t="s">
        <v>101</v>
      </c>
      <c r="T190" t="s">
        <v>112</v>
      </c>
      <c r="U190">
        <v>1</v>
      </c>
    </row>
    <row r="191" spans="1:21" x14ac:dyDescent="0.3">
      <c r="A191" t="s">
        <v>296</v>
      </c>
      <c r="B191" s="1">
        <v>46155</v>
      </c>
      <c r="C191" s="1">
        <v>46156</v>
      </c>
      <c r="D191" s="1">
        <v>46158</v>
      </c>
      <c r="E191" s="1">
        <v>46158</v>
      </c>
      <c r="F191" t="s">
        <v>34</v>
      </c>
      <c r="G191" t="s">
        <v>58</v>
      </c>
      <c r="H191" t="s">
        <v>24</v>
      </c>
      <c r="I191" t="s">
        <v>44</v>
      </c>
      <c r="J191">
        <v>146</v>
      </c>
      <c r="K191">
        <v>273.89999999999998</v>
      </c>
      <c r="L191">
        <v>1953000</v>
      </c>
      <c r="M191" t="b">
        <v>0</v>
      </c>
      <c r="N191" t="b">
        <v>0</v>
      </c>
      <c r="O191">
        <v>1500</v>
      </c>
      <c r="P191" t="b">
        <v>0</v>
      </c>
      <c r="Q191" t="b">
        <v>0</v>
      </c>
      <c r="R191" t="b">
        <v>0</v>
      </c>
      <c r="S191" t="s">
        <v>96</v>
      </c>
      <c r="T191" t="s">
        <v>102</v>
      </c>
    </row>
    <row r="192" spans="1:21" x14ac:dyDescent="0.3">
      <c r="A192" t="s">
        <v>297</v>
      </c>
      <c r="B192" s="1">
        <v>46184</v>
      </c>
      <c r="C192" s="1">
        <v>46185</v>
      </c>
      <c r="D192" s="1">
        <v>46189</v>
      </c>
      <c r="E192" s="1">
        <v>46191</v>
      </c>
      <c r="F192" t="s">
        <v>34</v>
      </c>
      <c r="G192" t="s">
        <v>56</v>
      </c>
      <c r="H192" t="s">
        <v>22</v>
      </c>
      <c r="I192" t="s">
        <v>42</v>
      </c>
      <c r="J192">
        <v>869</v>
      </c>
      <c r="K192">
        <v>4226.3999999999996</v>
      </c>
      <c r="L192">
        <v>18292000</v>
      </c>
      <c r="M192" t="b">
        <v>0</v>
      </c>
      <c r="N192" t="b">
        <v>0</v>
      </c>
      <c r="O192">
        <v>16000</v>
      </c>
      <c r="P192" t="b">
        <v>0</v>
      </c>
      <c r="Q192" t="b">
        <v>0</v>
      </c>
      <c r="R192" t="b">
        <v>0</v>
      </c>
      <c r="S192" t="s">
        <v>101</v>
      </c>
      <c r="T192" t="s">
        <v>99</v>
      </c>
      <c r="U192">
        <v>2</v>
      </c>
    </row>
    <row r="193" spans="1:21" x14ac:dyDescent="0.3">
      <c r="A193" t="s">
        <v>298</v>
      </c>
      <c r="B193" s="1">
        <v>46057</v>
      </c>
      <c r="C193" s="1">
        <v>46058</v>
      </c>
      <c r="D193" s="1">
        <v>46062</v>
      </c>
      <c r="E193" s="1">
        <v>46062</v>
      </c>
      <c r="F193" t="s">
        <v>33</v>
      </c>
      <c r="G193" t="s">
        <v>52</v>
      </c>
      <c r="H193" t="s">
        <v>23</v>
      </c>
      <c r="I193" t="s">
        <v>44</v>
      </c>
      <c r="J193">
        <v>652.1</v>
      </c>
      <c r="K193">
        <v>887.2</v>
      </c>
      <c r="L193">
        <v>6167000</v>
      </c>
      <c r="M193" t="b">
        <v>0</v>
      </c>
      <c r="N193" t="b">
        <v>0</v>
      </c>
      <c r="O193">
        <v>1500</v>
      </c>
      <c r="P193" t="b">
        <v>0</v>
      </c>
      <c r="Q193" t="b">
        <v>0</v>
      </c>
      <c r="R193" t="b">
        <v>0</v>
      </c>
      <c r="S193" t="s">
        <v>96</v>
      </c>
      <c r="T193" t="s">
        <v>115</v>
      </c>
    </row>
    <row r="194" spans="1:21" x14ac:dyDescent="0.3">
      <c r="A194" t="s">
        <v>299</v>
      </c>
      <c r="B194" s="1">
        <v>46056</v>
      </c>
      <c r="C194" s="1">
        <v>46057</v>
      </c>
      <c r="D194" s="1">
        <v>46060</v>
      </c>
      <c r="E194" s="1">
        <v>46060</v>
      </c>
      <c r="F194" t="s">
        <v>32</v>
      </c>
      <c r="G194" t="s">
        <v>58</v>
      </c>
      <c r="H194" t="s">
        <v>22</v>
      </c>
      <c r="I194" t="s">
        <v>42</v>
      </c>
      <c r="J194">
        <v>330.1</v>
      </c>
      <c r="K194">
        <v>4868</v>
      </c>
      <c r="L194">
        <v>8639000</v>
      </c>
      <c r="M194" t="b">
        <v>0</v>
      </c>
      <c r="N194" t="b">
        <v>0</v>
      </c>
      <c r="O194">
        <v>16000</v>
      </c>
      <c r="P194" t="b">
        <v>0</v>
      </c>
      <c r="Q194" t="b">
        <v>0</v>
      </c>
      <c r="R194" t="b">
        <v>0</v>
      </c>
      <c r="S194" t="s">
        <v>96</v>
      </c>
      <c r="T194" t="s">
        <v>115</v>
      </c>
    </row>
    <row r="195" spans="1:21" x14ac:dyDescent="0.3">
      <c r="A195" t="s">
        <v>300</v>
      </c>
      <c r="B195" s="1">
        <v>46145</v>
      </c>
      <c r="C195" s="1">
        <v>46146</v>
      </c>
      <c r="D195" s="1">
        <v>46150</v>
      </c>
      <c r="F195" t="s">
        <v>34</v>
      </c>
      <c r="G195" t="s">
        <v>60</v>
      </c>
      <c r="H195" t="s">
        <v>23</v>
      </c>
      <c r="I195" t="s">
        <v>43</v>
      </c>
      <c r="J195">
        <v>676.9</v>
      </c>
      <c r="K195">
        <v>1379.8</v>
      </c>
      <c r="L195">
        <v>9806000</v>
      </c>
      <c r="M195" t="b">
        <v>0</v>
      </c>
      <c r="N195" t="b">
        <v>0</v>
      </c>
      <c r="O195">
        <v>5000</v>
      </c>
      <c r="P195" t="b">
        <v>0</v>
      </c>
      <c r="Q195" t="b">
        <v>0</v>
      </c>
      <c r="R195" t="b">
        <v>0</v>
      </c>
      <c r="S195" t="s">
        <v>203</v>
      </c>
      <c r="T195" t="s">
        <v>102</v>
      </c>
    </row>
    <row r="196" spans="1:21" x14ac:dyDescent="0.3">
      <c r="A196" t="s">
        <v>301</v>
      </c>
      <c r="B196" s="1">
        <v>46096</v>
      </c>
      <c r="C196" s="1">
        <v>46098</v>
      </c>
      <c r="D196" s="1">
        <v>46102</v>
      </c>
      <c r="E196" s="1">
        <v>46103</v>
      </c>
      <c r="F196" t="s">
        <v>33</v>
      </c>
      <c r="G196" t="s">
        <v>58</v>
      </c>
      <c r="H196" t="s">
        <v>24</v>
      </c>
      <c r="I196" t="s">
        <v>43</v>
      </c>
      <c r="J196">
        <v>661.3</v>
      </c>
      <c r="K196">
        <v>4111.8</v>
      </c>
      <c r="L196">
        <v>11406000</v>
      </c>
      <c r="M196" t="b">
        <v>0</v>
      </c>
      <c r="N196" t="b">
        <v>0</v>
      </c>
      <c r="O196">
        <v>5000</v>
      </c>
      <c r="P196" t="b">
        <v>0</v>
      </c>
      <c r="Q196" t="b">
        <v>0</v>
      </c>
      <c r="R196" t="b">
        <v>0</v>
      </c>
      <c r="S196" t="s">
        <v>101</v>
      </c>
      <c r="T196" t="s">
        <v>118</v>
      </c>
      <c r="U196">
        <v>1</v>
      </c>
    </row>
    <row r="197" spans="1:21" x14ac:dyDescent="0.3">
      <c r="A197" t="s">
        <v>302</v>
      </c>
      <c r="B197" s="1">
        <v>46096</v>
      </c>
      <c r="C197" s="1">
        <v>46098</v>
      </c>
      <c r="D197" s="1">
        <v>46101</v>
      </c>
      <c r="F197" t="s">
        <v>34</v>
      </c>
      <c r="G197" t="s">
        <v>54</v>
      </c>
      <c r="H197" t="s">
        <v>21</v>
      </c>
      <c r="I197" t="s">
        <v>44</v>
      </c>
      <c r="J197">
        <v>480.1</v>
      </c>
      <c r="K197">
        <v>1005.2</v>
      </c>
      <c r="L197">
        <v>4832000</v>
      </c>
      <c r="M197" t="b">
        <v>0</v>
      </c>
      <c r="N197" t="b">
        <v>0</v>
      </c>
      <c r="O197">
        <v>1500</v>
      </c>
      <c r="P197" t="b">
        <v>0</v>
      </c>
      <c r="Q197" t="b">
        <v>0</v>
      </c>
      <c r="R197" t="b">
        <v>0</v>
      </c>
      <c r="S197" t="s">
        <v>203</v>
      </c>
      <c r="T197" t="s">
        <v>118</v>
      </c>
    </row>
    <row r="198" spans="1:21" x14ac:dyDescent="0.3">
      <c r="A198" t="s">
        <v>303</v>
      </c>
      <c r="B198" s="1">
        <v>46039</v>
      </c>
      <c r="C198" s="1">
        <v>46040</v>
      </c>
      <c r="D198" s="1">
        <v>46042</v>
      </c>
      <c r="E198" s="1">
        <v>46043</v>
      </c>
      <c r="F198" t="s">
        <v>34</v>
      </c>
      <c r="G198" t="s">
        <v>57</v>
      </c>
      <c r="H198" t="s">
        <v>23</v>
      </c>
      <c r="I198" t="s">
        <v>44</v>
      </c>
      <c r="J198">
        <v>147.30000000000001</v>
      </c>
      <c r="K198">
        <v>805.7</v>
      </c>
      <c r="L198">
        <v>2437000</v>
      </c>
      <c r="M198" t="b">
        <v>0</v>
      </c>
      <c r="N198" t="b">
        <v>0</v>
      </c>
      <c r="O198">
        <v>1500</v>
      </c>
      <c r="P198" t="b">
        <v>0</v>
      </c>
      <c r="Q198" t="b">
        <v>0</v>
      </c>
      <c r="R198" t="b">
        <v>0</v>
      </c>
      <c r="S198" t="s">
        <v>101</v>
      </c>
      <c r="T198" t="s">
        <v>104</v>
      </c>
      <c r="U198">
        <v>1</v>
      </c>
    </row>
    <row r="199" spans="1:21" x14ac:dyDescent="0.3">
      <c r="A199" t="s">
        <v>304</v>
      </c>
      <c r="B199" s="1">
        <v>46102</v>
      </c>
      <c r="C199" s="1">
        <v>46103</v>
      </c>
      <c r="D199" s="1">
        <v>46105</v>
      </c>
      <c r="E199" s="1">
        <v>46106</v>
      </c>
      <c r="F199" t="s">
        <v>31</v>
      </c>
      <c r="G199" t="s">
        <v>58</v>
      </c>
      <c r="H199" t="s">
        <v>23</v>
      </c>
      <c r="I199" t="s">
        <v>43</v>
      </c>
      <c r="J199">
        <v>197.5</v>
      </c>
      <c r="K199">
        <v>3372.4</v>
      </c>
      <c r="L199">
        <v>4318000</v>
      </c>
      <c r="M199" t="b">
        <v>0</v>
      </c>
      <c r="N199" t="b">
        <v>0</v>
      </c>
      <c r="O199">
        <v>5000</v>
      </c>
      <c r="P199" t="b">
        <v>0</v>
      </c>
      <c r="Q199" t="b">
        <v>0</v>
      </c>
      <c r="R199" t="b">
        <v>0</v>
      </c>
      <c r="S199" t="s">
        <v>101</v>
      </c>
      <c r="T199" t="s">
        <v>118</v>
      </c>
      <c r="U199">
        <v>1</v>
      </c>
    </row>
    <row r="200" spans="1:21" x14ac:dyDescent="0.3">
      <c r="A200" t="s">
        <v>305</v>
      </c>
      <c r="B200" s="1">
        <v>46102</v>
      </c>
      <c r="C200" s="1">
        <v>46103</v>
      </c>
      <c r="D200" s="1">
        <v>46104</v>
      </c>
      <c r="E200" s="1">
        <v>46102</v>
      </c>
      <c r="F200" t="s">
        <v>34</v>
      </c>
      <c r="G200" t="s">
        <v>61</v>
      </c>
      <c r="H200" t="s">
        <v>23</v>
      </c>
      <c r="I200" t="s">
        <v>43</v>
      </c>
      <c r="J200">
        <v>21.1</v>
      </c>
      <c r="K200">
        <v>2068.1</v>
      </c>
      <c r="L200">
        <v>2068000</v>
      </c>
      <c r="M200" t="b">
        <v>1</v>
      </c>
      <c r="N200" t="b">
        <v>0</v>
      </c>
      <c r="O200">
        <v>5000</v>
      </c>
      <c r="P200" t="b">
        <v>0</v>
      </c>
      <c r="Q200" t="b">
        <v>0</v>
      </c>
      <c r="R200" t="b">
        <v>1</v>
      </c>
      <c r="S200" t="s">
        <v>260</v>
      </c>
      <c r="T200" t="s">
        <v>118</v>
      </c>
    </row>
    <row r="201" spans="1:21" x14ac:dyDescent="0.3">
      <c r="A201" t="s">
        <v>306</v>
      </c>
      <c r="B201" s="1">
        <v>46113</v>
      </c>
      <c r="C201" s="1">
        <v>46114</v>
      </c>
      <c r="D201" s="1">
        <v>46118</v>
      </c>
      <c r="E201" s="1">
        <v>46118</v>
      </c>
      <c r="F201" t="s">
        <v>34</v>
      </c>
      <c r="G201" t="s">
        <v>60</v>
      </c>
      <c r="H201" t="s">
        <v>22</v>
      </c>
      <c r="I201" t="s">
        <v>45</v>
      </c>
      <c r="J201">
        <v>629.29999999999995</v>
      </c>
      <c r="K201">
        <v>717.9</v>
      </c>
      <c r="L201">
        <v>5625000</v>
      </c>
      <c r="M201" t="b">
        <v>0</v>
      </c>
      <c r="N201" t="b">
        <v>0</v>
      </c>
      <c r="O201">
        <v>1000</v>
      </c>
      <c r="P201" t="b">
        <v>0</v>
      </c>
      <c r="Q201" t="b">
        <v>0</v>
      </c>
      <c r="R201" t="b">
        <v>0</v>
      </c>
      <c r="S201" t="s">
        <v>96</v>
      </c>
      <c r="T201" t="s">
        <v>112</v>
      </c>
    </row>
    <row r="202" spans="1:21" x14ac:dyDescent="0.3">
      <c r="A202" t="s">
        <v>307</v>
      </c>
      <c r="B202" s="1">
        <v>46189</v>
      </c>
      <c r="C202" s="1">
        <v>46190</v>
      </c>
      <c r="D202" s="1">
        <v>46194</v>
      </c>
      <c r="E202" s="1">
        <v>46194</v>
      </c>
      <c r="F202" t="s">
        <v>33</v>
      </c>
      <c r="G202" t="s">
        <v>59</v>
      </c>
      <c r="H202" t="s">
        <v>22</v>
      </c>
      <c r="I202" t="s">
        <v>44</v>
      </c>
      <c r="J202">
        <v>503.9</v>
      </c>
      <c r="K202">
        <v>183.3</v>
      </c>
      <c r="L202">
        <v>5671000</v>
      </c>
      <c r="M202" t="b">
        <v>0</v>
      </c>
      <c r="N202" t="b">
        <v>0</v>
      </c>
      <c r="O202">
        <v>1500</v>
      </c>
      <c r="P202" t="b">
        <v>0</v>
      </c>
      <c r="Q202" t="b">
        <v>0</v>
      </c>
      <c r="R202" t="b">
        <v>0</v>
      </c>
      <c r="S202" t="s">
        <v>96</v>
      </c>
      <c r="T202" t="s">
        <v>99</v>
      </c>
    </row>
    <row r="203" spans="1:21" x14ac:dyDescent="0.3">
      <c r="A203" t="s">
        <v>308</v>
      </c>
      <c r="B203" s="1">
        <v>46120</v>
      </c>
      <c r="C203" s="1">
        <v>46122</v>
      </c>
      <c r="D203" s="1">
        <v>46126</v>
      </c>
      <c r="E203" s="1">
        <v>46126</v>
      </c>
      <c r="F203" t="s">
        <v>34</v>
      </c>
      <c r="G203" t="s">
        <v>56</v>
      </c>
      <c r="H203" t="s">
        <v>22</v>
      </c>
      <c r="I203" t="s">
        <v>44</v>
      </c>
      <c r="J203">
        <v>851.5</v>
      </c>
      <c r="K203">
        <v>984.2</v>
      </c>
      <c r="L203">
        <v>8719000</v>
      </c>
      <c r="M203" t="b">
        <v>0</v>
      </c>
      <c r="N203" t="b">
        <v>0</v>
      </c>
      <c r="O203">
        <v>1500</v>
      </c>
      <c r="P203" t="b">
        <v>0</v>
      </c>
      <c r="Q203" t="b">
        <v>0</v>
      </c>
      <c r="R203" t="b">
        <v>0</v>
      </c>
      <c r="S203" t="s">
        <v>96</v>
      </c>
      <c r="T203" t="s">
        <v>112</v>
      </c>
    </row>
    <row r="204" spans="1:21" x14ac:dyDescent="0.3">
      <c r="A204" t="s">
        <v>309</v>
      </c>
      <c r="B204" s="1">
        <v>46190</v>
      </c>
      <c r="C204" s="1">
        <v>46191</v>
      </c>
      <c r="D204" s="1">
        <v>46194</v>
      </c>
      <c r="E204" s="1">
        <v>46194</v>
      </c>
      <c r="F204" t="s">
        <v>34</v>
      </c>
      <c r="G204" t="s">
        <v>63</v>
      </c>
      <c r="H204" t="s">
        <v>23</v>
      </c>
      <c r="I204" t="s">
        <v>43</v>
      </c>
      <c r="J204">
        <v>332</v>
      </c>
      <c r="K204">
        <v>4129.8</v>
      </c>
      <c r="L204">
        <v>6025000</v>
      </c>
      <c r="M204" t="b">
        <v>0</v>
      </c>
      <c r="N204" t="b">
        <v>0</v>
      </c>
      <c r="O204">
        <v>5000</v>
      </c>
      <c r="P204" t="b">
        <v>0</v>
      </c>
      <c r="Q204" t="b">
        <v>0</v>
      </c>
      <c r="R204" t="b">
        <v>0</v>
      </c>
      <c r="S204" t="s">
        <v>96</v>
      </c>
      <c r="T204" t="s">
        <v>99</v>
      </c>
    </row>
    <row r="205" spans="1:21" x14ac:dyDescent="0.3">
      <c r="A205" t="s">
        <v>310</v>
      </c>
      <c r="B205" s="1">
        <v>46024</v>
      </c>
      <c r="C205" s="1">
        <v>46025</v>
      </c>
      <c r="D205" s="1">
        <v>46028</v>
      </c>
      <c r="E205" s="1">
        <v>46029</v>
      </c>
      <c r="F205" t="s">
        <v>33</v>
      </c>
      <c r="G205" t="s">
        <v>57</v>
      </c>
      <c r="H205" t="s">
        <v>24</v>
      </c>
      <c r="I205" t="s">
        <v>43</v>
      </c>
      <c r="J205">
        <v>512.20000000000005</v>
      </c>
      <c r="K205">
        <v>1516.1</v>
      </c>
      <c r="L205">
        <v>7634000</v>
      </c>
      <c r="M205" t="b">
        <v>0</v>
      </c>
      <c r="N205" t="b">
        <v>0</v>
      </c>
      <c r="O205">
        <v>5000</v>
      </c>
      <c r="P205" t="b">
        <v>0</v>
      </c>
      <c r="Q205" t="b">
        <v>0</v>
      </c>
      <c r="R205" t="b">
        <v>0</v>
      </c>
      <c r="S205" t="s">
        <v>101</v>
      </c>
      <c r="T205" t="s">
        <v>104</v>
      </c>
      <c r="U205">
        <v>1</v>
      </c>
    </row>
    <row r="206" spans="1:21" x14ac:dyDescent="0.3">
      <c r="A206" t="s">
        <v>311</v>
      </c>
      <c r="B206" s="1">
        <v>46131</v>
      </c>
      <c r="C206" s="1">
        <v>46133</v>
      </c>
      <c r="D206" s="1">
        <v>46136</v>
      </c>
      <c r="E206" s="1">
        <v>46136</v>
      </c>
      <c r="F206" t="s">
        <v>31</v>
      </c>
      <c r="G206" t="s">
        <v>53</v>
      </c>
      <c r="H206" t="s">
        <v>22</v>
      </c>
      <c r="I206" t="s">
        <v>43</v>
      </c>
      <c r="J206">
        <v>316.5</v>
      </c>
      <c r="K206">
        <v>4267.6000000000004</v>
      </c>
      <c r="L206">
        <v>6694000</v>
      </c>
      <c r="M206" t="b">
        <v>0</v>
      </c>
      <c r="N206" t="b">
        <v>0</v>
      </c>
      <c r="O206">
        <v>5000</v>
      </c>
      <c r="P206" t="b">
        <v>0</v>
      </c>
      <c r="Q206" t="b">
        <v>0</v>
      </c>
      <c r="R206" t="b">
        <v>0</v>
      </c>
      <c r="S206" t="s">
        <v>96</v>
      </c>
      <c r="T206" t="s">
        <v>112</v>
      </c>
    </row>
    <row r="207" spans="1:21" x14ac:dyDescent="0.3">
      <c r="A207" t="s">
        <v>312</v>
      </c>
      <c r="B207" s="1">
        <v>46115</v>
      </c>
      <c r="C207" s="1">
        <v>46117</v>
      </c>
      <c r="D207" s="1">
        <v>46121</v>
      </c>
      <c r="E207" s="1">
        <v>46121</v>
      </c>
      <c r="F207" t="s">
        <v>33</v>
      </c>
      <c r="G207" t="s">
        <v>58</v>
      </c>
      <c r="H207" t="s">
        <v>22</v>
      </c>
      <c r="I207" t="s">
        <v>44</v>
      </c>
      <c r="J207">
        <v>715.3</v>
      </c>
      <c r="K207">
        <v>619.5</v>
      </c>
      <c r="L207">
        <v>8118000</v>
      </c>
      <c r="M207" t="b">
        <v>0</v>
      </c>
      <c r="N207" t="b">
        <v>0</v>
      </c>
      <c r="O207">
        <v>1500</v>
      </c>
      <c r="P207" t="b">
        <v>0</v>
      </c>
      <c r="Q207" t="b">
        <v>0</v>
      </c>
      <c r="R207" t="b">
        <v>0</v>
      </c>
      <c r="S207" t="s">
        <v>96</v>
      </c>
      <c r="T207" t="s">
        <v>112</v>
      </c>
    </row>
    <row r="208" spans="1:21" x14ac:dyDescent="0.3">
      <c r="A208" t="s">
        <v>313</v>
      </c>
      <c r="B208" s="1">
        <v>46132</v>
      </c>
      <c r="C208" s="1">
        <v>46132</v>
      </c>
      <c r="D208" s="1">
        <v>46135</v>
      </c>
      <c r="E208" s="1">
        <v>46135</v>
      </c>
      <c r="F208" t="s">
        <v>32</v>
      </c>
      <c r="G208" t="s">
        <v>60</v>
      </c>
      <c r="H208" t="s">
        <v>20</v>
      </c>
      <c r="I208" t="s">
        <v>42</v>
      </c>
      <c r="J208">
        <v>469</v>
      </c>
      <c r="K208">
        <v>3886.7</v>
      </c>
      <c r="L208">
        <v>11040000</v>
      </c>
      <c r="M208" t="b">
        <v>0</v>
      </c>
      <c r="N208" t="b">
        <v>0</v>
      </c>
      <c r="O208">
        <v>16000</v>
      </c>
      <c r="P208" t="b">
        <v>0</v>
      </c>
      <c r="Q208" t="b">
        <v>0</v>
      </c>
      <c r="R208" t="b">
        <v>0</v>
      </c>
      <c r="S208" t="s">
        <v>96</v>
      </c>
      <c r="T208" t="s">
        <v>112</v>
      </c>
    </row>
    <row r="209" spans="1:21" x14ac:dyDescent="0.3">
      <c r="A209" t="s">
        <v>314</v>
      </c>
      <c r="B209" s="1">
        <v>46135</v>
      </c>
      <c r="C209" s="1">
        <v>46135</v>
      </c>
      <c r="D209" s="1">
        <v>46139</v>
      </c>
      <c r="E209" s="1">
        <v>46139</v>
      </c>
      <c r="F209" t="s">
        <v>33</v>
      </c>
      <c r="G209" t="s">
        <v>58</v>
      </c>
      <c r="H209" t="s">
        <v>22</v>
      </c>
      <c r="I209" t="s">
        <v>42</v>
      </c>
      <c r="J209">
        <v>709.9</v>
      </c>
      <c r="K209">
        <v>2897.3</v>
      </c>
      <c r="L209">
        <v>15363000</v>
      </c>
      <c r="M209" t="b">
        <v>0</v>
      </c>
      <c r="N209" t="b">
        <v>0</v>
      </c>
      <c r="O209">
        <v>16000</v>
      </c>
      <c r="P209" t="b">
        <v>0</v>
      </c>
      <c r="Q209" t="b">
        <v>0</v>
      </c>
      <c r="R209" t="b">
        <v>0</v>
      </c>
      <c r="S209" t="s">
        <v>96</v>
      </c>
      <c r="T209" t="s">
        <v>112</v>
      </c>
    </row>
    <row r="210" spans="1:21" x14ac:dyDescent="0.3">
      <c r="A210" t="s">
        <v>315</v>
      </c>
      <c r="B210" s="1">
        <v>46031</v>
      </c>
      <c r="C210" s="1">
        <v>46032</v>
      </c>
      <c r="D210" s="1">
        <v>46036</v>
      </c>
      <c r="E210" s="1">
        <v>46036</v>
      </c>
      <c r="F210" t="s">
        <v>33</v>
      </c>
      <c r="G210" t="s">
        <v>54</v>
      </c>
      <c r="H210" t="s">
        <v>21</v>
      </c>
      <c r="I210" t="s">
        <v>43</v>
      </c>
      <c r="J210">
        <v>921.4</v>
      </c>
      <c r="K210">
        <v>2496.1</v>
      </c>
      <c r="L210">
        <v>12411000</v>
      </c>
      <c r="M210" t="b">
        <v>0</v>
      </c>
      <c r="N210" t="b">
        <v>0</v>
      </c>
      <c r="O210">
        <v>5000</v>
      </c>
      <c r="P210" t="b">
        <v>0</v>
      </c>
      <c r="Q210" t="b">
        <v>0</v>
      </c>
      <c r="R210" t="b">
        <v>0</v>
      </c>
      <c r="S210" t="s">
        <v>96</v>
      </c>
      <c r="T210" t="s">
        <v>104</v>
      </c>
    </row>
    <row r="211" spans="1:21" x14ac:dyDescent="0.3">
      <c r="A211" t="s">
        <v>316</v>
      </c>
      <c r="B211" s="1">
        <v>46144</v>
      </c>
      <c r="C211" s="1">
        <v>46145</v>
      </c>
      <c r="D211" s="1">
        <v>46148</v>
      </c>
      <c r="E211" s="1">
        <v>46148</v>
      </c>
      <c r="F211" t="s">
        <v>31</v>
      </c>
      <c r="G211" t="s">
        <v>53</v>
      </c>
      <c r="H211" t="s">
        <v>23</v>
      </c>
      <c r="I211" t="s">
        <v>42</v>
      </c>
      <c r="J211">
        <v>323.3</v>
      </c>
      <c r="K211">
        <v>11939.6</v>
      </c>
      <c r="L211">
        <v>9988000</v>
      </c>
      <c r="M211" t="b">
        <v>0</v>
      </c>
      <c r="N211" t="b">
        <v>0</v>
      </c>
      <c r="O211">
        <v>16000</v>
      </c>
      <c r="P211" t="b">
        <v>0</v>
      </c>
      <c r="Q211" t="b">
        <v>0</v>
      </c>
      <c r="R211" t="b">
        <v>0</v>
      </c>
      <c r="S211" t="s">
        <v>96</v>
      </c>
      <c r="T211" t="s">
        <v>102</v>
      </c>
    </row>
    <row r="212" spans="1:21" x14ac:dyDescent="0.3">
      <c r="A212" t="s">
        <v>317</v>
      </c>
      <c r="B212" s="1">
        <v>46198</v>
      </c>
      <c r="C212" s="1">
        <v>46199</v>
      </c>
      <c r="D212" s="1">
        <v>46203</v>
      </c>
      <c r="E212" s="1">
        <v>46203</v>
      </c>
      <c r="F212" t="s">
        <v>33</v>
      </c>
      <c r="G212" t="s">
        <v>55</v>
      </c>
      <c r="H212" t="s">
        <v>21</v>
      </c>
      <c r="I212" t="s">
        <v>45</v>
      </c>
      <c r="J212">
        <v>624.5</v>
      </c>
      <c r="K212">
        <v>490.6</v>
      </c>
      <c r="L212">
        <v>6153000</v>
      </c>
      <c r="M212" t="b">
        <v>0</v>
      </c>
      <c r="N212" t="b">
        <v>0</v>
      </c>
      <c r="O212">
        <v>1000</v>
      </c>
      <c r="P212" t="b">
        <v>0</v>
      </c>
      <c r="Q212" t="b">
        <v>0</v>
      </c>
      <c r="R212" t="b">
        <v>0</v>
      </c>
      <c r="S212" t="s">
        <v>96</v>
      </c>
      <c r="T212" t="s">
        <v>99</v>
      </c>
    </row>
    <row r="213" spans="1:21" x14ac:dyDescent="0.3">
      <c r="A213" t="s">
        <v>318</v>
      </c>
      <c r="B213" s="1">
        <v>46055</v>
      </c>
      <c r="C213" s="1">
        <v>46056</v>
      </c>
      <c r="D213" s="1">
        <v>46060</v>
      </c>
      <c r="E213" s="1">
        <v>46061</v>
      </c>
      <c r="F213" t="s">
        <v>33</v>
      </c>
      <c r="G213" t="s">
        <v>61</v>
      </c>
      <c r="H213" t="s">
        <v>22</v>
      </c>
      <c r="I213" t="s">
        <v>43</v>
      </c>
      <c r="J213">
        <v>659.8</v>
      </c>
      <c r="K213">
        <v>1639</v>
      </c>
      <c r="L213">
        <v>9431000</v>
      </c>
      <c r="M213" t="b">
        <v>0</v>
      </c>
      <c r="N213" t="b">
        <v>0</v>
      </c>
      <c r="O213">
        <v>5000</v>
      </c>
      <c r="P213" t="b">
        <v>0</v>
      </c>
      <c r="Q213" t="b">
        <v>0</v>
      </c>
      <c r="R213" t="b">
        <v>0</v>
      </c>
      <c r="S213" t="s">
        <v>101</v>
      </c>
      <c r="T213" t="s">
        <v>115</v>
      </c>
      <c r="U213">
        <v>1</v>
      </c>
    </row>
    <row r="214" spans="1:21" x14ac:dyDescent="0.3">
      <c r="A214" t="s">
        <v>319</v>
      </c>
      <c r="B214" s="1">
        <v>46164</v>
      </c>
      <c r="C214" s="1">
        <v>46164</v>
      </c>
      <c r="D214" s="1">
        <v>46168</v>
      </c>
      <c r="E214" s="1">
        <v>46168</v>
      </c>
      <c r="F214" t="s">
        <v>33</v>
      </c>
      <c r="G214" t="s">
        <v>55</v>
      </c>
      <c r="H214" t="s">
        <v>20</v>
      </c>
      <c r="I214" t="s">
        <v>45</v>
      </c>
      <c r="J214">
        <v>600.20000000000005</v>
      </c>
      <c r="K214">
        <v>272.2</v>
      </c>
      <c r="L214">
        <v>5380000</v>
      </c>
      <c r="M214" t="b">
        <v>0</v>
      </c>
      <c r="N214" t="b">
        <v>0</v>
      </c>
      <c r="O214">
        <v>1000</v>
      </c>
      <c r="P214" t="b">
        <v>0</v>
      </c>
      <c r="Q214" t="b">
        <v>0</v>
      </c>
      <c r="R214" t="b">
        <v>0</v>
      </c>
      <c r="S214" t="s">
        <v>96</v>
      </c>
      <c r="T214" t="s">
        <v>102</v>
      </c>
    </row>
    <row r="215" spans="1:21" x14ac:dyDescent="0.3">
      <c r="A215" t="s">
        <v>320</v>
      </c>
      <c r="B215" s="1">
        <v>46164</v>
      </c>
      <c r="C215" s="1">
        <v>46164</v>
      </c>
      <c r="D215" s="1">
        <v>46166</v>
      </c>
      <c r="E215" s="1">
        <v>46166</v>
      </c>
      <c r="F215" t="s">
        <v>31</v>
      </c>
      <c r="G215" t="s">
        <v>57</v>
      </c>
      <c r="H215" t="s">
        <v>22</v>
      </c>
      <c r="I215" t="s">
        <v>42</v>
      </c>
      <c r="J215">
        <v>126.7</v>
      </c>
      <c r="K215">
        <v>8737.7000000000007</v>
      </c>
      <c r="L215">
        <v>5656000</v>
      </c>
      <c r="M215" t="b">
        <v>0</v>
      </c>
      <c r="N215" t="b">
        <v>0</v>
      </c>
      <c r="O215">
        <v>16000</v>
      </c>
      <c r="P215" t="b">
        <v>0</v>
      </c>
      <c r="Q215" t="b">
        <v>0</v>
      </c>
      <c r="R215" t="b">
        <v>0</v>
      </c>
      <c r="S215" t="s">
        <v>96</v>
      </c>
      <c r="T215" t="s">
        <v>102</v>
      </c>
    </row>
    <row r="216" spans="1:21" x14ac:dyDescent="0.3">
      <c r="A216" t="s">
        <v>321</v>
      </c>
      <c r="B216" s="1">
        <v>46053</v>
      </c>
      <c r="C216" s="1">
        <v>46053</v>
      </c>
      <c r="D216" s="1">
        <v>46056</v>
      </c>
      <c r="E216" s="1">
        <v>46057</v>
      </c>
      <c r="F216" t="s">
        <v>33</v>
      </c>
      <c r="G216" t="s">
        <v>53</v>
      </c>
      <c r="H216" t="s">
        <v>24</v>
      </c>
      <c r="I216" t="s">
        <v>44</v>
      </c>
      <c r="J216">
        <v>581.1</v>
      </c>
      <c r="K216">
        <v>626.9</v>
      </c>
      <c r="L216">
        <v>6056000</v>
      </c>
      <c r="M216" t="b">
        <v>0</v>
      </c>
      <c r="N216" t="b">
        <v>0</v>
      </c>
      <c r="O216">
        <v>1500</v>
      </c>
      <c r="P216" t="b">
        <v>0</v>
      </c>
      <c r="Q216" t="b">
        <v>0</v>
      </c>
      <c r="R216" t="b">
        <v>0</v>
      </c>
      <c r="S216" t="s">
        <v>101</v>
      </c>
      <c r="T216" t="s">
        <v>104</v>
      </c>
      <c r="U216">
        <v>1</v>
      </c>
    </row>
    <row r="217" spans="1:21" x14ac:dyDescent="0.3">
      <c r="A217" t="s">
        <v>322</v>
      </c>
      <c r="B217" s="1">
        <v>46140</v>
      </c>
      <c r="C217" s="1">
        <v>46141</v>
      </c>
      <c r="D217" s="1">
        <v>46143</v>
      </c>
      <c r="E217" s="1">
        <v>46144</v>
      </c>
      <c r="F217" t="s">
        <v>32</v>
      </c>
      <c r="G217" t="s">
        <v>59</v>
      </c>
      <c r="H217" t="s">
        <v>22</v>
      </c>
      <c r="I217" t="s">
        <v>43</v>
      </c>
      <c r="J217">
        <v>173</v>
      </c>
      <c r="K217">
        <v>1382.7</v>
      </c>
      <c r="L217">
        <v>3792000</v>
      </c>
      <c r="M217" t="b">
        <v>0</v>
      </c>
      <c r="N217" t="b">
        <v>0</v>
      </c>
      <c r="O217">
        <v>5000</v>
      </c>
      <c r="P217" t="b">
        <v>0</v>
      </c>
      <c r="Q217" t="b">
        <v>0</v>
      </c>
      <c r="R217" t="b">
        <v>0</v>
      </c>
      <c r="S217" t="s">
        <v>101</v>
      </c>
      <c r="T217" t="s">
        <v>112</v>
      </c>
      <c r="U217">
        <v>1</v>
      </c>
    </row>
    <row r="218" spans="1:21" x14ac:dyDescent="0.3">
      <c r="A218" t="s">
        <v>323</v>
      </c>
      <c r="B218" s="1">
        <v>46168</v>
      </c>
      <c r="C218" s="1">
        <v>46170</v>
      </c>
      <c r="D218" s="1">
        <v>46174</v>
      </c>
      <c r="E218" s="1">
        <v>46175</v>
      </c>
      <c r="F218" t="s">
        <v>31</v>
      </c>
      <c r="G218" t="s">
        <v>56</v>
      </c>
      <c r="H218" t="s">
        <v>20</v>
      </c>
      <c r="I218" t="s">
        <v>43</v>
      </c>
      <c r="J218">
        <v>901.3</v>
      </c>
      <c r="K218">
        <v>882</v>
      </c>
      <c r="L218">
        <v>11018000</v>
      </c>
      <c r="M218" t="b">
        <v>0</v>
      </c>
      <c r="N218" t="b">
        <v>0</v>
      </c>
      <c r="O218">
        <v>5000</v>
      </c>
      <c r="P218" t="b">
        <v>0</v>
      </c>
      <c r="Q218" t="b">
        <v>0</v>
      </c>
      <c r="R218" t="b">
        <v>0</v>
      </c>
      <c r="S218" t="s">
        <v>101</v>
      </c>
      <c r="T218" t="s">
        <v>102</v>
      </c>
      <c r="U218">
        <v>1</v>
      </c>
    </row>
    <row r="219" spans="1:21" x14ac:dyDescent="0.3">
      <c r="A219" t="s">
        <v>324</v>
      </c>
      <c r="B219" s="1">
        <v>46119</v>
      </c>
      <c r="C219" s="1">
        <v>46120</v>
      </c>
      <c r="D219" s="1">
        <v>46121</v>
      </c>
      <c r="E219" s="1">
        <v>46121</v>
      </c>
      <c r="F219" t="s">
        <v>31</v>
      </c>
      <c r="G219" t="s">
        <v>61</v>
      </c>
      <c r="H219" t="s">
        <v>20</v>
      </c>
      <c r="I219" t="s">
        <v>43</v>
      </c>
      <c r="J219">
        <v>53.5</v>
      </c>
      <c r="K219">
        <v>1350.7</v>
      </c>
      <c r="L219">
        <v>1817000</v>
      </c>
      <c r="M219" t="b">
        <v>0</v>
      </c>
      <c r="N219" t="b">
        <v>0</v>
      </c>
      <c r="O219">
        <v>5000</v>
      </c>
      <c r="P219" t="b">
        <v>0</v>
      </c>
      <c r="Q219" t="b">
        <v>0</v>
      </c>
      <c r="R219" t="b">
        <v>0</v>
      </c>
      <c r="S219" t="s">
        <v>96</v>
      </c>
      <c r="T219" t="s">
        <v>112</v>
      </c>
    </row>
    <row r="220" spans="1:21" x14ac:dyDescent="0.3">
      <c r="A220" t="s">
        <v>325</v>
      </c>
      <c r="B220" s="1">
        <v>46084</v>
      </c>
      <c r="C220" s="1">
        <v>46084</v>
      </c>
      <c r="D220" s="1">
        <v>46088</v>
      </c>
      <c r="E220" s="1">
        <v>46088</v>
      </c>
      <c r="F220" t="s">
        <v>33</v>
      </c>
      <c r="G220" t="s">
        <v>54</v>
      </c>
      <c r="H220" t="s">
        <v>21</v>
      </c>
      <c r="I220" t="s">
        <v>45</v>
      </c>
      <c r="J220">
        <v>930.9</v>
      </c>
      <c r="K220">
        <v>297.10000000000002</v>
      </c>
      <c r="L220">
        <v>8013000</v>
      </c>
      <c r="M220" t="b">
        <v>0</v>
      </c>
      <c r="N220" t="b">
        <v>0</v>
      </c>
      <c r="O220">
        <v>1000</v>
      </c>
      <c r="P220" t="b">
        <v>0</v>
      </c>
      <c r="Q220" t="b">
        <v>0</v>
      </c>
      <c r="R220" t="b">
        <v>0</v>
      </c>
      <c r="S220" t="s">
        <v>96</v>
      </c>
      <c r="T220" t="s">
        <v>118</v>
      </c>
    </row>
    <row r="221" spans="1:21" x14ac:dyDescent="0.3">
      <c r="A221" t="s">
        <v>326</v>
      </c>
      <c r="B221" s="1">
        <v>46155</v>
      </c>
      <c r="C221" s="1">
        <v>46156</v>
      </c>
      <c r="D221" s="1">
        <v>46157</v>
      </c>
      <c r="E221" s="1">
        <v>46157</v>
      </c>
      <c r="F221" t="s">
        <v>33</v>
      </c>
      <c r="G221" t="s">
        <v>60</v>
      </c>
      <c r="H221" t="s">
        <v>21</v>
      </c>
      <c r="I221" t="s">
        <v>42</v>
      </c>
      <c r="J221">
        <v>28.2</v>
      </c>
      <c r="K221">
        <v>11422</v>
      </c>
      <c r="L221">
        <v>4428000</v>
      </c>
      <c r="M221" t="b">
        <v>0</v>
      </c>
      <c r="N221" t="b">
        <v>0</v>
      </c>
      <c r="O221">
        <v>16000</v>
      </c>
      <c r="P221" t="b">
        <v>0</v>
      </c>
      <c r="Q221" t="b">
        <v>0</v>
      </c>
      <c r="R221" t="b">
        <v>0</v>
      </c>
      <c r="S221" t="s">
        <v>96</v>
      </c>
      <c r="T221" t="s">
        <v>102</v>
      </c>
    </row>
    <row r="222" spans="1:21" x14ac:dyDescent="0.3">
      <c r="A222" t="s">
        <v>327</v>
      </c>
      <c r="B222" s="1">
        <v>46164</v>
      </c>
      <c r="C222" s="1">
        <v>46165</v>
      </c>
      <c r="D222" s="1">
        <v>46167</v>
      </c>
      <c r="E222" s="1">
        <v>46168</v>
      </c>
      <c r="F222" t="s">
        <v>34</v>
      </c>
      <c r="G222" t="s">
        <v>57</v>
      </c>
      <c r="H222" t="s">
        <v>22</v>
      </c>
      <c r="I222" t="s">
        <v>42</v>
      </c>
      <c r="J222">
        <v>151.9</v>
      </c>
      <c r="K222">
        <v>9137.6</v>
      </c>
      <c r="L222">
        <v>5534000</v>
      </c>
      <c r="M222" t="b">
        <v>0</v>
      </c>
      <c r="N222" t="b">
        <v>0</v>
      </c>
      <c r="O222">
        <v>16000</v>
      </c>
      <c r="P222" t="b">
        <v>0</v>
      </c>
      <c r="Q222" t="b">
        <v>0</v>
      </c>
      <c r="R222" t="b">
        <v>0</v>
      </c>
      <c r="S222" t="s">
        <v>101</v>
      </c>
      <c r="T222" t="s">
        <v>102</v>
      </c>
      <c r="U222">
        <v>1</v>
      </c>
    </row>
    <row r="223" spans="1:21" x14ac:dyDescent="0.3">
      <c r="A223" t="s">
        <v>328</v>
      </c>
      <c r="B223" s="1">
        <v>46071</v>
      </c>
      <c r="C223" s="1">
        <v>46072</v>
      </c>
      <c r="D223" s="1">
        <v>46075</v>
      </c>
      <c r="E223" s="1">
        <v>46075</v>
      </c>
      <c r="F223" t="s">
        <v>31</v>
      </c>
      <c r="G223" t="s">
        <v>53</v>
      </c>
      <c r="H223" t="s">
        <v>22</v>
      </c>
      <c r="I223" t="s">
        <v>44</v>
      </c>
      <c r="J223">
        <v>307.5</v>
      </c>
      <c r="K223">
        <v>271.89999999999998</v>
      </c>
      <c r="L223">
        <v>3477000</v>
      </c>
      <c r="M223" t="b">
        <v>0</v>
      </c>
      <c r="N223" t="b">
        <v>0</v>
      </c>
      <c r="O223">
        <v>1500</v>
      </c>
      <c r="P223" t="b">
        <v>0</v>
      </c>
      <c r="Q223" t="b">
        <v>0</v>
      </c>
      <c r="R223" t="b">
        <v>0</v>
      </c>
      <c r="S223" t="s">
        <v>96</v>
      </c>
      <c r="T223" t="s">
        <v>115</v>
      </c>
    </row>
    <row r="224" spans="1:21" x14ac:dyDescent="0.3">
      <c r="A224" t="s">
        <v>329</v>
      </c>
      <c r="B224" s="1">
        <v>46194</v>
      </c>
      <c r="C224" s="1">
        <v>46195</v>
      </c>
      <c r="D224" s="1">
        <v>46198</v>
      </c>
      <c r="E224" s="1">
        <v>46200</v>
      </c>
      <c r="F224" t="s">
        <v>32</v>
      </c>
      <c r="G224" t="s">
        <v>54</v>
      </c>
      <c r="H224" t="s">
        <v>24</v>
      </c>
      <c r="I224" t="s">
        <v>42</v>
      </c>
      <c r="J224">
        <v>511.7</v>
      </c>
      <c r="K224">
        <v>9096.6</v>
      </c>
      <c r="L224">
        <v>12486000</v>
      </c>
      <c r="M224" t="b">
        <v>0</v>
      </c>
      <c r="N224" t="b">
        <v>0</v>
      </c>
      <c r="O224">
        <v>16000</v>
      </c>
      <c r="P224" t="b">
        <v>0</v>
      </c>
      <c r="Q224" t="b">
        <v>0</v>
      </c>
      <c r="R224" t="b">
        <v>0</v>
      </c>
      <c r="S224" t="s">
        <v>101</v>
      </c>
      <c r="T224" t="s">
        <v>99</v>
      </c>
      <c r="U224">
        <v>2</v>
      </c>
    </row>
    <row r="225" spans="1:21" x14ac:dyDescent="0.3">
      <c r="A225" t="s">
        <v>330</v>
      </c>
      <c r="B225" s="1">
        <v>46103</v>
      </c>
      <c r="C225" s="1">
        <v>46104</v>
      </c>
      <c r="D225" s="1">
        <v>46108</v>
      </c>
      <c r="E225" s="1">
        <v>46108</v>
      </c>
      <c r="F225" t="s">
        <v>34</v>
      </c>
      <c r="G225" t="s">
        <v>62</v>
      </c>
      <c r="H225" t="s">
        <v>24</v>
      </c>
      <c r="I225" t="s">
        <v>44</v>
      </c>
      <c r="J225">
        <v>713</v>
      </c>
      <c r="K225">
        <v>598.29999999999995</v>
      </c>
      <c r="L225">
        <v>7461000</v>
      </c>
      <c r="M225" t="b">
        <v>0</v>
      </c>
      <c r="N225" t="b">
        <v>0</v>
      </c>
      <c r="O225">
        <v>1500</v>
      </c>
      <c r="P225" t="b">
        <v>0</v>
      </c>
      <c r="Q225" t="b">
        <v>0</v>
      </c>
      <c r="R225" t="b">
        <v>0</v>
      </c>
      <c r="S225" t="s">
        <v>96</v>
      </c>
      <c r="T225" t="s">
        <v>118</v>
      </c>
    </row>
    <row r="226" spans="1:21" x14ac:dyDescent="0.3">
      <c r="A226" t="s">
        <v>331</v>
      </c>
      <c r="B226" s="1">
        <v>46027</v>
      </c>
      <c r="C226" s="1">
        <v>46028</v>
      </c>
      <c r="D226" s="1">
        <v>46031</v>
      </c>
      <c r="E226" s="1">
        <v>46031</v>
      </c>
      <c r="F226" t="s">
        <v>34</v>
      </c>
      <c r="G226" t="s">
        <v>53</v>
      </c>
      <c r="H226" t="s">
        <v>20</v>
      </c>
      <c r="I226" t="s">
        <v>43</v>
      </c>
      <c r="J226">
        <v>320.10000000000002</v>
      </c>
      <c r="K226">
        <v>1973.6</v>
      </c>
      <c r="L226">
        <v>5374000</v>
      </c>
      <c r="M226" t="b">
        <v>0</v>
      </c>
      <c r="N226" t="b">
        <v>0</v>
      </c>
      <c r="O226">
        <v>5000</v>
      </c>
      <c r="P226" t="b">
        <v>0</v>
      </c>
      <c r="Q226" t="b">
        <v>0</v>
      </c>
      <c r="R226" t="b">
        <v>0</v>
      </c>
      <c r="S226" t="s">
        <v>96</v>
      </c>
      <c r="T226" t="s">
        <v>104</v>
      </c>
    </row>
    <row r="227" spans="1:21" x14ac:dyDescent="0.3">
      <c r="A227" t="s">
        <v>332</v>
      </c>
      <c r="B227" s="1">
        <v>46104</v>
      </c>
      <c r="C227" s="1">
        <v>46106</v>
      </c>
      <c r="D227" s="1">
        <v>46110</v>
      </c>
      <c r="E227" s="1">
        <v>46110</v>
      </c>
      <c r="F227" t="s">
        <v>34</v>
      </c>
      <c r="G227" t="s">
        <v>60</v>
      </c>
      <c r="H227" t="s">
        <v>22</v>
      </c>
      <c r="I227" t="s">
        <v>45</v>
      </c>
      <c r="J227">
        <v>646.9</v>
      </c>
      <c r="K227">
        <v>221</v>
      </c>
      <c r="L227">
        <v>6066000</v>
      </c>
      <c r="M227" t="b">
        <v>0</v>
      </c>
      <c r="N227" t="b">
        <v>0</v>
      </c>
      <c r="O227">
        <v>1000</v>
      </c>
      <c r="P227" t="b">
        <v>0</v>
      </c>
      <c r="Q227" t="b">
        <v>0</v>
      </c>
      <c r="R227" t="b">
        <v>0</v>
      </c>
      <c r="S227" t="s">
        <v>96</v>
      </c>
      <c r="T227" t="s">
        <v>118</v>
      </c>
    </row>
    <row r="228" spans="1:21" x14ac:dyDescent="0.3">
      <c r="A228" t="s">
        <v>333</v>
      </c>
      <c r="B228" s="1">
        <v>46121</v>
      </c>
      <c r="C228" s="1">
        <v>46122</v>
      </c>
      <c r="D228" s="1">
        <v>46126</v>
      </c>
      <c r="E228" s="1">
        <v>46126</v>
      </c>
      <c r="F228" t="s">
        <v>31</v>
      </c>
      <c r="G228" t="s">
        <v>62</v>
      </c>
      <c r="H228" t="s">
        <v>21</v>
      </c>
      <c r="I228" t="s">
        <v>45</v>
      </c>
      <c r="J228">
        <v>686.3</v>
      </c>
      <c r="K228">
        <v>857.1</v>
      </c>
      <c r="L228">
        <v>7016000</v>
      </c>
      <c r="M228" t="b">
        <v>0</v>
      </c>
      <c r="N228" t="b">
        <v>0</v>
      </c>
      <c r="O228">
        <v>1000</v>
      </c>
      <c r="P228" t="b">
        <v>0</v>
      </c>
      <c r="Q228" t="b">
        <v>0</v>
      </c>
      <c r="R228" t="b">
        <v>0</v>
      </c>
      <c r="S228" t="s">
        <v>96</v>
      </c>
      <c r="T228" t="s">
        <v>112</v>
      </c>
    </row>
    <row r="229" spans="1:21" x14ac:dyDescent="0.3">
      <c r="A229" t="s">
        <v>334</v>
      </c>
      <c r="B229" s="1">
        <v>46135</v>
      </c>
      <c r="C229" s="1">
        <v>46136</v>
      </c>
      <c r="D229" s="1">
        <v>46138</v>
      </c>
      <c r="E229" s="1">
        <v>46139</v>
      </c>
      <c r="F229" t="s">
        <v>32</v>
      </c>
      <c r="G229" t="s">
        <v>61</v>
      </c>
      <c r="H229" t="s">
        <v>23</v>
      </c>
      <c r="I229" t="s">
        <v>43</v>
      </c>
      <c r="J229">
        <v>166.3</v>
      </c>
      <c r="K229">
        <v>3444.3</v>
      </c>
      <c r="L229">
        <v>4051000</v>
      </c>
      <c r="M229" t="b">
        <v>0</v>
      </c>
      <c r="N229" t="b">
        <v>0</v>
      </c>
      <c r="O229">
        <v>5000</v>
      </c>
      <c r="P229" t="b">
        <v>0</v>
      </c>
      <c r="Q229" t="b">
        <v>0</v>
      </c>
      <c r="R229" t="b">
        <v>0</v>
      </c>
      <c r="S229" t="s">
        <v>101</v>
      </c>
      <c r="T229" t="s">
        <v>112</v>
      </c>
      <c r="U229">
        <v>1</v>
      </c>
    </row>
    <row r="230" spans="1:21" x14ac:dyDescent="0.3">
      <c r="A230" t="s">
        <v>335</v>
      </c>
      <c r="B230" s="1">
        <v>46065</v>
      </c>
      <c r="C230" s="1">
        <v>46065</v>
      </c>
      <c r="D230" s="1">
        <v>46067</v>
      </c>
      <c r="E230" s="1">
        <v>46067</v>
      </c>
      <c r="F230" t="s">
        <v>34</v>
      </c>
      <c r="G230" t="s">
        <v>57</v>
      </c>
      <c r="H230" t="s">
        <v>22</v>
      </c>
      <c r="I230" t="s">
        <v>43</v>
      </c>
      <c r="J230">
        <v>162.1</v>
      </c>
      <c r="K230">
        <v>1600.5</v>
      </c>
      <c r="L230">
        <v>3186000</v>
      </c>
      <c r="M230" t="b">
        <v>0</v>
      </c>
      <c r="N230" t="b">
        <v>0</v>
      </c>
      <c r="O230">
        <v>5000</v>
      </c>
      <c r="P230" t="b">
        <v>0</v>
      </c>
      <c r="Q230" t="b">
        <v>0</v>
      </c>
      <c r="R230" t="b">
        <v>0</v>
      </c>
      <c r="S230" t="s">
        <v>96</v>
      </c>
      <c r="T230" t="s">
        <v>115</v>
      </c>
    </row>
    <row r="231" spans="1:21" x14ac:dyDescent="0.3">
      <c r="A231" t="s">
        <v>336</v>
      </c>
      <c r="B231" s="1">
        <v>46093</v>
      </c>
      <c r="C231" s="1">
        <v>46094</v>
      </c>
      <c r="D231" s="1">
        <v>46096</v>
      </c>
      <c r="E231" s="1">
        <v>46096</v>
      </c>
      <c r="F231" t="s">
        <v>31</v>
      </c>
      <c r="G231" t="s">
        <v>58</v>
      </c>
      <c r="H231" t="s">
        <v>20</v>
      </c>
      <c r="I231" t="s">
        <v>45</v>
      </c>
      <c r="J231">
        <v>192.2</v>
      </c>
      <c r="K231">
        <v>287.2</v>
      </c>
      <c r="L231">
        <v>2306000</v>
      </c>
      <c r="M231" t="b">
        <v>0</v>
      </c>
      <c r="N231" t="b">
        <v>0</v>
      </c>
      <c r="O231">
        <v>1000</v>
      </c>
      <c r="P231" t="b">
        <v>0</v>
      </c>
      <c r="Q231" t="b">
        <v>0</v>
      </c>
      <c r="R231" t="b">
        <v>0</v>
      </c>
      <c r="S231" t="s">
        <v>96</v>
      </c>
      <c r="T231" t="s">
        <v>118</v>
      </c>
    </row>
    <row r="232" spans="1:21" x14ac:dyDescent="0.3">
      <c r="A232" t="s">
        <v>337</v>
      </c>
      <c r="B232" s="1">
        <v>46038</v>
      </c>
      <c r="C232" s="1">
        <v>46038</v>
      </c>
      <c r="D232" s="1">
        <v>46042</v>
      </c>
      <c r="E232" s="1">
        <v>46045</v>
      </c>
      <c r="F232" t="s">
        <v>32</v>
      </c>
      <c r="G232" t="s">
        <v>62</v>
      </c>
      <c r="H232" t="s">
        <v>24</v>
      </c>
      <c r="I232" t="s">
        <v>42</v>
      </c>
      <c r="J232">
        <v>625.5</v>
      </c>
      <c r="K232">
        <v>6418.9</v>
      </c>
      <c r="L232">
        <v>14112000</v>
      </c>
      <c r="M232" t="b">
        <v>0</v>
      </c>
      <c r="N232" t="b">
        <v>0</v>
      </c>
      <c r="O232">
        <v>16000</v>
      </c>
      <c r="P232" t="b">
        <v>0</v>
      </c>
      <c r="Q232" t="b">
        <v>0</v>
      </c>
      <c r="R232" t="b">
        <v>0</v>
      </c>
      <c r="S232" t="s">
        <v>101</v>
      </c>
      <c r="T232" t="s">
        <v>104</v>
      </c>
      <c r="U232">
        <v>3</v>
      </c>
    </row>
    <row r="233" spans="1:21" x14ac:dyDescent="0.3">
      <c r="A233" t="s">
        <v>338</v>
      </c>
      <c r="B233" s="1">
        <v>46165</v>
      </c>
      <c r="C233" s="1">
        <v>46166</v>
      </c>
      <c r="D233" s="1">
        <v>46168</v>
      </c>
      <c r="E233" s="1">
        <v>46168</v>
      </c>
      <c r="F233" t="s">
        <v>34</v>
      </c>
      <c r="G233" t="s">
        <v>53</v>
      </c>
      <c r="H233" t="s">
        <v>23</v>
      </c>
      <c r="I233" t="s">
        <v>42</v>
      </c>
      <c r="J233">
        <v>298.8</v>
      </c>
      <c r="K233">
        <v>7721.6</v>
      </c>
      <c r="L233">
        <v>9998000</v>
      </c>
      <c r="M233" t="b">
        <v>0</v>
      </c>
      <c r="N233" t="b">
        <v>0</v>
      </c>
      <c r="O233">
        <v>16000</v>
      </c>
      <c r="P233" t="b">
        <v>0</v>
      </c>
      <c r="Q233" t="b">
        <v>0</v>
      </c>
      <c r="R233" t="b">
        <v>0</v>
      </c>
      <c r="S233" t="s">
        <v>96</v>
      </c>
      <c r="T233" t="s">
        <v>102</v>
      </c>
    </row>
    <row r="234" spans="1:21" x14ac:dyDescent="0.3">
      <c r="A234" t="s">
        <v>339</v>
      </c>
      <c r="B234" s="1">
        <v>46082</v>
      </c>
      <c r="C234" s="1">
        <v>46082</v>
      </c>
      <c r="D234" s="1">
        <v>46084</v>
      </c>
      <c r="E234" s="1">
        <v>46084</v>
      </c>
      <c r="F234" t="s">
        <v>31</v>
      </c>
      <c r="G234" t="s">
        <v>58</v>
      </c>
      <c r="H234" t="s">
        <v>22</v>
      </c>
      <c r="I234" t="s">
        <v>43</v>
      </c>
      <c r="J234">
        <v>194.6</v>
      </c>
      <c r="K234">
        <v>1978</v>
      </c>
      <c r="L234">
        <v>4049000</v>
      </c>
      <c r="M234" t="b">
        <v>0</v>
      </c>
      <c r="N234" t="b">
        <v>0</v>
      </c>
      <c r="O234">
        <v>5000</v>
      </c>
      <c r="P234" t="b">
        <v>0</v>
      </c>
      <c r="Q234" t="b">
        <v>0</v>
      </c>
      <c r="R234" t="b">
        <v>0</v>
      </c>
      <c r="S234" t="s">
        <v>96</v>
      </c>
      <c r="T234" t="s">
        <v>118</v>
      </c>
    </row>
    <row r="235" spans="1:21" x14ac:dyDescent="0.3">
      <c r="A235" t="s">
        <v>340</v>
      </c>
      <c r="B235" s="1">
        <v>46189</v>
      </c>
      <c r="C235" s="1">
        <v>46191</v>
      </c>
      <c r="D235" s="1">
        <v>46193</v>
      </c>
      <c r="E235" s="1">
        <v>46192</v>
      </c>
      <c r="F235" t="s">
        <v>34</v>
      </c>
      <c r="G235" t="s">
        <v>57</v>
      </c>
      <c r="H235" t="s">
        <v>24</v>
      </c>
      <c r="I235" t="s">
        <v>43</v>
      </c>
      <c r="J235">
        <v>153.80000000000001</v>
      </c>
      <c r="K235">
        <v>1133.2</v>
      </c>
      <c r="L235">
        <v>3067000</v>
      </c>
      <c r="M235" t="b">
        <v>0</v>
      </c>
      <c r="N235" t="b">
        <v>0</v>
      </c>
      <c r="O235">
        <v>5000</v>
      </c>
      <c r="P235" t="b">
        <v>0</v>
      </c>
      <c r="Q235" t="b">
        <v>0</v>
      </c>
      <c r="R235" t="b">
        <v>0</v>
      </c>
      <c r="S235" t="s">
        <v>96</v>
      </c>
      <c r="T235" t="s">
        <v>99</v>
      </c>
    </row>
    <row r="236" spans="1:21" x14ac:dyDescent="0.3">
      <c r="A236" t="s">
        <v>341</v>
      </c>
      <c r="B236" s="1">
        <v>46115</v>
      </c>
      <c r="C236" s="1">
        <v>46116</v>
      </c>
      <c r="D236" s="1">
        <v>46119</v>
      </c>
      <c r="E236" s="1">
        <v>46119</v>
      </c>
      <c r="F236" t="s">
        <v>32</v>
      </c>
      <c r="G236" t="s">
        <v>54</v>
      </c>
      <c r="H236" t="s">
        <v>24</v>
      </c>
      <c r="I236" t="s">
        <v>43</v>
      </c>
      <c r="J236">
        <v>544.20000000000005</v>
      </c>
      <c r="K236">
        <v>3271.7</v>
      </c>
      <c r="L236">
        <v>8651000</v>
      </c>
      <c r="M236" t="b">
        <v>0</v>
      </c>
      <c r="N236" t="b">
        <v>0</v>
      </c>
      <c r="O236">
        <v>5000</v>
      </c>
      <c r="P236" t="b">
        <v>0</v>
      </c>
      <c r="Q236" t="b">
        <v>0</v>
      </c>
      <c r="R236" t="b">
        <v>0</v>
      </c>
      <c r="S236" t="s">
        <v>96</v>
      </c>
      <c r="T236" t="s">
        <v>112</v>
      </c>
    </row>
    <row r="237" spans="1:21" x14ac:dyDescent="0.3">
      <c r="A237" t="s">
        <v>342</v>
      </c>
      <c r="B237" s="1">
        <v>46203</v>
      </c>
      <c r="C237" s="1">
        <v>46203</v>
      </c>
      <c r="D237" s="1">
        <v>46205</v>
      </c>
      <c r="E237" s="1">
        <v>46205</v>
      </c>
      <c r="F237" t="s">
        <v>31</v>
      </c>
      <c r="G237" t="s">
        <v>63</v>
      </c>
      <c r="H237" t="s">
        <v>20</v>
      </c>
      <c r="I237" t="s">
        <v>43</v>
      </c>
      <c r="J237">
        <v>295</v>
      </c>
      <c r="K237">
        <v>2385.9</v>
      </c>
      <c r="L237">
        <v>4979000</v>
      </c>
      <c r="M237" t="b">
        <v>0</v>
      </c>
      <c r="N237" t="b">
        <v>0</v>
      </c>
      <c r="O237">
        <v>5000</v>
      </c>
      <c r="P237" t="b">
        <v>0</v>
      </c>
      <c r="Q237" t="b">
        <v>0</v>
      </c>
      <c r="R237" t="b">
        <v>0</v>
      </c>
      <c r="S237" t="s">
        <v>96</v>
      </c>
      <c r="T237" t="s">
        <v>99</v>
      </c>
    </row>
    <row r="238" spans="1:21" x14ac:dyDescent="0.3">
      <c r="A238" t="s">
        <v>343</v>
      </c>
      <c r="B238" s="1">
        <v>46023</v>
      </c>
      <c r="C238" s="1">
        <v>46024</v>
      </c>
      <c r="D238" s="1">
        <v>46027</v>
      </c>
      <c r="E238" s="1">
        <v>46027</v>
      </c>
      <c r="F238" t="s">
        <v>32</v>
      </c>
      <c r="G238" t="s">
        <v>54</v>
      </c>
      <c r="H238" t="s">
        <v>22</v>
      </c>
      <c r="I238" t="s">
        <v>43</v>
      </c>
      <c r="J238">
        <v>598.79999999999995</v>
      </c>
      <c r="K238">
        <v>3123.3</v>
      </c>
      <c r="L238">
        <v>10015000</v>
      </c>
      <c r="M238" t="b">
        <v>0</v>
      </c>
      <c r="N238" t="b">
        <v>0</v>
      </c>
      <c r="O238">
        <v>5000</v>
      </c>
      <c r="P238" t="b">
        <v>0</v>
      </c>
      <c r="Q238" t="b">
        <v>0</v>
      </c>
      <c r="R238" t="b">
        <v>0</v>
      </c>
      <c r="S238" t="s">
        <v>96</v>
      </c>
      <c r="T238" t="s">
        <v>104</v>
      </c>
    </row>
    <row r="239" spans="1:21" x14ac:dyDescent="0.3">
      <c r="A239" t="s">
        <v>344</v>
      </c>
      <c r="B239" s="1">
        <v>46085</v>
      </c>
      <c r="C239" s="1">
        <v>46087</v>
      </c>
      <c r="D239" s="1">
        <v>46088</v>
      </c>
      <c r="E239" s="1">
        <v>46088</v>
      </c>
      <c r="F239" t="s">
        <v>34</v>
      </c>
      <c r="G239" t="s">
        <v>61</v>
      </c>
      <c r="H239" t="s">
        <v>22</v>
      </c>
      <c r="I239" t="s">
        <v>44</v>
      </c>
      <c r="J239">
        <v>16.7</v>
      </c>
      <c r="K239">
        <v>1346.6</v>
      </c>
      <c r="L239">
        <v>1445000</v>
      </c>
      <c r="M239" t="b">
        <v>0</v>
      </c>
      <c r="N239" t="b">
        <v>0</v>
      </c>
      <c r="O239">
        <v>1500</v>
      </c>
      <c r="P239" t="b">
        <v>0</v>
      </c>
      <c r="Q239" t="b">
        <v>0</v>
      </c>
      <c r="R239" t="b">
        <v>0</v>
      </c>
      <c r="S239" t="s">
        <v>96</v>
      </c>
      <c r="T239" t="s">
        <v>118</v>
      </c>
    </row>
    <row r="240" spans="1:21" x14ac:dyDescent="0.3">
      <c r="A240" t="s">
        <v>345</v>
      </c>
      <c r="B240" s="1">
        <v>46156</v>
      </c>
      <c r="C240" s="1">
        <v>46157</v>
      </c>
      <c r="D240" s="1">
        <v>46160</v>
      </c>
      <c r="E240" s="1">
        <v>46160</v>
      </c>
      <c r="F240" t="s">
        <v>34</v>
      </c>
      <c r="G240" t="s">
        <v>63</v>
      </c>
      <c r="H240" t="s">
        <v>21</v>
      </c>
      <c r="I240" t="s">
        <v>43</v>
      </c>
      <c r="J240">
        <v>347.1</v>
      </c>
      <c r="K240">
        <v>3458</v>
      </c>
      <c r="L240">
        <v>5894000</v>
      </c>
      <c r="M240" t="b">
        <v>0</v>
      </c>
      <c r="N240" t="b">
        <v>0</v>
      </c>
      <c r="O240">
        <v>5000</v>
      </c>
      <c r="P240" t="b">
        <v>0</v>
      </c>
      <c r="Q240" t="b">
        <v>0</v>
      </c>
      <c r="R240" t="b">
        <v>0</v>
      </c>
      <c r="S240" t="s">
        <v>96</v>
      </c>
      <c r="T240" t="s">
        <v>102</v>
      </c>
    </row>
    <row r="241" spans="1:21" x14ac:dyDescent="0.3">
      <c r="A241" t="s">
        <v>346</v>
      </c>
      <c r="B241" s="1">
        <v>46101</v>
      </c>
      <c r="C241" s="1">
        <v>46103</v>
      </c>
      <c r="D241" s="1">
        <v>46107</v>
      </c>
      <c r="E241" s="1">
        <v>46107</v>
      </c>
      <c r="F241" t="s">
        <v>34</v>
      </c>
      <c r="G241" t="s">
        <v>60</v>
      </c>
      <c r="H241" t="s">
        <v>21</v>
      </c>
      <c r="I241" t="s">
        <v>45</v>
      </c>
      <c r="J241">
        <v>624.9</v>
      </c>
      <c r="K241">
        <v>536.1</v>
      </c>
      <c r="L241">
        <v>6039000</v>
      </c>
      <c r="M241" t="b">
        <v>0</v>
      </c>
      <c r="N241" t="b">
        <v>0</v>
      </c>
      <c r="O241">
        <v>1000</v>
      </c>
      <c r="P241" t="b">
        <v>0</v>
      </c>
      <c r="Q241" t="b">
        <v>0</v>
      </c>
      <c r="R241" t="b">
        <v>0</v>
      </c>
      <c r="S241" t="s">
        <v>96</v>
      </c>
      <c r="T241" t="s">
        <v>118</v>
      </c>
    </row>
    <row r="242" spans="1:21" x14ac:dyDescent="0.3">
      <c r="A242" t="s">
        <v>347</v>
      </c>
      <c r="B242" s="1">
        <v>46139</v>
      </c>
      <c r="C242" s="1">
        <v>46140</v>
      </c>
      <c r="D242" s="1">
        <v>46143</v>
      </c>
      <c r="E242" s="1">
        <v>46143</v>
      </c>
      <c r="F242" t="s">
        <v>34</v>
      </c>
      <c r="G242" t="s">
        <v>53</v>
      </c>
      <c r="H242" t="s">
        <v>20</v>
      </c>
      <c r="I242" t="s">
        <v>43</v>
      </c>
      <c r="J242">
        <v>323.2</v>
      </c>
      <c r="K242">
        <v>1721.8</v>
      </c>
      <c r="L242">
        <v>5364000</v>
      </c>
      <c r="M242" t="b">
        <v>0</v>
      </c>
      <c r="N242" t="b">
        <v>0</v>
      </c>
      <c r="O242">
        <v>5000</v>
      </c>
      <c r="P242" t="b">
        <v>0</v>
      </c>
      <c r="Q242" t="b">
        <v>0</v>
      </c>
      <c r="R242" t="b">
        <v>0</v>
      </c>
      <c r="S242" t="s">
        <v>96</v>
      </c>
      <c r="T242" t="s">
        <v>112</v>
      </c>
    </row>
    <row r="243" spans="1:21" x14ac:dyDescent="0.3">
      <c r="A243" t="s">
        <v>348</v>
      </c>
      <c r="B243" s="1">
        <v>46025</v>
      </c>
      <c r="C243" s="1">
        <v>46026</v>
      </c>
      <c r="D243" s="1">
        <v>46030</v>
      </c>
      <c r="F243" t="s">
        <v>32</v>
      </c>
      <c r="G243" t="s">
        <v>54</v>
      </c>
      <c r="H243" t="s">
        <v>21</v>
      </c>
      <c r="I243" t="s">
        <v>45</v>
      </c>
      <c r="J243">
        <v>581.5</v>
      </c>
      <c r="K243">
        <v>782.7</v>
      </c>
      <c r="L243">
        <v>5902000</v>
      </c>
      <c r="M243" t="b">
        <v>0</v>
      </c>
      <c r="N243" t="b">
        <v>0</v>
      </c>
      <c r="O243">
        <v>1000</v>
      </c>
      <c r="P243" t="b">
        <v>0</v>
      </c>
      <c r="Q243" t="b">
        <v>0</v>
      </c>
      <c r="R243" t="b">
        <v>0</v>
      </c>
      <c r="S243" t="s">
        <v>203</v>
      </c>
      <c r="T243" t="s">
        <v>104</v>
      </c>
    </row>
    <row r="244" spans="1:21" x14ac:dyDescent="0.3">
      <c r="A244" t="s">
        <v>349</v>
      </c>
      <c r="B244" s="1">
        <v>46048</v>
      </c>
      <c r="C244" s="1">
        <v>46049</v>
      </c>
      <c r="D244" s="1">
        <v>46053</v>
      </c>
      <c r="E244" s="1">
        <v>46053</v>
      </c>
      <c r="F244" t="s">
        <v>33</v>
      </c>
      <c r="G244" t="s">
        <v>56</v>
      </c>
      <c r="H244" t="s">
        <v>21</v>
      </c>
      <c r="I244" t="s">
        <v>44</v>
      </c>
      <c r="J244">
        <v>1560.7</v>
      </c>
      <c r="K244">
        <v>1054.0999999999999</v>
      </c>
      <c r="L244">
        <v>16783000</v>
      </c>
      <c r="M244" t="b">
        <v>0</v>
      </c>
      <c r="N244" t="b">
        <v>0</v>
      </c>
      <c r="O244">
        <v>1500</v>
      </c>
      <c r="P244" t="b">
        <v>0</v>
      </c>
      <c r="Q244" t="b">
        <v>0</v>
      </c>
      <c r="R244" t="b">
        <v>0</v>
      </c>
      <c r="S244" t="s">
        <v>96</v>
      </c>
      <c r="T244" t="s">
        <v>104</v>
      </c>
    </row>
    <row r="245" spans="1:21" x14ac:dyDescent="0.3">
      <c r="A245" t="s">
        <v>350</v>
      </c>
      <c r="B245" s="1">
        <v>46051</v>
      </c>
      <c r="C245" s="1">
        <v>46052</v>
      </c>
      <c r="D245" s="1">
        <v>46055</v>
      </c>
      <c r="E245" s="1">
        <v>46055</v>
      </c>
      <c r="F245" t="s">
        <v>32</v>
      </c>
      <c r="G245" t="s">
        <v>54</v>
      </c>
      <c r="H245" t="s">
        <v>22</v>
      </c>
      <c r="I245" t="s">
        <v>43</v>
      </c>
      <c r="J245">
        <v>572.6</v>
      </c>
      <c r="K245">
        <v>2358.1</v>
      </c>
      <c r="L245">
        <v>9002000</v>
      </c>
      <c r="M245" t="b">
        <v>0</v>
      </c>
      <c r="N245" t="b">
        <v>0</v>
      </c>
      <c r="O245">
        <v>5000</v>
      </c>
      <c r="P245" t="b">
        <v>0</v>
      </c>
      <c r="Q245" t="b">
        <v>0</v>
      </c>
      <c r="R245" t="b">
        <v>0</v>
      </c>
      <c r="S245" t="s">
        <v>96</v>
      </c>
      <c r="T245" t="s">
        <v>104</v>
      </c>
    </row>
    <row r="246" spans="1:21" x14ac:dyDescent="0.3">
      <c r="A246" t="s">
        <v>351</v>
      </c>
      <c r="B246" s="1">
        <v>46188</v>
      </c>
      <c r="C246" s="1">
        <v>46189</v>
      </c>
      <c r="D246" s="1">
        <v>46192</v>
      </c>
      <c r="E246" s="1">
        <v>46193</v>
      </c>
      <c r="F246" t="s">
        <v>32</v>
      </c>
      <c r="G246" t="s">
        <v>60</v>
      </c>
      <c r="H246" t="s">
        <v>23</v>
      </c>
      <c r="I246" t="s">
        <v>43</v>
      </c>
      <c r="J246">
        <v>458</v>
      </c>
      <c r="K246">
        <v>4495</v>
      </c>
      <c r="L246">
        <v>7635000</v>
      </c>
      <c r="M246" t="b">
        <v>0</v>
      </c>
      <c r="N246" t="b">
        <v>0</v>
      </c>
      <c r="O246">
        <v>5000</v>
      </c>
      <c r="P246" t="b">
        <v>0</v>
      </c>
      <c r="Q246" t="b">
        <v>0</v>
      </c>
      <c r="R246" t="b">
        <v>0</v>
      </c>
      <c r="S246" t="s">
        <v>101</v>
      </c>
      <c r="T246" t="s">
        <v>99</v>
      </c>
      <c r="U246">
        <v>1</v>
      </c>
    </row>
    <row r="247" spans="1:21" x14ac:dyDescent="0.3">
      <c r="A247" t="s">
        <v>352</v>
      </c>
      <c r="B247" s="1">
        <v>46177</v>
      </c>
      <c r="C247" s="1">
        <v>46177</v>
      </c>
      <c r="D247" s="1">
        <v>46181</v>
      </c>
      <c r="E247" s="1">
        <v>46181</v>
      </c>
      <c r="F247" t="s">
        <v>34</v>
      </c>
      <c r="G247" t="s">
        <v>60</v>
      </c>
      <c r="H247" t="s">
        <v>24</v>
      </c>
      <c r="I247" t="s">
        <v>45</v>
      </c>
      <c r="J247">
        <v>633</v>
      </c>
      <c r="K247">
        <v>80.400000000000006</v>
      </c>
      <c r="L247">
        <v>5530000</v>
      </c>
      <c r="M247" t="b">
        <v>0</v>
      </c>
      <c r="N247" t="b">
        <v>0</v>
      </c>
      <c r="O247">
        <v>1000</v>
      </c>
      <c r="P247" t="b">
        <v>0</v>
      </c>
      <c r="Q247" t="b">
        <v>0</v>
      </c>
      <c r="R247" t="b">
        <v>0</v>
      </c>
      <c r="S247" t="s">
        <v>96</v>
      </c>
      <c r="T247" t="s">
        <v>99</v>
      </c>
    </row>
    <row r="248" spans="1:21" x14ac:dyDescent="0.3">
      <c r="A248" t="s">
        <v>353</v>
      </c>
      <c r="B248" s="1">
        <v>46093</v>
      </c>
      <c r="C248" s="1">
        <v>46094</v>
      </c>
      <c r="D248" s="1">
        <v>46096</v>
      </c>
      <c r="E248" s="1">
        <v>46096</v>
      </c>
      <c r="F248" t="s">
        <v>34</v>
      </c>
      <c r="G248" t="s">
        <v>53</v>
      </c>
      <c r="H248" t="s">
        <v>21</v>
      </c>
      <c r="I248" t="s">
        <v>44</v>
      </c>
      <c r="J248">
        <v>290.89999999999998</v>
      </c>
      <c r="K248">
        <v>362.4</v>
      </c>
      <c r="L248">
        <v>3479000</v>
      </c>
      <c r="M248" t="b">
        <v>0</v>
      </c>
      <c r="N248" t="b">
        <v>0</v>
      </c>
      <c r="O248">
        <v>1500</v>
      </c>
      <c r="P248" t="b">
        <v>0</v>
      </c>
      <c r="Q248" t="b">
        <v>0</v>
      </c>
      <c r="R248" t="b">
        <v>0</v>
      </c>
      <c r="S248" t="s">
        <v>96</v>
      </c>
      <c r="T248" t="s">
        <v>118</v>
      </c>
    </row>
    <row r="249" spans="1:21" x14ac:dyDescent="0.3">
      <c r="A249" t="s">
        <v>354</v>
      </c>
      <c r="B249" s="1">
        <v>46069</v>
      </c>
      <c r="C249" s="1">
        <v>46070</v>
      </c>
      <c r="D249" s="1">
        <v>46074</v>
      </c>
      <c r="E249" s="1">
        <v>46074</v>
      </c>
      <c r="F249" t="s">
        <v>31</v>
      </c>
      <c r="G249" t="s">
        <v>62</v>
      </c>
      <c r="H249" t="s">
        <v>23</v>
      </c>
      <c r="I249" t="s">
        <v>43</v>
      </c>
      <c r="J249">
        <v>728.6</v>
      </c>
      <c r="K249">
        <v>4202.8</v>
      </c>
      <c r="L249">
        <v>11984000</v>
      </c>
      <c r="M249" t="b">
        <v>0</v>
      </c>
      <c r="N249" t="b">
        <v>0</v>
      </c>
      <c r="O249">
        <v>5000</v>
      </c>
      <c r="P249" t="b">
        <v>0</v>
      </c>
      <c r="Q249" t="b">
        <v>0</v>
      </c>
      <c r="R249" t="b">
        <v>0</v>
      </c>
      <c r="S249" t="s">
        <v>96</v>
      </c>
      <c r="T249" t="s">
        <v>115</v>
      </c>
    </row>
    <row r="250" spans="1:21" x14ac:dyDescent="0.3">
      <c r="A250" t="s">
        <v>355</v>
      </c>
      <c r="B250" s="1">
        <v>46089</v>
      </c>
      <c r="C250" s="1">
        <v>46090</v>
      </c>
      <c r="D250" s="1">
        <v>46092</v>
      </c>
      <c r="E250" s="1">
        <v>46091</v>
      </c>
      <c r="F250" t="s">
        <v>31</v>
      </c>
      <c r="G250" t="s">
        <v>57</v>
      </c>
      <c r="H250" t="s">
        <v>23</v>
      </c>
      <c r="I250" t="s">
        <v>43</v>
      </c>
      <c r="J250">
        <v>136.30000000000001</v>
      </c>
      <c r="K250">
        <v>3518.9</v>
      </c>
      <c r="L250">
        <v>3500000</v>
      </c>
      <c r="M250" t="b">
        <v>0</v>
      </c>
      <c r="N250" t="b">
        <v>0</v>
      </c>
      <c r="O250">
        <v>5000</v>
      </c>
      <c r="P250" t="b">
        <v>0</v>
      </c>
      <c r="Q250" t="b">
        <v>0</v>
      </c>
      <c r="R250" t="b">
        <v>0</v>
      </c>
      <c r="S250" t="s">
        <v>96</v>
      </c>
      <c r="T250" t="s">
        <v>118</v>
      </c>
    </row>
    <row r="251" spans="1:21" x14ac:dyDescent="0.3">
      <c r="A251" t="s">
        <v>356</v>
      </c>
      <c r="B251" s="1">
        <v>46073</v>
      </c>
      <c r="C251" s="1">
        <v>46074</v>
      </c>
      <c r="D251" s="1">
        <v>46075</v>
      </c>
      <c r="E251" s="1">
        <v>46075</v>
      </c>
      <c r="F251" t="s">
        <v>34</v>
      </c>
      <c r="G251" t="s">
        <v>61</v>
      </c>
      <c r="H251" t="s">
        <v>20</v>
      </c>
      <c r="I251" t="s">
        <v>44</v>
      </c>
      <c r="J251">
        <v>25.3</v>
      </c>
      <c r="K251">
        <v>597.1</v>
      </c>
      <c r="L251">
        <v>1090000</v>
      </c>
      <c r="M251" t="b">
        <v>0</v>
      </c>
      <c r="N251" t="b">
        <v>0</v>
      </c>
      <c r="O251">
        <v>1500</v>
      </c>
      <c r="P251" t="b">
        <v>0</v>
      </c>
      <c r="Q251" t="b">
        <v>0</v>
      </c>
      <c r="R251" t="b">
        <v>0</v>
      </c>
      <c r="S251" t="s">
        <v>96</v>
      </c>
      <c r="T251" t="s">
        <v>115</v>
      </c>
    </row>
    <row r="252" spans="1:21" x14ac:dyDescent="0.3">
      <c r="A252" t="s">
        <v>357</v>
      </c>
      <c r="B252" s="1">
        <v>46076</v>
      </c>
      <c r="C252" s="1">
        <v>46077</v>
      </c>
      <c r="D252" s="1">
        <v>46081</v>
      </c>
      <c r="E252" s="1">
        <v>46081</v>
      </c>
      <c r="F252" t="s">
        <v>31</v>
      </c>
      <c r="G252" t="s">
        <v>60</v>
      </c>
      <c r="H252" t="s">
        <v>23</v>
      </c>
      <c r="I252" t="s">
        <v>42</v>
      </c>
      <c r="J252">
        <v>605.5</v>
      </c>
      <c r="K252">
        <v>10232.5</v>
      </c>
      <c r="L252">
        <v>12851000</v>
      </c>
      <c r="M252" t="b">
        <v>0</v>
      </c>
      <c r="N252" t="b">
        <v>0</v>
      </c>
      <c r="O252">
        <v>16000</v>
      </c>
      <c r="P252" t="b">
        <v>0</v>
      </c>
      <c r="Q252" t="b">
        <v>0</v>
      </c>
      <c r="R252" t="b">
        <v>0</v>
      </c>
      <c r="S252" t="s">
        <v>96</v>
      </c>
      <c r="T252" t="s">
        <v>115</v>
      </c>
    </row>
    <row r="253" spans="1:21" x14ac:dyDescent="0.3">
      <c r="A253" t="s">
        <v>358</v>
      </c>
      <c r="B253" s="1">
        <v>46047</v>
      </c>
      <c r="C253" s="1">
        <v>46048</v>
      </c>
      <c r="D253" s="1">
        <v>46050</v>
      </c>
      <c r="E253" s="1">
        <v>46050</v>
      </c>
      <c r="F253" t="s">
        <v>32</v>
      </c>
      <c r="G253" t="s">
        <v>57</v>
      </c>
      <c r="H253" t="s">
        <v>23</v>
      </c>
      <c r="I253" t="s">
        <v>44</v>
      </c>
      <c r="J253">
        <v>16.899999999999999</v>
      </c>
      <c r="K253">
        <v>424.1</v>
      </c>
      <c r="L253">
        <v>738000</v>
      </c>
      <c r="M253" t="b">
        <v>0</v>
      </c>
      <c r="N253" t="b">
        <v>0</v>
      </c>
      <c r="O253">
        <v>1500</v>
      </c>
      <c r="P253" t="b">
        <v>0</v>
      </c>
      <c r="Q253" t="b">
        <v>0</v>
      </c>
      <c r="R253" t="b">
        <v>0</v>
      </c>
      <c r="S253" t="s">
        <v>96</v>
      </c>
      <c r="T253" t="s">
        <v>104</v>
      </c>
    </row>
    <row r="254" spans="1:21" x14ac:dyDescent="0.3">
      <c r="A254" t="s">
        <v>359</v>
      </c>
      <c r="B254" s="1">
        <v>46084</v>
      </c>
      <c r="C254" s="1">
        <v>46086</v>
      </c>
      <c r="D254" s="1">
        <v>46090</v>
      </c>
      <c r="E254" s="1">
        <v>46091</v>
      </c>
      <c r="F254" t="s">
        <v>34</v>
      </c>
      <c r="G254" t="s">
        <v>54</v>
      </c>
      <c r="H254" t="s">
        <v>24</v>
      </c>
      <c r="I254" t="s">
        <v>42</v>
      </c>
      <c r="J254">
        <v>482.5</v>
      </c>
      <c r="K254">
        <v>7060.9</v>
      </c>
      <c r="L254">
        <v>11056000</v>
      </c>
      <c r="M254" t="b">
        <v>0</v>
      </c>
      <c r="N254" t="b">
        <v>0</v>
      </c>
      <c r="O254">
        <v>16000</v>
      </c>
      <c r="P254" t="b">
        <v>0</v>
      </c>
      <c r="Q254" t="b">
        <v>0</v>
      </c>
      <c r="R254" t="b">
        <v>0</v>
      </c>
      <c r="S254" t="s">
        <v>101</v>
      </c>
      <c r="T254" t="s">
        <v>118</v>
      </c>
      <c r="U254">
        <v>1</v>
      </c>
    </row>
    <row r="255" spans="1:21" x14ac:dyDescent="0.3">
      <c r="A255" t="s">
        <v>360</v>
      </c>
      <c r="B255" s="1">
        <v>46098</v>
      </c>
      <c r="C255" s="1">
        <v>46099</v>
      </c>
      <c r="D255" s="1">
        <v>46102</v>
      </c>
      <c r="E255" s="1">
        <v>46102</v>
      </c>
      <c r="F255" t="s">
        <v>31</v>
      </c>
      <c r="G255" t="s">
        <v>54</v>
      </c>
      <c r="H255" t="s">
        <v>22</v>
      </c>
      <c r="I255" t="s">
        <v>43</v>
      </c>
      <c r="J255">
        <v>449.1</v>
      </c>
      <c r="K255">
        <v>2799</v>
      </c>
      <c r="L255">
        <v>7177000</v>
      </c>
      <c r="M255" t="b">
        <v>0</v>
      </c>
      <c r="N255" t="b">
        <v>0</v>
      </c>
      <c r="O255">
        <v>5000</v>
      </c>
      <c r="P255" t="b">
        <v>0</v>
      </c>
      <c r="Q255" t="b">
        <v>0</v>
      </c>
      <c r="R255" t="b">
        <v>0</v>
      </c>
      <c r="S255" t="s">
        <v>96</v>
      </c>
      <c r="T255" t="s">
        <v>118</v>
      </c>
    </row>
    <row r="256" spans="1:21" x14ac:dyDescent="0.3">
      <c r="A256" t="s">
        <v>361</v>
      </c>
      <c r="B256" s="1">
        <v>46040</v>
      </c>
      <c r="C256" s="1">
        <v>46041</v>
      </c>
      <c r="D256" s="1">
        <v>46043</v>
      </c>
      <c r="E256" s="1">
        <v>46043</v>
      </c>
      <c r="F256" t="s">
        <v>31</v>
      </c>
      <c r="G256" t="s">
        <v>57</v>
      </c>
      <c r="H256" t="s">
        <v>22</v>
      </c>
      <c r="I256" t="s">
        <v>45</v>
      </c>
      <c r="J256">
        <v>132.9</v>
      </c>
      <c r="K256">
        <v>396.4</v>
      </c>
      <c r="L256">
        <v>1738000</v>
      </c>
      <c r="M256" t="b">
        <v>0</v>
      </c>
      <c r="N256" t="b">
        <v>0</v>
      </c>
      <c r="O256">
        <v>1000</v>
      </c>
      <c r="P256" t="b">
        <v>0</v>
      </c>
      <c r="Q256" t="b">
        <v>0</v>
      </c>
      <c r="R256" t="b">
        <v>0</v>
      </c>
      <c r="S256" t="s">
        <v>96</v>
      </c>
      <c r="T256" t="s">
        <v>104</v>
      </c>
    </row>
    <row r="257" spans="1:21" x14ac:dyDescent="0.3">
      <c r="A257" t="s">
        <v>362</v>
      </c>
      <c r="B257" s="1">
        <v>46142</v>
      </c>
      <c r="C257" s="1">
        <v>46143</v>
      </c>
      <c r="D257" s="1">
        <v>46146</v>
      </c>
      <c r="E257" s="1">
        <v>46149</v>
      </c>
      <c r="F257" t="s">
        <v>34</v>
      </c>
      <c r="G257" t="s">
        <v>52</v>
      </c>
      <c r="H257" t="s">
        <v>24</v>
      </c>
      <c r="I257" t="s">
        <v>42</v>
      </c>
      <c r="J257">
        <v>271.8</v>
      </c>
      <c r="K257">
        <v>4527.3</v>
      </c>
      <c r="L257">
        <v>8282000</v>
      </c>
      <c r="M257" t="b">
        <v>0</v>
      </c>
      <c r="N257" t="b">
        <v>0</v>
      </c>
      <c r="O257">
        <v>16000</v>
      </c>
      <c r="P257" t="b">
        <v>0</v>
      </c>
      <c r="Q257" t="b">
        <v>0</v>
      </c>
      <c r="R257" t="b">
        <v>0</v>
      </c>
      <c r="S257" t="s">
        <v>101</v>
      </c>
      <c r="T257" t="s">
        <v>102</v>
      </c>
      <c r="U257">
        <v>3</v>
      </c>
    </row>
    <row r="258" spans="1:21" x14ac:dyDescent="0.3">
      <c r="A258" t="s">
        <v>363</v>
      </c>
      <c r="B258" s="1">
        <v>46174</v>
      </c>
      <c r="C258" s="1">
        <v>46176</v>
      </c>
      <c r="D258" s="1">
        <v>46179</v>
      </c>
      <c r="E258" s="1">
        <v>46179</v>
      </c>
      <c r="F258" t="s">
        <v>33</v>
      </c>
      <c r="G258" t="s">
        <v>53</v>
      </c>
      <c r="H258" t="s">
        <v>24</v>
      </c>
      <c r="I258" t="s">
        <v>44</v>
      </c>
      <c r="J258">
        <v>563.70000000000005</v>
      </c>
      <c r="K258">
        <v>499.3</v>
      </c>
      <c r="L258">
        <v>5849000</v>
      </c>
      <c r="M258" t="b">
        <v>0</v>
      </c>
      <c r="N258" t="b">
        <v>0</v>
      </c>
      <c r="O258">
        <v>1500</v>
      </c>
      <c r="P258" t="b">
        <v>0</v>
      </c>
      <c r="Q258" t="b">
        <v>0</v>
      </c>
      <c r="R258" t="b">
        <v>0</v>
      </c>
      <c r="S258" t="s">
        <v>96</v>
      </c>
      <c r="T258" t="s">
        <v>99</v>
      </c>
    </row>
    <row r="259" spans="1:21" x14ac:dyDescent="0.3">
      <c r="A259" t="s">
        <v>364</v>
      </c>
      <c r="B259" s="1">
        <v>46080</v>
      </c>
      <c r="C259" s="1">
        <v>46081</v>
      </c>
      <c r="D259" s="1">
        <v>46085</v>
      </c>
      <c r="E259" s="1">
        <v>46087</v>
      </c>
      <c r="F259" t="s">
        <v>34</v>
      </c>
      <c r="G259" t="s">
        <v>60</v>
      </c>
      <c r="H259" t="s">
        <v>24</v>
      </c>
      <c r="I259" t="s">
        <v>43</v>
      </c>
      <c r="J259">
        <v>677.6</v>
      </c>
      <c r="K259">
        <v>1197.9000000000001</v>
      </c>
      <c r="L259">
        <v>10842000</v>
      </c>
      <c r="M259" t="b">
        <v>0</v>
      </c>
      <c r="N259" t="b">
        <v>0</v>
      </c>
      <c r="O259">
        <v>5000</v>
      </c>
      <c r="P259" t="b">
        <v>0</v>
      </c>
      <c r="Q259" t="b">
        <v>0</v>
      </c>
      <c r="R259" t="b">
        <v>0</v>
      </c>
      <c r="S259" t="s">
        <v>101</v>
      </c>
      <c r="T259" t="s">
        <v>115</v>
      </c>
      <c r="U259">
        <v>2</v>
      </c>
    </row>
    <row r="260" spans="1:21" x14ac:dyDescent="0.3">
      <c r="A260" t="s">
        <v>365</v>
      </c>
      <c r="B260" s="1">
        <v>46042</v>
      </c>
      <c r="C260" s="1">
        <v>46044</v>
      </c>
      <c r="D260" s="1">
        <v>46046</v>
      </c>
      <c r="E260" s="1">
        <v>46046</v>
      </c>
      <c r="F260" t="s">
        <v>31</v>
      </c>
      <c r="G260" t="s">
        <v>58</v>
      </c>
      <c r="H260" t="s">
        <v>20</v>
      </c>
      <c r="I260" t="s">
        <v>45</v>
      </c>
      <c r="J260">
        <v>189.1</v>
      </c>
      <c r="K260">
        <v>212.6</v>
      </c>
      <c r="L260">
        <v>2141000</v>
      </c>
      <c r="M260" t="b">
        <v>0</v>
      </c>
      <c r="N260" t="b">
        <v>0</v>
      </c>
      <c r="O260">
        <v>1000</v>
      </c>
      <c r="P260" t="b">
        <v>0</v>
      </c>
      <c r="Q260" t="b">
        <v>0</v>
      </c>
      <c r="R260" t="b">
        <v>0</v>
      </c>
      <c r="S260" t="s">
        <v>96</v>
      </c>
      <c r="T260" t="s">
        <v>104</v>
      </c>
    </row>
    <row r="261" spans="1:21" x14ac:dyDescent="0.3">
      <c r="A261" t="s">
        <v>366</v>
      </c>
      <c r="B261" s="1">
        <v>46119</v>
      </c>
      <c r="C261" s="1">
        <v>46120</v>
      </c>
      <c r="D261" s="1">
        <v>46124</v>
      </c>
      <c r="E261" s="1">
        <v>46127</v>
      </c>
      <c r="F261" t="s">
        <v>33</v>
      </c>
      <c r="G261" t="s">
        <v>55</v>
      </c>
      <c r="H261" t="s">
        <v>22</v>
      </c>
      <c r="I261" t="s">
        <v>44</v>
      </c>
      <c r="J261">
        <v>649.5</v>
      </c>
      <c r="K261">
        <v>594.9</v>
      </c>
      <c r="L261">
        <v>5953000</v>
      </c>
      <c r="M261" t="b">
        <v>0</v>
      </c>
      <c r="N261" t="b">
        <v>0</v>
      </c>
      <c r="O261">
        <v>1500</v>
      </c>
      <c r="P261" t="b">
        <v>0</v>
      </c>
      <c r="Q261" t="b">
        <v>0</v>
      </c>
      <c r="R261" t="b">
        <v>0</v>
      </c>
      <c r="S261" t="s">
        <v>101</v>
      </c>
      <c r="T261" t="s">
        <v>112</v>
      </c>
      <c r="U261">
        <v>3</v>
      </c>
    </row>
    <row r="262" spans="1:21" x14ac:dyDescent="0.3">
      <c r="A262" t="s">
        <v>367</v>
      </c>
      <c r="B262" s="1">
        <v>46143</v>
      </c>
      <c r="C262" s="1">
        <v>46144</v>
      </c>
      <c r="D262" s="1">
        <v>46146</v>
      </c>
      <c r="E262" s="1">
        <v>46147</v>
      </c>
      <c r="F262" t="s">
        <v>34</v>
      </c>
      <c r="G262" t="s">
        <v>53</v>
      </c>
      <c r="H262" t="s">
        <v>24</v>
      </c>
      <c r="I262" t="s">
        <v>42</v>
      </c>
      <c r="J262">
        <v>275.7</v>
      </c>
      <c r="K262">
        <v>2807</v>
      </c>
      <c r="L262">
        <v>6819000</v>
      </c>
      <c r="M262" t="b">
        <v>0</v>
      </c>
      <c r="N262" t="b">
        <v>0</v>
      </c>
      <c r="O262">
        <v>16000</v>
      </c>
      <c r="P262" t="b">
        <v>0</v>
      </c>
      <c r="Q262" t="b">
        <v>0</v>
      </c>
      <c r="R262" t="b">
        <v>0</v>
      </c>
      <c r="S262" t="s">
        <v>101</v>
      </c>
      <c r="T262" t="s">
        <v>102</v>
      </c>
      <c r="U262">
        <v>1</v>
      </c>
    </row>
    <row r="263" spans="1:21" x14ac:dyDescent="0.3">
      <c r="A263" t="s">
        <v>368</v>
      </c>
      <c r="B263" s="1">
        <v>46127</v>
      </c>
      <c r="C263" s="1">
        <v>46128</v>
      </c>
      <c r="D263" s="1">
        <v>46132</v>
      </c>
      <c r="E263" s="1">
        <v>46132</v>
      </c>
      <c r="F263" t="s">
        <v>31</v>
      </c>
      <c r="G263" t="s">
        <v>59</v>
      </c>
      <c r="H263" t="s">
        <v>23</v>
      </c>
      <c r="I263" t="s">
        <v>43</v>
      </c>
      <c r="J263">
        <v>303.7</v>
      </c>
      <c r="K263">
        <v>3343.5</v>
      </c>
      <c r="L263">
        <v>5968000</v>
      </c>
      <c r="M263" t="b">
        <v>0</v>
      </c>
      <c r="N263" t="b">
        <v>0</v>
      </c>
      <c r="O263">
        <v>5000</v>
      </c>
      <c r="P263" t="b">
        <v>0</v>
      </c>
      <c r="Q263" t="b">
        <v>0</v>
      </c>
      <c r="R263" t="b">
        <v>0</v>
      </c>
      <c r="S263" t="s">
        <v>96</v>
      </c>
      <c r="T263" t="s">
        <v>112</v>
      </c>
    </row>
    <row r="264" spans="1:21" x14ac:dyDescent="0.3">
      <c r="A264" t="s">
        <v>369</v>
      </c>
      <c r="B264" s="1">
        <v>46175</v>
      </c>
      <c r="C264" s="1">
        <v>46176</v>
      </c>
      <c r="D264" s="1">
        <v>46179</v>
      </c>
      <c r="E264" s="1">
        <v>46180</v>
      </c>
      <c r="F264" t="s">
        <v>33</v>
      </c>
      <c r="G264" t="s">
        <v>63</v>
      </c>
      <c r="H264" t="s">
        <v>21</v>
      </c>
      <c r="I264" t="s">
        <v>45</v>
      </c>
      <c r="J264">
        <v>309.7</v>
      </c>
      <c r="K264">
        <v>334.9</v>
      </c>
      <c r="L264">
        <v>3181000</v>
      </c>
      <c r="M264" t="b">
        <v>0</v>
      </c>
      <c r="N264" t="b">
        <v>0</v>
      </c>
      <c r="O264">
        <v>1000</v>
      </c>
      <c r="P264" t="b">
        <v>0</v>
      </c>
      <c r="Q264" t="b">
        <v>0</v>
      </c>
      <c r="R264" t="b">
        <v>0</v>
      </c>
      <c r="S264" t="s">
        <v>101</v>
      </c>
      <c r="T264" t="s">
        <v>99</v>
      </c>
      <c r="U264">
        <v>1</v>
      </c>
    </row>
    <row r="265" spans="1:21" x14ac:dyDescent="0.3">
      <c r="A265" t="s">
        <v>370</v>
      </c>
      <c r="B265" s="1">
        <v>46029</v>
      </c>
      <c r="C265" s="1">
        <v>46030</v>
      </c>
      <c r="D265" s="1">
        <v>46033</v>
      </c>
      <c r="E265" s="1">
        <v>46034</v>
      </c>
      <c r="F265" t="s">
        <v>33</v>
      </c>
      <c r="G265" t="s">
        <v>52</v>
      </c>
      <c r="H265" t="s">
        <v>24</v>
      </c>
      <c r="I265" t="s">
        <v>42</v>
      </c>
      <c r="J265">
        <v>502.4</v>
      </c>
      <c r="K265">
        <v>6845.7</v>
      </c>
      <c r="L265">
        <v>10848000</v>
      </c>
      <c r="M265" t="b">
        <v>0</v>
      </c>
      <c r="N265" t="b">
        <v>0</v>
      </c>
      <c r="O265">
        <v>16000</v>
      </c>
      <c r="P265" t="b">
        <v>0</v>
      </c>
      <c r="Q265" t="b">
        <v>0</v>
      </c>
      <c r="R265" t="b">
        <v>0</v>
      </c>
      <c r="S265" t="s">
        <v>101</v>
      </c>
      <c r="T265" t="s">
        <v>104</v>
      </c>
      <c r="U265">
        <v>1</v>
      </c>
    </row>
    <row r="266" spans="1:21" x14ac:dyDescent="0.3">
      <c r="A266" t="s">
        <v>371</v>
      </c>
      <c r="B266" s="1">
        <v>46119</v>
      </c>
      <c r="C266" s="1">
        <v>46120</v>
      </c>
      <c r="D266" s="1">
        <v>46123</v>
      </c>
      <c r="E266" s="1">
        <v>46123</v>
      </c>
      <c r="F266" t="s">
        <v>34</v>
      </c>
      <c r="G266" t="s">
        <v>53</v>
      </c>
      <c r="H266" t="s">
        <v>23</v>
      </c>
      <c r="I266" t="s">
        <v>42</v>
      </c>
      <c r="J266">
        <v>318.60000000000002</v>
      </c>
      <c r="K266">
        <v>8864.7999999999993</v>
      </c>
      <c r="L266">
        <v>8778000</v>
      </c>
      <c r="M266" t="b">
        <v>0</v>
      </c>
      <c r="N266" t="b">
        <v>0</v>
      </c>
      <c r="O266">
        <v>16000</v>
      </c>
      <c r="P266" t="b">
        <v>0</v>
      </c>
      <c r="Q266" t="b">
        <v>0</v>
      </c>
      <c r="R266" t="b">
        <v>0</v>
      </c>
      <c r="S266" t="s">
        <v>96</v>
      </c>
      <c r="T266" t="s">
        <v>112</v>
      </c>
    </row>
    <row r="267" spans="1:21" x14ac:dyDescent="0.3">
      <c r="A267" t="s">
        <v>372</v>
      </c>
      <c r="B267" s="1">
        <v>46167</v>
      </c>
      <c r="C267" s="1">
        <v>46168</v>
      </c>
      <c r="D267" s="1">
        <v>46169</v>
      </c>
      <c r="E267" s="1">
        <v>46170</v>
      </c>
      <c r="F267" t="s">
        <v>32</v>
      </c>
      <c r="G267" t="s">
        <v>57</v>
      </c>
      <c r="H267" t="s">
        <v>20</v>
      </c>
      <c r="I267" t="s">
        <v>44</v>
      </c>
      <c r="J267">
        <v>4200</v>
      </c>
      <c r="K267">
        <v>797.2</v>
      </c>
      <c r="L267">
        <v>1023000</v>
      </c>
      <c r="M267" t="b">
        <v>0</v>
      </c>
      <c r="N267" t="b">
        <v>0</v>
      </c>
      <c r="O267">
        <v>1500</v>
      </c>
      <c r="P267" t="b">
        <v>0</v>
      </c>
      <c r="Q267" t="b">
        <v>1</v>
      </c>
      <c r="R267" t="b">
        <v>1</v>
      </c>
      <c r="S267" t="s">
        <v>101</v>
      </c>
      <c r="T267" t="s">
        <v>102</v>
      </c>
      <c r="U267">
        <v>1</v>
      </c>
    </row>
    <row r="268" spans="1:21" x14ac:dyDescent="0.3">
      <c r="A268" t="s">
        <v>373</v>
      </c>
      <c r="B268" s="1">
        <v>46070</v>
      </c>
      <c r="C268" s="1">
        <v>46071</v>
      </c>
      <c r="D268" s="1">
        <v>46074</v>
      </c>
      <c r="E268" s="1">
        <v>46074</v>
      </c>
      <c r="F268" t="s">
        <v>31</v>
      </c>
      <c r="G268" t="s">
        <v>52</v>
      </c>
      <c r="H268" t="s">
        <v>24</v>
      </c>
      <c r="I268" t="s">
        <v>43</v>
      </c>
      <c r="J268">
        <v>299</v>
      </c>
      <c r="K268">
        <v>3046.2</v>
      </c>
      <c r="L268">
        <v>5664000</v>
      </c>
      <c r="M268" t="b">
        <v>0</v>
      </c>
      <c r="N268" t="b">
        <v>0</v>
      </c>
      <c r="O268">
        <v>5000</v>
      </c>
      <c r="P268" t="b">
        <v>0</v>
      </c>
      <c r="Q268" t="b">
        <v>0</v>
      </c>
      <c r="R268" t="b">
        <v>0</v>
      </c>
      <c r="S268" t="s">
        <v>96</v>
      </c>
      <c r="T268" t="s">
        <v>115</v>
      </c>
    </row>
    <row r="269" spans="1:21" x14ac:dyDescent="0.3">
      <c r="A269" t="s">
        <v>374</v>
      </c>
      <c r="B269" s="1">
        <v>46107</v>
      </c>
      <c r="C269" s="1">
        <v>46108</v>
      </c>
      <c r="D269" s="1">
        <v>46110</v>
      </c>
      <c r="E269" s="1">
        <v>46110</v>
      </c>
      <c r="F269" t="s">
        <v>34</v>
      </c>
      <c r="G269" t="s">
        <v>58</v>
      </c>
      <c r="H269" t="s">
        <v>22</v>
      </c>
      <c r="I269" t="s">
        <v>42</v>
      </c>
      <c r="J269">
        <v>151.69999999999999</v>
      </c>
      <c r="K269">
        <v>9935.1</v>
      </c>
      <c r="L269">
        <v>7112000</v>
      </c>
      <c r="M269" t="b">
        <v>0</v>
      </c>
      <c r="N269" t="b">
        <v>0</v>
      </c>
      <c r="O269">
        <v>16000</v>
      </c>
      <c r="P269" t="b">
        <v>0</v>
      </c>
      <c r="Q269" t="b">
        <v>0</v>
      </c>
      <c r="R269" t="b">
        <v>0</v>
      </c>
      <c r="S269" t="s">
        <v>96</v>
      </c>
      <c r="T269" t="s">
        <v>118</v>
      </c>
    </row>
    <row r="270" spans="1:21" x14ac:dyDescent="0.3">
      <c r="A270" t="s">
        <v>375</v>
      </c>
      <c r="B270" s="1">
        <v>46134</v>
      </c>
      <c r="C270" s="1">
        <v>46135</v>
      </c>
      <c r="D270" s="1">
        <v>46137</v>
      </c>
      <c r="E270" s="1">
        <v>46137</v>
      </c>
      <c r="F270" t="s">
        <v>32</v>
      </c>
      <c r="G270" t="s">
        <v>59</v>
      </c>
      <c r="H270" t="s">
        <v>23</v>
      </c>
      <c r="I270" t="s">
        <v>44</v>
      </c>
      <c r="J270">
        <v>181.2</v>
      </c>
      <c r="K270">
        <v>1267.8</v>
      </c>
      <c r="L270">
        <v>2966000</v>
      </c>
      <c r="M270" t="b">
        <v>0</v>
      </c>
      <c r="N270" t="b">
        <v>0</v>
      </c>
      <c r="O270">
        <v>1500</v>
      </c>
      <c r="P270" t="b">
        <v>0</v>
      </c>
      <c r="Q270" t="b">
        <v>0</v>
      </c>
      <c r="R270" t="b">
        <v>0</v>
      </c>
      <c r="S270" t="s">
        <v>96</v>
      </c>
      <c r="T270" t="s">
        <v>112</v>
      </c>
    </row>
    <row r="271" spans="1:21" x14ac:dyDescent="0.3">
      <c r="A271" t="s">
        <v>376</v>
      </c>
      <c r="B271" s="1">
        <v>46101</v>
      </c>
      <c r="C271" s="1">
        <v>46102</v>
      </c>
      <c r="D271" s="1">
        <v>46104</v>
      </c>
      <c r="E271" s="1">
        <v>46105</v>
      </c>
      <c r="F271" t="s">
        <v>31</v>
      </c>
      <c r="G271" t="s">
        <v>57</v>
      </c>
      <c r="H271" t="s">
        <v>22</v>
      </c>
      <c r="I271" t="s">
        <v>43</v>
      </c>
      <c r="J271">
        <v>139.69999999999999</v>
      </c>
      <c r="K271">
        <v>2524.5500000000002</v>
      </c>
      <c r="L271">
        <v>4391000</v>
      </c>
      <c r="M271" t="b">
        <v>0</v>
      </c>
      <c r="N271" t="b">
        <v>0</v>
      </c>
      <c r="O271">
        <v>5000</v>
      </c>
      <c r="P271" t="b">
        <v>0</v>
      </c>
      <c r="Q271" t="b">
        <v>0</v>
      </c>
      <c r="R271" t="b">
        <v>0</v>
      </c>
      <c r="S271" t="s">
        <v>101</v>
      </c>
      <c r="T271" t="s">
        <v>118</v>
      </c>
      <c r="U271">
        <v>1</v>
      </c>
    </row>
    <row r="272" spans="1:21" x14ac:dyDescent="0.3">
      <c r="A272" t="s">
        <v>377</v>
      </c>
      <c r="B272" s="1">
        <v>46157</v>
      </c>
      <c r="C272" s="1">
        <v>46158</v>
      </c>
      <c r="D272" s="1">
        <v>46161</v>
      </c>
      <c r="E272" s="1">
        <v>46162</v>
      </c>
      <c r="F272" t="s">
        <v>34</v>
      </c>
      <c r="G272" t="s">
        <v>54</v>
      </c>
      <c r="H272" t="s">
        <v>24</v>
      </c>
      <c r="I272" t="s">
        <v>42</v>
      </c>
      <c r="J272">
        <v>442.4</v>
      </c>
      <c r="K272">
        <v>7585.3</v>
      </c>
      <c r="L272">
        <v>11645000</v>
      </c>
      <c r="M272" t="b">
        <v>0</v>
      </c>
      <c r="N272" t="b">
        <v>0</v>
      </c>
      <c r="O272">
        <v>16000</v>
      </c>
      <c r="P272" t="b">
        <v>0</v>
      </c>
      <c r="Q272" t="b">
        <v>0</v>
      </c>
      <c r="R272" t="b">
        <v>0</v>
      </c>
      <c r="S272" t="s">
        <v>101</v>
      </c>
      <c r="T272" t="s">
        <v>102</v>
      </c>
      <c r="U272">
        <v>1</v>
      </c>
    </row>
    <row r="273" spans="1:21" x14ac:dyDescent="0.3">
      <c r="A273" t="s">
        <v>378</v>
      </c>
      <c r="B273" s="1">
        <v>46185</v>
      </c>
      <c r="C273" s="1">
        <v>46186</v>
      </c>
      <c r="D273" s="1">
        <v>46189</v>
      </c>
      <c r="E273" s="1">
        <v>46189</v>
      </c>
      <c r="F273" t="s">
        <v>31</v>
      </c>
      <c r="G273" t="s">
        <v>59</v>
      </c>
      <c r="H273" t="s">
        <v>23</v>
      </c>
      <c r="I273" t="s">
        <v>42</v>
      </c>
      <c r="J273">
        <v>309.5</v>
      </c>
      <c r="K273">
        <v>6876.6</v>
      </c>
      <c r="L273">
        <v>8814000</v>
      </c>
      <c r="M273" t="b">
        <v>0</v>
      </c>
      <c r="N273" t="b">
        <v>0</v>
      </c>
      <c r="O273">
        <v>16000</v>
      </c>
      <c r="P273" t="b">
        <v>0</v>
      </c>
      <c r="Q273" t="b">
        <v>0</v>
      </c>
      <c r="R273" t="b">
        <v>0</v>
      </c>
      <c r="S273" t="s">
        <v>96</v>
      </c>
      <c r="T273" t="s">
        <v>99</v>
      </c>
    </row>
    <row r="274" spans="1:21" x14ac:dyDescent="0.3">
      <c r="A274" t="s">
        <v>379</v>
      </c>
      <c r="B274" s="1">
        <v>46196</v>
      </c>
      <c r="C274" s="1">
        <v>46197</v>
      </c>
      <c r="D274" s="1">
        <v>46199</v>
      </c>
      <c r="E274" s="1">
        <v>46199</v>
      </c>
      <c r="F274" t="s">
        <v>32</v>
      </c>
      <c r="G274" t="s">
        <v>63</v>
      </c>
      <c r="H274" t="s">
        <v>20</v>
      </c>
      <c r="I274" t="s">
        <v>43</v>
      </c>
      <c r="J274">
        <v>180.2</v>
      </c>
      <c r="K274">
        <v>3162.9</v>
      </c>
      <c r="L274">
        <v>4232000</v>
      </c>
      <c r="M274" t="b">
        <v>0</v>
      </c>
      <c r="N274" t="b">
        <v>0</v>
      </c>
      <c r="O274">
        <v>5000</v>
      </c>
      <c r="P274" t="b">
        <v>0</v>
      </c>
      <c r="Q274" t="b">
        <v>0</v>
      </c>
      <c r="R274" t="b">
        <v>0</v>
      </c>
      <c r="S274" t="s">
        <v>96</v>
      </c>
      <c r="T274" t="s">
        <v>99</v>
      </c>
    </row>
    <row r="275" spans="1:21" x14ac:dyDescent="0.3">
      <c r="A275" t="s">
        <v>380</v>
      </c>
      <c r="B275" s="1">
        <v>46029</v>
      </c>
      <c r="C275" s="1">
        <v>46029</v>
      </c>
      <c r="D275" s="1">
        <v>46032</v>
      </c>
      <c r="E275" s="1">
        <v>46033</v>
      </c>
      <c r="F275" t="s">
        <v>32</v>
      </c>
      <c r="G275" t="s">
        <v>58</v>
      </c>
      <c r="H275" t="s">
        <v>23</v>
      </c>
      <c r="I275" t="s">
        <v>42</v>
      </c>
      <c r="J275">
        <v>317.3</v>
      </c>
      <c r="K275">
        <v>4821.3</v>
      </c>
      <c r="L275">
        <v>8523000</v>
      </c>
      <c r="M275" t="b">
        <v>0</v>
      </c>
      <c r="N275" t="b">
        <v>0</v>
      </c>
      <c r="O275">
        <v>16000</v>
      </c>
      <c r="P275" t="b">
        <v>0</v>
      </c>
      <c r="Q275" t="b">
        <v>0</v>
      </c>
      <c r="R275" t="b">
        <v>0</v>
      </c>
      <c r="S275" t="s">
        <v>101</v>
      </c>
      <c r="T275" t="s">
        <v>104</v>
      </c>
      <c r="U275">
        <v>1</v>
      </c>
    </row>
    <row r="276" spans="1:21" x14ac:dyDescent="0.3">
      <c r="A276" t="s">
        <v>381</v>
      </c>
      <c r="B276" s="1">
        <v>46190</v>
      </c>
      <c r="C276" s="1">
        <v>46191</v>
      </c>
      <c r="D276" s="1">
        <v>46193</v>
      </c>
      <c r="F276" t="s">
        <v>34</v>
      </c>
      <c r="G276" t="s">
        <v>52</v>
      </c>
      <c r="H276" t="s">
        <v>21</v>
      </c>
      <c r="I276" t="s">
        <v>42</v>
      </c>
      <c r="J276">
        <v>277.60000000000002</v>
      </c>
      <c r="K276">
        <v>6993.6</v>
      </c>
      <c r="L276">
        <v>7277000</v>
      </c>
      <c r="M276" t="b">
        <v>0</v>
      </c>
      <c r="N276" t="b">
        <v>0</v>
      </c>
      <c r="O276">
        <v>16000</v>
      </c>
      <c r="P276" t="b">
        <v>0</v>
      </c>
      <c r="Q276" t="b">
        <v>0</v>
      </c>
      <c r="R276" t="b">
        <v>0</v>
      </c>
      <c r="S276" t="s">
        <v>203</v>
      </c>
      <c r="T276" t="s">
        <v>99</v>
      </c>
    </row>
    <row r="277" spans="1:21" x14ac:dyDescent="0.3">
      <c r="A277" t="s">
        <v>382</v>
      </c>
      <c r="B277" s="1">
        <v>46108</v>
      </c>
      <c r="C277" s="1">
        <v>46109</v>
      </c>
      <c r="D277" s="1">
        <v>46113</v>
      </c>
      <c r="E277" s="1">
        <v>46113</v>
      </c>
      <c r="F277" t="s">
        <v>34</v>
      </c>
      <c r="G277" t="s">
        <v>62</v>
      </c>
      <c r="H277" t="s">
        <v>23</v>
      </c>
      <c r="I277" t="s">
        <v>44</v>
      </c>
      <c r="J277">
        <v>738.9</v>
      </c>
      <c r="K277">
        <v>207.9</v>
      </c>
      <c r="L277">
        <v>7449000</v>
      </c>
      <c r="M277" t="b">
        <v>0</v>
      </c>
      <c r="N277" t="b">
        <v>0</v>
      </c>
      <c r="O277">
        <v>1500</v>
      </c>
      <c r="P277" t="b">
        <v>0</v>
      </c>
      <c r="Q277" t="b">
        <v>0</v>
      </c>
      <c r="R277" t="b">
        <v>0</v>
      </c>
      <c r="S277" t="s">
        <v>96</v>
      </c>
      <c r="T277" t="s">
        <v>118</v>
      </c>
    </row>
    <row r="278" spans="1:21" x14ac:dyDescent="0.3">
      <c r="A278" t="s">
        <v>383</v>
      </c>
      <c r="B278" s="1">
        <v>46197</v>
      </c>
      <c r="C278" s="1">
        <v>46198</v>
      </c>
      <c r="D278" s="1">
        <v>46200</v>
      </c>
      <c r="E278" s="1">
        <v>46200</v>
      </c>
      <c r="F278" t="s">
        <v>32</v>
      </c>
      <c r="G278" t="s">
        <v>55</v>
      </c>
      <c r="H278" t="s">
        <v>23</v>
      </c>
      <c r="I278" t="s">
        <v>45</v>
      </c>
      <c r="J278">
        <v>129.4</v>
      </c>
      <c r="K278">
        <v>398.2</v>
      </c>
      <c r="L278">
        <v>1672000</v>
      </c>
      <c r="M278" t="b">
        <v>0</v>
      </c>
      <c r="N278" t="b">
        <v>0</v>
      </c>
      <c r="O278">
        <v>1000</v>
      </c>
      <c r="P278" t="b">
        <v>0</v>
      </c>
      <c r="Q278" t="b">
        <v>0</v>
      </c>
      <c r="R278" t="b">
        <v>0</v>
      </c>
      <c r="S278" t="s">
        <v>96</v>
      </c>
      <c r="T278" t="s">
        <v>99</v>
      </c>
    </row>
    <row r="279" spans="1:21" x14ac:dyDescent="0.3">
      <c r="A279" t="s">
        <v>384</v>
      </c>
      <c r="B279" s="1">
        <v>46080</v>
      </c>
      <c r="C279" s="1">
        <v>46082</v>
      </c>
      <c r="D279" s="1">
        <v>46085</v>
      </c>
      <c r="E279" s="1">
        <v>46085</v>
      </c>
      <c r="F279" t="s">
        <v>33</v>
      </c>
      <c r="G279" t="s">
        <v>53</v>
      </c>
      <c r="H279" t="s">
        <v>20</v>
      </c>
      <c r="I279" t="s">
        <v>45</v>
      </c>
      <c r="J279">
        <v>554.5</v>
      </c>
      <c r="K279">
        <v>690</v>
      </c>
      <c r="L279">
        <v>5401000</v>
      </c>
      <c r="M279" t="b">
        <v>0</v>
      </c>
      <c r="N279" t="b">
        <v>0</v>
      </c>
      <c r="O279">
        <v>1000</v>
      </c>
      <c r="P279" t="b">
        <v>0</v>
      </c>
      <c r="Q279" t="b">
        <v>0</v>
      </c>
      <c r="R279" t="b">
        <v>0</v>
      </c>
      <c r="S279" t="s">
        <v>96</v>
      </c>
      <c r="T279" t="s">
        <v>118</v>
      </c>
    </row>
    <row r="280" spans="1:21" x14ac:dyDescent="0.3">
      <c r="A280" t="s">
        <v>385</v>
      </c>
      <c r="B280" s="1">
        <v>46047</v>
      </c>
      <c r="C280" s="1">
        <v>46048</v>
      </c>
      <c r="D280" s="1">
        <v>46052</v>
      </c>
      <c r="E280" s="1">
        <v>46051</v>
      </c>
      <c r="F280" t="s">
        <v>31</v>
      </c>
      <c r="G280" t="s">
        <v>60</v>
      </c>
      <c r="H280" t="s">
        <v>22</v>
      </c>
      <c r="I280" t="s">
        <v>43</v>
      </c>
      <c r="J280">
        <v>606.4</v>
      </c>
      <c r="K280">
        <v>2773.7</v>
      </c>
      <c r="L280">
        <v>10029000</v>
      </c>
      <c r="M280" t="b">
        <v>0</v>
      </c>
      <c r="N280" t="b">
        <v>0</v>
      </c>
      <c r="O280">
        <v>5000</v>
      </c>
      <c r="P280" t="b">
        <v>0</v>
      </c>
      <c r="Q280" t="b">
        <v>0</v>
      </c>
      <c r="R280" t="b">
        <v>0</v>
      </c>
      <c r="S280" t="s">
        <v>96</v>
      </c>
      <c r="T280" t="s">
        <v>104</v>
      </c>
    </row>
    <row r="281" spans="1:21" x14ac:dyDescent="0.3">
      <c r="A281" t="s">
        <v>386</v>
      </c>
      <c r="B281" s="1">
        <v>46200</v>
      </c>
      <c r="C281" s="1">
        <v>46202</v>
      </c>
      <c r="D281" s="1">
        <v>46205</v>
      </c>
      <c r="E281" s="1">
        <v>46206</v>
      </c>
      <c r="F281" t="s">
        <v>33</v>
      </c>
      <c r="G281" t="s">
        <v>52</v>
      </c>
      <c r="H281" t="s">
        <v>24</v>
      </c>
      <c r="I281" t="s">
        <v>43</v>
      </c>
      <c r="J281">
        <v>580.20000000000005</v>
      </c>
      <c r="K281">
        <v>2385.1</v>
      </c>
      <c r="L281">
        <v>7597000</v>
      </c>
      <c r="M281" t="b">
        <v>0</v>
      </c>
      <c r="N281" t="b">
        <v>0</v>
      </c>
      <c r="O281">
        <v>5000</v>
      </c>
      <c r="P281" t="b">
        <v>0</v>
      </c>
      <c r="Q281" t="b">
        <v>0</v>
      </c>
      <c r="R281" t="b">
        <v>0</v>
      </c>
      <c r="S281" t="s">
        <v>101</v>
      </c>
      <c r="T281" t="s">
        <v>99</v>
      </c>
      <c r="U281">
        <v>1</v>
      </c>
    </row>
    <row r="282" spans="1:21" x14ac:dyDescent="0.3">
      <c r="A282" t="s">
        <v>387</v>
      </c>
      <c r="B282" s="1">
        <v>46133</v>
      </c>
      <c r="C282" s="1">
        <v>46133</v>
      </c>
      <c r="D282" s="1">
        <v>46137</v>
      </c>
      <c r="E282" s="1">
        <v>46137</v>
      </c>
      <c r="F282" t="s">
        <v>33</v>
      </c>
      <c r="G282" t="s">
        <v>56</v>
      </c>
      <c r="H282" t="s">
        <v>21</v>
      </c>
      <c r="I282" t="s">
        <v>45</v>
      </c>
      <c r="J282">
        <v>1525.3</v>
      </c>
      <c r="K282">
        <v>116.1</v>
      </c>
      <c r="L282">
        <v>13623000</v>
      </c>
      <c r="M282" t="b">
        <v>0</v>
      </c>
      <c r="N282" t="b">
        <v>0</v>
      </c>
      <c r="O282">
        <v>1000</v>
      </c>
      <c r="P282" t="b">
        <v>0</v>
      </c>
      <c r="Q282" t="b">
        <v>0</v>
      </c>
      <c r="R282" t="b">
        <v>0</v>
      </c>
      <c r="S282" t="s">
        <v>96</v>
      </c>
      <c r="T282" t="s">
        <v>112</v>
      </c>
    </row>
    <row r="283" spans="1:21" x14ac:dyDescent="0.3">
      <c r="A283" t="s">
        <v>388</v>
      </c>
      <c r="B283" s="1">
        <v>46198</v>
      </c>
      <c r="C283" s="1">
        <v>46199</v>
      </c>
      <c r="D283" s="1">
        <v>46201</v>
      </c>
      <c r="E283" s="1">
        <v>46203</v>
      </c>
      <c r="F283" t="s">
        <v>32</v>
      </c>
      <c r="G283" t="s">
        <v>53</v>
      </c>
      <c r="H283" t="s">
        <v>24</v>
      </c>
      <c r="I283" t="s">
        <v>42</v>
      </c>
      <c r="J283">
        <v>272.39999999999998</v>
      </c>
      <c r="K283">
        <v>8942.9</v>
      </c>
      <c r="L283">
        <v>8603000</v>
      </c>
      <c r="M283" t="b">
        <v>0</v>
      </c>
      <c r="N283" t="b">
        <v>0</v>
      </c>
      <c r="O283">
        <v>16000</v>
      </c>
      <c r="P283" t="b">
        <v>0</v>
      </c>
      <c r="Q283" t="b">
        <v>0</v>
      </c>
      <c r="R283" t="b">
        <v>0</v>
      </c>
      <c r="S283" t="s">
        <v>101</v>
      </c>
      <c r="T283" t="s">
        <v>99</v>
      </c>
      <c r="U283">
        <v>2</v>
      </c>
    </row>
    <row r="284" spans="1:21" x14ac:dyDescent="0.3">
      <c r="A284" t="s">
        <v>389</v>
      </c>
      <c r="B284" s="1">
        <v>46046</v>
      </c>
      <c r="C284" s="1">
        <v>46047</v>
      </c>
      <c r="D284" s="1">
        <v>46049</v>
      </c>
      <c r="E284" s="1">
        <v>46049</v>
      </c>
      <c r="F284" t="s">
        <v>32</v>
      </c>
      <c r="G284" t="s">
        <v>57</v>
      </c>
      <c r="H284" t="s">
        <v>20</v>
      </c>
      <c r="I284" t="s">
        <v>45</v>
      </c>
      <c r="J284">
        <v>17.899999999999999</v>
      </c>
      <c r="K284">
        <v>493.1</v>
      </c>
      <c r="L284">
        <v>765000</v>
      </c>
      <c r="M284" t="b">
        <v>0</v>
      </c>
      <c r="N284" t="b">
        <v>0</v>
      </c>
      <c r="O284">
        <v>1000</v>
      </c>
      <c r="P284" t="b">
        <v>0</v>
      </c>
      <c r="Q284" t="b">
        <v>0</v>
      </c>
      <c r="R284" t="b">
        <v>0</v>
      </c>
      <c r="S284" t="s">
        <v>96</v>
      </c>
      <c r="T284" t="s">
        <v>104</v>
      </c>
    </row>
    <row r="285" spans="1:21" x14ac:dyDescent="0.3">
      <c r="A285" t="s">
        <v>390</v>
      </c>
      <c r="B285" s="1">
        <v>46160</v>
      </c>
      <c r="C285" s="1">
        <v>46162</v>
      </c>
      <c r="D285" s="1">
        <v>46163</v>
      </c>
      <c r="E285" s="1">
        <v>46163</v>
      </c>
      <c r="F285" t="s">
        <v>31</v>
      </c>
      <c r="G285" t="s">
        <v>61</v>
      </c>
      <c r="H285" t="s">
        <v>24</v>
      </c>
      <c r="I285" t="s">
        <v>45</v>
      </c>
      <c r="J285">
        <v>53.6</v>
      </c>
      <c r="K285">
        <v>375.7</v>
      </c>
      <c r="L285">
        <v>1120000</v>
      </c>
      <c r="M285" t="b">
        <v>0</v>
      </c>
      <c r="N285" t="b">
        <v>0</v>
      </c>
      <c r="O285">
        <v>1000</v>
      </c>
      <c r="P285" t="b">
        <v>0</v>
      </c>
      <c r="Q285" t="b">
        <v>0</v>
      </c>
      <c r="R285" t="b">
        <v>0</v>
      </c>
      <c r="S285" t="s">
        <v>96</v>
      </c>
      <c r="T285" t="s">
        <v>102</v>
      </c>
    </row>
    <row r="286" spans="1:21" x14ac:dyDescent="0.3">
      <c r="A286" t="s">
        <v>391</v>
      </c>
      <c r="B286" s="1">
        <v>46034</v>
      </c>
      <c r="C286" s="1">
        <v>46035</v>
      </c>
      <c r="D286" s="1">
        <v>46038</v>
      </c>
      <c r="E286" s="1">
        <v>46038</v>
      </c>
      <c r="F286" t="s">
        <v>34</v>
      </c>
      <c r="G286" t="s">
        <v>53</v>
      </c>
      <c r="H286" t="s">
        <v>22</v>
      </c>
      <c r="I286" t="s">
        <v>43</v>
      </c>
      <c r="J286">
        <v>312.7</v>
      </c>
      <c r="K286">
        <v>1305.3</v>
      </c>
      <c r="L286">
        <v>5178000</v>
      </c>
      <c r="M286" t="b">
        <v>0</v>
      </c>
      <c r="N286" t="b">
        <v>0</v>
      </c>
      <c r="O286">
        <v>5000</v>
      </c>
      <c r="P286" t="b">
        <v>0</v>
      </c>
      <c r="Q286" t="b">
        <v>0</v>
      </c>
      <c r="R286" t="b">
        <v>0</v>
      </c>
      <c r="S286" t="s">
        <v>96</v>
      </c>
      <c r="T286" t="s">
        <v>104</v>
      </c>
    </row>
    <row r="287" spans="1:21" x14ac:dyDescent="0.3">
      <c r="A287" t="s">
        <v>392</v>
      </c>
      <c r="B287" s="1">
        <v>46085</v>
      </c>
      <c r="C287" s="1">
        <v>46086</v>
      </c>
      <c r="D287" s="1">
        <v>46089</v>
      </c>
      <c r="E287" s="1">
        <v>46089</v>
      </c>
      <c r="F287" t="s">
        <v>34</v>
      </c>
      <c r="G287" t="s">
        <v>57</v>
      </c>
      <c r="H287" t="s">
        <v>24</v>
      </c>
      <c r="I287" t="s">
        <v>42</v>
      </c>
      <c r="J287">
        <v>165.5</v>
      </c>
      <c r="K287">
        <v>6344.9</v>
      </c>
      <c r="L287">
        <v>5310000</v>
      </c>
      <c r="M287" t="b">
        <v>0</v>
      </c>
      <c r="N287" t="b">
        <v>0</v>
      </c>
      <c r="O287">
        <v>16000</v>
      </c>
      <c r="P287" t="b">
        <v>0</v>
      </c>
      <c r="Q287" t="b">
        <v>0</v>
      </c>
      <c r="R287" t="b">
        <v>0</v>
      </c>
      <c r="S287" t="s">
        <v>96</v>
      </c>
      <c r="T287" t="s">
        <v>118</v>
      </c>
    </row>
    <row r="288" spans="1:21" x14ac:dyDescent="0.3">
      <c r="A288" t="s">
        <v>393</v>
      </c>
      <c r="B288" s="1">
        <v>46168</v>
      </c>
      <c r="C288" s="1">
        <v>46168</v>
      </c>
      <c r="D288" s="1">
        <v>46171</v>
      </c>
      <c r="E288" s="1">
        <v>46171</v>
      </c>
      <c r="F288" t="s">
        <v>31</v>
      </c>
      <c r="G288" t="s">
        <v>53</v>
      </c>
      <c r="H288" t="s">
        <v>20</v>
      </c>
      <c r="I288" t="s">
        <v>42</v>
      </c>
      <c r="J288">
        <v>318.39999999999998</v>
      </c>
      <c r="K288">
        <v>14340.9</v>
      </c>
      <c r="L288">
        <v>10579000</v>
      </c>
      <c r="M288" t="b">
        <v>0</v>
      </c>
      <c r="N288" t="b">
        <v>0</v>
      </c>
      <c r="O288">
        <v>16000</v>
      </c>
      <c r="P288" t="b">
        <v>0</v>
      </c>
      <c r="Q288" t="b">
        <v>0</v>
      </c>
      <c r="R288" t="b">
        <v>0</v>
      </c>
      <c r="S288" t="s">
        <v>96</v>
      </c>
      <c r="T288" t="s">
        <v>102</v>
      </c>
    </row>
    <row r="289" spans="1:21" x14ac:dyDescent="0.3">
      <c r="A289" t="s">
        <v>394</v>
      </c>
      <c r="B289" s="1">
        <v>46102</v>
      </c>
      <c r="C289" s="1">
        <v>46102</v>
      </c>
      <c r="D289" s="1">
        <v>46103</v>
      </c>
      <c r="E289" s="1">
        <v>46103</v>
      </c>
      <c r="F289" t="s">
        <v>32</v>
      </c>
      <c r="G289" t="s">
        <v>57</v>
      </c>
      <c r="H289" t="s">
        <v>21</v>
      </c>
      <c r="I289" t="s">
        <v>42</v>
      </c>
      <c r="J289">
        <v>19.5</v>
      </c>
      <c r="K289">
        <v>6882.5</v>
      </c>
      <c r="L289">
        <v>3305000</v>
      </c>
      <c r="M289" t="b">
        <v>0</v>
      </c>
      <c r="N289" t="b">
        <v>0</v>
      </c>
      <c r="O289">
        <v>16000</v>
      </c>
      <c r="P289" t="b">
        <v>0</v>
      </c>
      <c r="Q289" t="b">
        <v>0</v>
      </c>
      <c r="R289" t="b">
        <v>0</v>
      </c>
      <c r="S289" t="s">
        <v>96</v>
      </c>
      <c r="T289" t="s">
        <v>118</v>
      </c>
    </row>
    <row r="290" spans="1:21" x14ac:dyDescent="0.3">
      <c r="A290" t="s">
        <v>395</v>
      </c>
      <c r="B290" s="1">
        <v>46055</v>
      </c>
      <c r="C290" s="1">
        <v>46057</v>
      </c>
      <c r="D290" s="1">
        <v>46060</v>
      </c>
      <c r="E290" s="1">
        <v>46060</v>
      </c>
      <c r="F290" t="s">
        <v>32</v>
      </c>
      <c r="G290" t="s">
        <v>52</v>
      </c>
      <c r="H290" t="s">
        <v>21</v>
      </c>
      <c r="I290" t="s">
        <v>43</v>
      </c>
      <c r="J290">
        <v>300.3</v>
      </c>
      <c r="K290">
        <v>4140.6000000000004</v>
      </c>
      <c r="L290">
        <v>5550000</v>
      </c>
      <c r="M290" t="b">
        <v>0</v>
      </c>
      <c r="N290" t="b">
        <v>0</v>
      </c>
      <c r="O290">
        <v>5000</v>
      </c>
      <c r="P290" t="b">
        <v>0</v>
      </c>
      <c r="Q290" t="b">
        <v>0</v>
      </c>
      <c r="R290" t="b">
        <v>0</v>
      </c>
      <c r="S290" t="s">
        <v>96</v>
      </c>
      <c r="T290" t="s">
        <v>115</v>
      </c>
    </row>
    <row r="291" spans="1:21" x14ac:dyDescent="0.3">
      <c r="A291" t="s">
        <v>396</v>
      </c>
      <c r="B291" s="1">
        <v>46164</v>
      </c>
      <c r="C291" s="1">
        <v>46165</v>
      </c>
      <c r="D291" s="1">
        <v>46170</v>
      </c>
      <c r="E291" s="1">
        <v>46170</v>
      </c>
      <c r="F291" t="s">
        <v>31</v>
      </c>
      <c r="G291" t="s">
        <v>62</v>
      </c>
      <c r="H291" t="s">
        <v>22</v>
      </c>
      <c r="I291" t="s">
        <v>43</v>
      </c>
      <c r="J291">
        <v>717.8</v>
      </c>
      <c r="K291">
        <v>1630.4</v>
      </c>
      <c r="L291">
        <v>9971000</v>
      </c>
      <c r="M291" t="b">
        <v>0</v>
      </c>
      <c r="N291" t="b">
        <v>0</v>
      </c>
      <c r="O291">
        <v>5000</v>
      </c>
      <c r="P291" t="b">
        <v>0</v>
      </c>
      <c r="Q291" t="b">
        <v>0</v>
      </c>
      <c r="R291" t="b">
        <v>0</v>
      </c>
      <c r="S291" t="s">
        <v>96</v>
      </c>
      <c r="T291" t="s">
        <v>102</v>
      </c>
    </row>
    <row r="292" spans="1:21" x14ac:dyDescent="0.3">
      <c r="A292" t="s">
        <v>397</v>
      </c>
      <c r="B292" s="1">
        <v>46044</v>
      </c>
      <c r="C292" s="1">
        <v>46044</v>
      </c>
      <c r="D292" s="1">
        <v>46047</v>
      </c>
      <c r="E292" s="1">
        <v>46047</v>
      </c>
      <c r="F292" t="s">
        <v>33</v>
      </c>
      <c r="G292" t="s">
        <v>57</v>
      </c>
      <c r="H292" t="s">
        <v>22</v>
      </c>
      <c r="I292" t="s">
        <v>43</v>
      </c>
      <c r="J292">
        <v>451.8</v>
      </c>
      <c r="K292">
        <v>1715.2</v>
      </c>
      <c r="L292">
        <v>7816000</v>
      </c>
      <c r="M292" t="b">
        <v>0</v>
      </c>
      <c r="N292" t="b">
        <v>0</v>
      </c>
      <c r="O292">
        <v>5000</v>
      </c>
      <c r="P292" t="b">
        <v>0</v>
      </c>
      <c r="Q292" t="b">
        <v>0</v>
      </c>
      <c r="R292" t="b">
        <v>0</v>
      </c>
      <c r="S292" t="s">
        <v>96</v>
      </c>
      <c r="T292" t="s">
        <v>104</v>
      </c>
    </row>
    <row r="293" spans="1:21" x14ac:dyDescent="0.3">
      <c r="A293" t="s">
        <v>398</v>
      </c>
      <c r="B293" s="1">
        <v>46164</v>
      </c>
      <c r="C293" s="1">
        <v>46165</v>
      </c>
      <c r="D293" s="1">
        <v>46168</v>
      </c>
      <c r="E293" s="1">
        <v>46170</v>
      </c>
      <c r="F293" t="s">
        <v>31</v>
      </c>
      <c r="G293" t="s">
        <v>53</v>
      </c>
      <c r="H293" t="s">
        <v>20</v>
      </c>
      <c r="I293" t="s">
        <v>43</v>
      </c>
      <c r="J293">
        <v>315.7</v>
      </c>
      <c r="K293">
        <v>2973.9</v>
      </c>
      <c r="L293">
        <v>6123000</v>
      </c>
      <c r="M293" t="b">
        <v>0</v>
      </c>
      <c r="N293" t="b">
        <v>0</v>
      </c>
      <c r="O293">
        <v>5000</v>
      </c>
      <c r="P293" t="b">
        <v>0</v>
      </c>
      <c r="Q293" t="b">
        <v>0</v>
      </c>
      <c r="R293" t="b">
        <v>0</v>
      </c>
      <c r="S293" t="s">
        <v>101</v>
      </c>
      <c r="T293" t="s">
        <v>102</v>
      </c>
      <c r="U293">
        <v>2</v>
      </c>
    </row>
    <row r="294" spans="1:21" x14ac:dyDescent="0.3">
      <c r="A294" t="s">
        <v>399</v>
      </c>
      <c r="B294" s="1">
        <v>46141</v>
      </c>
      <c r="C294" s="1">
        <v>46143</v>
      </c>
      <c r="D294" s="1">
        <v>46147</v>
      </c>
      <c r="E294" s="1">
        <v>46147</v>
      </c>
      <c r="F294" t="s">
        <v>34</v>
      </c>
      <c r="G294" t="s">
        <v>62</v>
      </c>
      <c r="H294" t="s">
        <v>21</v>
      </c>
      <c r="I294" t="s">
        <v>45</v>
      </c>
      <c r="J294">
        <v>709.5</v>
      </c>
      <c r="K294">
        <v>214.1</v>
      </c>
      <c r="L294">
        <v>6296000</v>
      </c>
      <c r="M294" t="b">
        <v>0</v>
      </c>
      <c r="N294" t="b">
        <v>0</v>
      </c>
      <c r="O294">
        <v>1000</v>
      </c>
      <c r="P294" t="b">
        <v>0</v>
      </c>
      <c r="Q294" t="b">
        <v>0</v>
      </c>
      <c r="R294" t="b">
        <v>0</v>
      </c>
      <c r="S294" t="s">
        <v>96</v>
      </c>
      <c r="T294" t="s">
        <v>102</v>
      </c>
    </row>
    <row r="295" spans="1:21" x14ac:dyDescent="0.3">
      <c r="A295" t="s">
        <v>400</v>
      </c>
      <c r="B295" s="1">
        <v>46181</v>
      </c>
      <c r="C295" s="1">
        <v>46182</v>
      </c>
      <c r="D295" s="1">
        <v>46185</v>
      </c>
      <c r="E295" s="1">
        <v>46186</v>
      </c>
      <c r="F295" t="s">
        <v>34</v>
      </c>
      <c r="G295" t="s">
        <v>53</v>
      </c>
      <c r="H295" t="s">
        <v>21</v>
      </c>
      <c r="I295" t="s">
        <v>43</v>
      </c>
      <c r="J295">
        <v>319.60000000000002</v>
      </c>
      <c r="K295">
        <v>4297.1000000000004</v>
      </c>
      <c r="L295">
        <v>6414000</v>
      </c>
      <c r="M295" t="b">
        <v>0</v>
      </c>
      <c r="N295" t="b">
        <v>0</v>
      </c>
      <c r="O295">
        <v>5000</v>
      </c>
      <c r="P295" t="b">
        <v>0</v>
      </c>
      <c r="Q295" t="b">
        <v>0</v>
      </c>
      <c r="R295" t="b">
        <v>0</v>
      </c>
      <c r="S295" t="s">
        <v>101</v>
      </c>
      <c r="T295" t="s">
        <v>99</v>
      </c>
      <c r="U295">
        <v>1</v>
      </c>
    </row>
    <row r="296" spans="1:21" x14ac:dyDescent="0.3">
      <c r="A296" t="s">
        <v>401</v>
      </c>
      <c r="B296" s="1">
        <v>46140</v>
      </c>
      <c r="C296" s="1">
        <v>46141</v>
      </c>
      <c r="D296" s="1">
        <v>46144</v>
      </c>
      <c r="E296" s="1">
        <v>46144</v>
      </c>
      <c r="F296" t="s">
        <v>33</v>
      </c>
      <c r="G296" t="s">
        <v>62</v>
      </c>
      <c r="H296" t="s">
        <v>24</v>
      </c>
      <c r="I296" t="s">
        <v>43</v>
      </c>
      <c r="J296">
        <v>142.4</v>
      </c>
      <c r="K296">
        <v>1397.9</v>
      </c>
      <c r="L296">
        <v>3186000</v>
      </c>
      <c r="M296" t="b">
        <v>0</v>
      </c>
      <c r="N296" t="b">
        <v>0</v>
      </c>
      <c r="O296">
        <v>5000</v>
      </c>
      <c r="P296" t="b">
        <v>0</v>
      </c>
      <c r="Q296" t="b">
        <v>0</v>
      </c>
      <c r="R296" t="b">
        <v>0</v>
      </c>
      <c r="S296" t="s">
        <v>96</v>
      </c>
      <c r="T296" t="s">
        <v>112</v>
      </c>
    </row>
    <row r="297" spans="1:21" x14ac:dyDescent="0.3">
      <c r="A297" t="s">
        <v>402</v>
      </c>
      <c r="B297" s="1">
        <v>46103</v>
      </c>
      <c r="C297" s="1">
        <v>46104</v>
      </c>
      <c r="D297" s="1">
        <v>46105</v>
      </c>
      <c r="E297" s="1">
        <v>46105</v>
      </c>
      <c r="F297" t="s">
        <v>34</v>
      </c>
      <c r="G297" t="s">
        <v>61</v>
      </c>
      <c r="H297" t="s">
        <v>22</v>
      </c>
      <c r="I297" t="s">
        <v>45</v>
      </c>
      <c r="J297">
        <v>27.3</v>
      </c>
      <c r="K297">
        <v>490.5</v>
      </c>
      <c r="L297">
        <v>945000</v>
      </c>
      <c r="M297" t="b">
        <v>0</v>
      </c>
      <c r="N297" t="b">
        <v>0</v>
      </c>
      <c r="O297">
        <v>1000</v>
      </c>
      <c r="P297" t="b">
        <v>0</v>
      </c>
      <c r="Q297" t="b">
        <v>0</v>
      </c>
      <c r="R297" t="b">
        <v>0</v>
      </c>
      <c r="S297" t="s">
        <v>96</v>
      </c>
      <c r="T297" t="s">
        <v>118</v>
      </c>
    </row>
    <row r="298" spans="1:21" x14ac:dyDescent="0.3">
      <c r="A298" t="s">
        <v>403</v>
      </c>
      <c r="B298" s="1">
        <v>46029</v>
      </c>
      <c r="C298" s="1">
        <v>46030</v>
      </c>
      <c r="D298" s="1">
        <v>46033</v>
      </c>
      <c r="E298" s="1">
        <v>46033</v>
      </c>
      <c r="F298" t="s">
        <v>32</v>
      </c>
      <c r="G298" t="s">
        <v>60</v>
      </c>
      <c r="H298" t="s">
        <v>21</v>
      </c>
      <c r="I298" t="s">
        <v>42</v>
      </c>
      <c r="J298">
        <v>443.9</v>
      </c>
      <c r="K298">
        <v>13258.3</v>
      </c>
      <c r="L298">
        <v>12395000</v>
      </c>
      <c r="M298" t="b">
        <v>0</v>
      </c>
      <c r="N298" t="b">
        <v>0</v>
      </c>
      <c r="O298">
        <v>16000</v>
      </c>
      <c r="P298" t="b">
        <v>0</v>
      </c>
      <c r="Q298" t="b">
        <v>0</v>
      </c>
      <c r="R298" t="b">
        <v>0</v>
      </c>
      <c r="S298" t="s">
        <v>96</v>
      </c>
      <c r="T298" t="s">
        <v>104</v>
      </c>
    </row>
    <row r="299" spans="1:21" x14ac:dyDescent="0.3">
      <c r="A299" t="s">
        <v>404</v>
      </c>
      <c r="B299" s="1">
        <v>46089</v>
      </c>
      <c r="C299" s="1">
        <v>46089</v>
      </c>
      <c r="D299" s="1">
        <v>46091</v>
      </c>
      <c r="E299" s="1">
        <v>46092</v>
      </c>
      <c r="F299" t="s">
        <v>34</v>
      </c>
      <c r="G299" t="s">
        <v>59</v>
      </c>
      <c r="H299" t="s">
        <v>20</v>
      </c>
      <c r="I299" t="s">
        <v>42</v>
      </c>
      <c r="J299">
        <v>294.89999999999998</v>
      </c>
      <c r="K299">
        <v>7167.6</v>
      </c>
      <c r="L299">
        <v>7583000</v>
      </c>
      <c r="M299" t="b">
        <v>0</v>
      </c>
      <c r="N299" t="b">
        <v>0</v>
      </c>
      <c r="O299">
        <v>16000</v>
      </c>
      <c r="P299" t="b">
        <v>0</v>
      </c>
      <c r="Q299" t="b">
        <v>0</v>
      </c>
      <c r="R299" t="b">
        <v>0</v>
      </c>
      <c r="S299" t="s">
        <v>101</v>
      </c>
      <c r="T299" t="s">
        <v>118</v>
      </c>
      <c r="U299">
        <v>1</v>
      </c>
    </row>
    <row r="300" spans="1:21" x14ac:dyDescent="0.3">
      <c r="A300" t="s">
        <v>405</v>
      </c>
      <c r="B300" s="1">
        <v>46135</v>
      </c>
      <c r="C300" s="1">
        <v>46136</v>
      </c>
      <c r="D300" s="1">
        <v>46138</v>
      </c>
      <c r="E300" s="1">
        <v>46138</v>
      </c>
      <c r="F300" t="s">
        <v>32</v>
      </c>
      <c r="G300" t="s">
        <v>63</v>
      </c>
      <c r="H300" t="s">
        <v>20</v>
      </c>
      <c r="I300" t="s">
        <v>43</v>
      </c>
      <c r="J300">
        <v>198.4</v>
      </c>
      <c r="K300">
        <v>4211.6000000000004</v>
      </c>
      <c r="L300">
        <v>4581000</v>
      </c>
      <c r="M300" t="b">
        <v>0</v>
      </c>
      <c r="N300" t="b">
        <v>0</v>
      </c>
      <c r="O300">
        <v>5000</v>
      </c>
      <c r="P300" t="b">
        <v>0</v>
      </c>
      <c r="Q300" t="b">
        <v>0</v>
      </c>
      <c r="R300" t="b">
        <v>0</v>
      </c>
      <c r="S300" t="s">
        <v>96</v>
      </c>
      <c r="T300" t="s">
        <v>112</v>
      </c>
    </row>
    <row r="301" spans="1:21" x14ac:dyDescent="0.3">
      <c r="A301" t="s">
        <v>406</v>
      </c>
      <c r="B301" s="1">
        <v>46194</v>
      </c>
      <c r="C301" s="1">
        <v>46194</v>
      </c>
      <c r="D301" s="1">
        <v>46198</v>
      </c>
      <c r="E301" s="1">
        <v>46198</v>
      </c>
      <c r="F301" t="s">
        <v>33</v>
      </c>
      <c r="G301" t="s">
        <v>56</v>
      </c>
      <c r="H301" t="s">
        <v>21</v>
      </c>
      <c r="I301" t="s">
        <v>44</v>
      </c>
      <c r="J301">
        <v>1566.9</v>
      </c>
      <c r="K301">
        <v>232.4</v>
      </c>
      <c r="L301">
        <v>16605000</v>
      </c>
      <c r="M301" t="b">
        <v>0</v>
      </c>
      <c r="N301" t="b">
        <v>0</v>
      </c>
      <c r="O301">
        <v>1500</v>
      </c>
      <c r="P301" t="b">
        <v>0</v>
      </c>
      <c r="Q301" t="b">
        <v>0</v>
      </c>
      <c r="R301" t="b">
        <v>0</v>
      </c>
      <c r="S301" t="s">
        <v>96</v>
      </c>
      <c r="T301" t="s">
        <v>99</v>
      </c>
    </row>
    <row r="302" spans="1:21" x14ac:dyDescent="0.3">
      <c r="A302" t="s">
        <v>407</v>
      </c>
      <c r="B302" s="1">
        <v>46120</v>
      </c>
      <c r="C302" s="1">
        <v>46122</v>
      </c>
      <c r="D302" s="1">
        <v>46125</v>
      </c>
      <c r="E302" s="1">
        <v>46126</v>
      </c>
      <c r="F302" t="s">
        <v>31</v>
      </c>
      <c r="G302" t="s">
        <v>60</v>
      </c>
      <c r="H302" t="s">
        <v>24</v>
      </c>
      <c r="I302" t="s">
        <v>43</v>
      </c>
      <c r="J302">
        <v>573.4</v>
      </c>
      <c r="K302">
        <v>4046.7</v>
      </c>
      <c r="L302">
        <v>9693000</v>
      </c>
      <c r="M302" t="b">
        <v>0</v>
      </c>
      <c r="N302" t="b">
        <v>0</v>
      </c>
      <c r="O302">
        <v>5000</v>
      </c>
      <c r="P302" t="b">
        <v>0</v>
      </c>
      <c r="Q302" t="b">
        <v>0</v>
      </c>
      <c r="R302" t="b">
        <v>0</v>
      </c>
      <c r="S302" t="s">
        <v>101</v>
      </c>
      <c r="T302" t="s">
        <v>112</v>
      </c>
      <c r="U302">
        <v>1</v>
      </c>
    </row>
    <row r="303" spans="1:21" x14ac:dyDescent="0.3">
      <c r="A303" t="s">
        <v>408</v>
      </c>
      <c r="B303" s="1">
        <v>46139</v>
      </c>
      <c r="C303" s="1">
        <v>46140</v>
      </c>
      <c r="D303" s="1">
        <v>46144</v>
      </c>
      <c r="E303" s="1">
        <v>46145</v>
      </c>
      <c r="F303" t="s">
        <v>34</v>
      </c>
      <c r="G303" t="s">
        <v>56</v>
      </c>
      <c r="H303" t="s">
        <v>21</v>
      </c>
      <c r="I303" t="s">
        <v>42</v>
      </c>
      <c r="J303">
        <v>873.1</v>
      </c>
      <c r="K303">
        <v>7520.7</v>
      </c>
      <c r="L303">
        <v>19802000</v>
      </c>
      <c r="M303" t="b">
        <v>0</v>
      </c>
      <c r="N303" t="b">
        <v>0</v>
      </c>
      <c r="O303">
        <v>16000</v>
      </c>
      <c r="P303" t="b">
        <v>0</v>
      </c>
      <c r="Q303" t="b">
        <v>0</v>
      </c>
      <c r="R303" t="b">
        <v>0</v>
      </c>
      <c r="S303" t="s">
        <v>101</v>
      </c>
      <c r="T303" t="s">
        <v>112</v>
      </c>
      <c r="U303">
        <v>1</v>
      </c>
    </row>
    <row r="304" spans="1:21" x14ac:dyDescent="0.3">
      <c r="A304" t="s">
        <v>409</v>
      </c>
      <c r="B304" s="1">
        <v>46057</v>
      </c>
      <c r="C304" s="1">
        <v>46059</v>
      </c>
      <c r="D304" s="1">
        <v>46061</v>
      </c>
      <c r="E304" s="1">
        <v>46061</v>
      </c>
      <c r="F304" t="s">
        <v>33</v>
      </c>
      <c r="G304" t="s">
        <v>62</v>
      </c>
      <c r="H304" t="s">
        <v>22</v>
      </c>
      <c r="I304" t="s">
        <v>43</v>
      </c>
      <c r="J304">
        <v>155.4</v>
      </c>
      <c r="K304">
        <v>2338.6</v>
      </c>
      <c r="L304">
        <v>3923000</v>
      </c>
      <c r="M304" t="b">
        <v>0</v>
      </c>
      <c r="N304" t="b">
        <v>0</v>
      </c>
      <c r="O304">
        <v>5000</v>
      </c>
      <c r="P304" t="b">
        <v>0</v>
      </c>
      <c r="Q304" t="b">
        <v>0</v>
      </c>
      <c r="R304" t="b">
        <v>0</v>
      </c>
      <c r="S304" t="s">
        <v>96</v>
      </c>
      <c r="T304" t="s">
        <v>115</v>
      </c>
    </row>
    <row r="305" spans="1:21" x14ac:dyDescent="0.3">
      <c r="A305" t="s">
        <v>410</v>
      </c>
      <c r="B305" s="1">
        <v>46199</v>
      </c>
      <c r="C305" s="1">
        <v>46199</v>
      </c>
      <c r="D305" s="1">
        <v>46201</v>
      </c>
      <c r="E305" s="1">
        <v>46202</v>
      </c>
      <c r="F305" t="s">
        <v>33</v>
      </c>
      <c r="G305" t="s">
        <v>62</v>
      </c>
      <c r="H305" t="s">
        <v>23</v>
      </c>
      <c r="I305" t="s">
        <v>42</v>
      </c>
      <c r="J305">
        <v>148</v>
      </c>
      <c r="K305">
        <v>2809.6</v>
      </c>
      <c r="L305">
        <v>4952000</v>
      </c>
      <c r="M305" t="b">
        <v>0</v>
      </c>
      <c r="N305" t="b">
        <v>0</v>
      </c>
      <c r="O305">
        <v>16000</v>
      </c>
      <c r="P305" t="b">
        <v>0</v>
      </c>
      <c r="Q305" t="b">
        <v>0</v>
      </c>
      <c r="R305" t="b">
        <v>0</v>
      </c>
      <c r="S305" t="s">
        <v>101</v>
      </c>
      <c r="T305" t="s">
        <v>99</v>
      </c>
      <c r="U305">
        <v>1</v>
      </c>
    </row>
    <row r="306" spans="1:21" x14ac:dyDescent="0.3">
      <c r="A306" t="s">
        <v>411</v>
      </c>
      <c r="B306" s="1">
        <v>46184</v>
      </c>
      <c r="C306" s="1">
        <v>46184</v>
      </c>
      <c r="D306" s="1">
        <v>46188</v>
      </c>
      <c r="F306" t="s">
        <v>34</v>
      </c>
      <c r="G306" t="s">
        <v>62</v>
      </c>
      <c r="H306" t="s">
        <v>23</v>
      </c>
      <c r="I306" t="s">
        <v>44</v>
      </c>
      <c r="J306">
        <v>819</v>
      </c>
      <c r="K306">
        <v>1081.4000000000001</v>
      </c>
      <c r="L306">
        <v>8760000</v>
      </c>
      <c r="M306" t="b">
        <v>0</v>
      </c>
      <c r="N306" t="b">
        <v>0</v>
      </c>
      <c r="O306">
        <v>1500</v>
      </c>
      <c r="P306" t="b">
        <v>0</v>
      </c>
      <c r="Q306" t="b">
        <v>0</v>
      </c>
      <c r="R306" t="b">
        <v>0</v>
      </c>
      <c r="S306" t="s">
        <v>203</v>
      </c>
      <c r="T306" t="s">
        <v>99</v>
      </c>
    </row>
    <row r="307" spans="1:21" x14ac:dyDescent="0.3">
      <c r="A307" t="s">
        <v>412</v>
      </c>
      <c r="B307" s="1">
        <v>46075</v>
      </c>
      <c r="C307" s="1">
        <v>46076</v>
      </c>
      <c r="D307" s="1">
        <v>46080</v>
      </c>
      <c r="E307" s="1">
        <v>46081</v>
      </c>
      <c r="F307" t="s">
        <v>32</v>
      </c>
      <c r="G307" t="s">
        <v>56</v>
      </c>
      <c r="H307" t="s">
        <v>22</v>
      </c>
      <c r="I307" t="s">
        <v>43</v>
      </c>
      <c r="J307">
        <v>1161.4000000000001</v>
      </c>
      <c r="K307">
        <v>1244.5999999999999</v>
      </c>
      <c r="L307">
        <v>15952000</v>
      </c>
      <c r="M307" t="b">
        <v>0</v>
      </c>
      <c r="N307" t="b">
        <v>0</v>
      </c>
      <c r="O307">
        <v>5000</v>
      </c>
      <c r="P307" t="b">
        <v>0</v>
      </c>
      <c r="Q307" t="b">
        <v>0</v>
      </c>
      <c r="R307" t="b">
        <v>0</v>
      </c>
      <c r="S307" t="s">
        <v>101</v>
      </c>
      <c r="T307" t="s">
        <v>115</v>
      </c>
      <c r="U307">
        <v>1</v>
      </c>
    </row>
    <row r="308" spans="1:21" x14ac:dyDescent="0.3">
      <c r="A308" t="s">
        <v>413</v>
      </c>
      <c r="B308" s="1">
        <v>46083</v>
      </c>
      <c r="C308" s="1">
        <v>46084</v>
      </c>
      <c r="D308" s="1">
        <v>46086</v>
      </c>
      <c r="E308" s="1">
        <v>46087</v>
      </c>
      <c r="F308" t="s">
        <v>34</v>
      </c>
      <c r="G308" t="s">
        <v>58</v>
      </c>
      <c r="H308" t="s">
        <v>20</v>
      </c>
      <c r="I308" t="s">
        <v>45</v>
      </c>
      <c r="J308">
        <v>137.19999999999999</v>
      </c>
      <c r="K308">
        <v>786.8</v>
      </c>
      <c r="L308">
        <v>1673000</v>
      </c>
      <c r="M308" t="b">
        <v>0</v>
      </c>
      <c r="N308" t="b">
        <v>0</v>
      </c>
      <c r="O308">
        <v>1000</v>
      </c>
      <c r="P308" t="b">
        <v>0</v>
      </c>
      <c r="Q308" t="b">
        <v>0</v>
      </c>
      <c r="R308" t="b">
        <v>0</v>
      </c>
      <c r="S308" t="s">
        <v>101</v>
      </c>
      <c r="T308" t="s">
        <v>118</v>
      </c>
      <c r="U308">
        <v>1</v>
      </c>
    </row>
    <row r="309" spans="1:21" x14ac:dyDescent="0.3">
      <c r="A309" t="s">
        <v>414</v>
      </c>
      <c r="B309" s="1">
        <v>46126</v>
      </c>
      <c r="C309" s="1">
        <v>46128</v>
      </c>
      <c r="D309" s="1">
        <v>46131</v>
      </c>
      <c r="E309" s="1">
        <v>46132</v>
      </c>
      <c r="F309" t="s">
        <v>34</v>
      </c>
      <c r="G309" t="s">
        <v>59</v>
      </c>
      <c r="H309" t="s">
        <v>23</v>
      </c>
      <c r="I309" t="s">
        <v>43</v>
      </c>
      <c r="J309">
        <v>337.3</v>
      </c>
      <c r="K309">
        <v>582.20000000000005</v>
      </c>
      <c r="L309">
        <v>4374000</v>
      </c>
      <c r="M309" t="b">
        <v>0</v>
      </c>
      <c r="N309" t="b">
        <v>0</v>
      </c>
      <c r="O309">
        <v>5000</v>
      </c>
      <c r="P309" t="b">
        <v>0</v>
      </c>
      <c r="Q309" t="b">
        <v>0</v>
      </c>
      <c r="R309" t="b">
        <v>0</v>
      </c>
      <c r="S309" t="s">
        <v>101</v>
      </c>
      <c r="T309" t="s">
        <v>112</v>
      </c>
      <c r="U309">
        <v>1</v>
      </c>
    </row>
    <row r="310" spans="1:21" x14ac:dyDescent="0.3">
      <c r="A310" t="s">
        <v>415</v>
      </c>
      <c r="B310" s="1">
        <v>46079</v>
      </c>
      <c r="C310" s="1">
        <v>46080</v>
      </c>
      <c r="D310" s="1">
        <v>46083</v>
      </c>
      <c r="E310" s="1">
        <v>46083</v>
      </c>
      <c r="F310" t="s">
        <v>33</v>
      </c>
      <c r="G310" t="s">
        <v>59</v>
      </c>
      <c r="H310" t="s">
        <v>21</v>
      </c>
      <c r="I310" t="s">
        <v>43</v>
      </c>
      <c r="J310">
        <v>495.6</v>
      </c>
      <c r="K310">
        <v>2208.1</v>
      </c>
      <c r="L310">
        <v>7039000</v>
      </c>
      <c r="M310" t="b">
        <v>0</v>
      </c>
      <c r="N310" t="b">
        <v>0</v>
      </c>
      <c r="O310">
        <v>5000</v>
      </c>
      <c r="P310" t="b">
        <v>0</v>
      </c>
      <c r="Q310" t="b">
        <v>0</v>
      </c>
      <c r="R310" t="b">
        <v>0</v>
      </c>
      <c r="S310" t="s">
        <v>96</v>
      </c>
      <c r="T310" t="s">
        <v>115</v>
      </c>
    </row>
    <row r="311" spans="1:21" x14ac:dyDescent="0.3">
      <c r="A311" t="s">
        <v>416</v>
      </c>
      <c r="B311" s="1">
        <v>46152</v>
      </c>
      <c r="C311" s="1">
        <v>46153</v>
      </c>
      <c r="D311" s="1">
        <v>46157</v>
      </c>
      <c r="E311" s="1">
        <v>46157</v>
      </c>
      <c r="F311" t="s">
        <v>34</v>
      </c>
      <c r="G311" t="s">
        <v>56</v>
      </c>
      <c r="H311" t="s">
        <v>22</v>
      </c>
      <c r="I311" t="s">
        <v>45</v>
      </c>
      <c r="J311">
        <v>833.3</v>
      </c>
      <c r="K311">
        <v>118.1</v>
      </c>
      <c r="L311">
        <v>9075000</v>
      </c>
      <c r="M311" t="b">
        <v>0</v>
      </c>
      <c r="N311" t="b">
        <v>0</v>
      </c>
      <c r="O311">
        <v>1000</v>
      </c>
      <c r="P311" t="b">
        <v>0</v>
      </c>
      <c r="Q311" t="b">
        <v>0</v>
      </c>
      <c r="R311" t="b">
        <v>0</v>
      </c>
      <c r="S311" t="s">
        <v>96</v>
      </c>
      <c r="T311" t="s">
        <v>102</v>
      </c>
    </row>
    <row r="312" spans="1:21" x14ac:dyDescent="0.3">
      <c r="A312" t="s">
        <v>417</v>
      </c>
      <c r="B312" s="1">
        <v>46197</v>
      </c>
      <c r="C312" s="1">
        <v>46199</v>
      </c>
      <c r="D312" s="1">
        <v>46201</v>
      </c>
      <c r="E312" s="1">
        <v>46200</v>
      </c>
      <c r="F312" t="s">
        <v>32</v>
      </c>
      <c r="G312" t="s">
        <v>61</v>
      </c>
      <c r="H312" t="s">
        <v>21</v>
      </c>
      <c r="I312" t="s">
        <v>43</v>
      </c>
      <c r="J312">
        <v>160.1</v>
      </c>
      <c r="K312">
        <v>3168.5</v>
      </c>
      <c r="L312">
        <v>4247000</v>
      </c>
      <c r="M312" t="b">
        <v>0</v>
      </c>
      <c r="N312" t="b">
        <v>0</v>
      </c>
      <c r="O312">
        <v>5000</v>
      </c>
      <c r="P312" t="b">
        <v>0</v>
      </c>
      <c r="Q312" t="b">
        <v>0</v>
      </c>
      <c r="R312" t="b">
        <v>0</v>
      </c>
      <c r="S312" t="s">
        <v>96</v>
      </c>
      <c r="T312" t="s">
        <v>99</v>
      </c>
    </row>
    <row r="313" spans="1:21" x14ac:dyDescent="0.3">
      <c r="A313" t="s">
        <v>418</v>
      </c>
      <c r="B313" s="1">
        <v>46059</v>
      </c>
      <c r="C313" s="1">
        <v>46059</v>
      </c>
      <c r="D313" s="1">
        <v>46061</v>
      </c>
      <c r="E313" s="1">
        <v>46062</v>
      </c>
      <c r="F313" t="s">
        <v>34</v>
      </c>
      <c r="G313" t="s">
        <v>58</v>
      </c>
      <c r="H313" t="s">
        <v>23</v>
      </c>
      <c r="I313" t="s">
        <v>42</v>
      </c>
      <c r="J313">
        <v>141.9</v>
      </c>
      <c r="K313">
        <v>10266.9</v>
      </c>
      <c r="L313">
        <v>5510000</v>
      </c>
      <c r="M313" t="b">
        <v>0</v>
      </c>
      <c r="N313" t="b">
        <v>0</v>
      </c>
      <c r="O313">
        <v>16000</v>
      </c>
      <c r="P313" t="b">
        <v>0</v>
      </c>
      <c r="Q313" t="b">
        <v>0</v>
      </c>
      <c r="R313" t="b">
        <v>0</v>
      </c>
      <c r="S313" t="s">
        <v>101</v>
      </c>
      <c r="T313" t="s">
        <v>115</v>
      </c>
      <c r="U313">
        <v>1</v>
      </c>
    </row>
    <row r="314" spans="1:21" x14ac:dyDescent="0.3">
      <c r="A314" t="s">
        <v>419</v>
      </c>
      <c r="B314" s="1">
        <v>46114</v>
      </c>
      <c r="C314" s="1">
        <v>46115</v>
      </c>
      <c r="D314" s="1">
        <v>46120</v>
      </c>
      <c r="E314" s="1">
        <v>46122</v>
      </c>
      <c r="F314" t="s">
        <v>34</v>
      </c>
      <c r="G314" t="s">
        <v>56</v>
      </c>
      <c r="H314" t="s">
        <v>24</v>
      </c>
      <c r="I314" t="s">
        <v>42</v>
      </c>
      <c r="J314">
        <v>925.3</v>
      </c>
      <c r="K314">
        <v>9340.6</v>
      </c>
      <c r="L314">
        <v>19050000</v>
      </c>
      <c r="M314" t="b">
        <v>0</v>
      </c>
      <c r="N314" t="b">
        <v>0</v>
      </c>
      <c r="O314">
        <v>16000</v>
      </c>
      <c r="P314" t="b">
        <v>0</v>
      </c>
      <c r="Q314" t="b">
        <v>0</v>
      </c>
      <c r="R314" t="b">
        <v>0</v>
      </c>
      <c r="S314" t="s">
        <v>101</v>
      </c>
      <c r="T314" t="s">
        <v>112</v>
      </c>
      <c r="U314">
        <v>2</v>
      </c>
    </row>
    <row r="315" spans="1:21" x14ac:dyDescent="0.3">
      <c r="A315" t="s">
        <v>420</v>
      </c>
      <c r="B315" s="1">
        <v>46065</v>
      </c>
      <c r="C315" s="1">
        <v>46066</v>
      </c>
      <c r="D315" s="1">
        <v>46069</v>
      </c>
      <c r="E315" s="1">
        <v>46069</v>
      </c>
      <c r="F315" t="s">
        <v>34</v>
      </c>
      <c r="G315" t="s">
        <v>52</v>
      </c>
      <c r="H315" t="s">
        <v>21</v>
      </c>
      <c r="I315" t="s">
        <v>44</v>
      </c>
      <c r="J315">
        <v>277.5</v>
      </c>
      <c r="K315">
        <v>569.4</v>
      </c>
      <c r="L315">
        <v>3383000</v>
      </c>
      <c r="M315" t="b">
        <v>0</v>
      </c>
      <c r="N315" t="b">
        <v>0</v>
      </c>
      <c r="O315">
        <v>1500</v>
      </c>
      <c r="P315" t="b">
        <v>0</v>
      </c>
      <c r="Q315" t="b">
        <v>0</v>
      </c>
      <c r="R315" t="b">
        <v>0</v>
      </c>
      <c r="S315" t="s">
        <v>96</v>
      </c>
      <c r="T315" t="s">
        <v>115</v>
      </c>
    </row>
    <row r="316" spans="1:21" x14ac:dyDescent="0.3">
      <c r="A316" t="s">
        <v>421</v>
      </c>
      <c r="B316" s="1">
        <v>46038</v>
      </c>
      <c r="C316" s="1">
        <v>46038</v>
      </c>
      <c r="D316" s="1">
        <v>46039</v>
      </c>
      <c r="E316" s="1">
        <v>46040</v>
      </c>
      <c r="F316" t="s">
        <v>32</v>
      </c>
      <c r="G316" t="s">
        <v>57</v>
      </c>
      <c r="H316" t="s">
        <v>20</v>
      </c>
      <c r="I316" t="s">
        <v>43</v>
      </c>
      <c r="J316">
        <v>23</v>
      </c>
      <c r="K316">
        <v>2795</v>
      </c>
      <c r="L316">
        <v>2039000</v>
      </c>
      <c r="M316" t="b">
        <v>0</v>
      </c>
      <c r="N316" t="b">
        <v>0</v>
      </c>
      <c r="O316">
        <v>5000</v>
      </c>
      <c r="P316" t="b">
        <v>0</v>
      </c>
      <c r="Q316" t="b">
        <v>0</v>
      </c>
      <c r="R316" t="b">
        <v>0</v>
      </c>
      <c r="S316" t="s">
        <v>101</v>
      </c>
      <c r="T316" t="s">
        <v>104</v>
      </c>
      <c r="U316">
        <v>1</v>
      </c>
    </row>
    <row r="317" spans="1:21" x14ac:dyDescent="0.3">
      <c r="A317" t="s">
        <v>422</v>
      </c>
      <c r="B317" s="1">
        <v>46194</v>
      </c>
      <c r="C317" s="1">
        <v>46195</v>
      </c>
      <c r="D317" s="1">
        <v>46198</v>
      </c>
      <c r="E317" s="1">
        <v>46198</v>
      </c>
      <c r="F317" t="s">
        <v>33</v>
      </c>
      <c r="G317" t="s">
        <v>59</v>
      </c>
      <c r="H317" t="s">
        <v>23</v>
      </c>
      <c r="I317" t="s">
        <v>43</v>
      </c>
      <c r="J317">
        <v>488.8</v>
      </c>
      <c r="K317">
        <v>4315.7</v>
      </c>
      <c r="L317">
        <v>8161000</v>
      </c>
      <c r="M317" t="b">
        <v>0</v>
      </c>
      <c r="N317" t="b">
        <v>0</v>
      </c>
      <c r="O317">
        <v>5000</v>
      </c>
      <c r="P317" t="b">
        <v>0</v>
      </c>
      <c r="Q317" t="b">
        <v>0</v>
      </c>
      <c r="R317" t="b">
        <v>0</v>
      </c>
      <c r="S317" t="s">
        <v>96</v>
      </c>
      <c r="T317" t="s">
        <v>99</v>
      </c>
    </row>
    <row r="318" spans="1:21" x14ac:dyDescent="0.3">
      <c r="A318" t="s">
        <v>423</v>
      </c>
      <c r="B318" s="1">
        <v>46092</v>
      </c>
      <c r="C318" s="1">
        <v>46093</v>
      </c>
      <c r="D318" s="1">
        <v>46096</v>
      </c>
      <c r="E318" s="1">
        <v>46096</v>
      </c>
      <c r="F318" t="s">
        <v>33</v>
      </c>
      <c r="G318" t="s">
        <v>57</v>
      </c>
      <c r="H318" t="s">
        <v>20</v>
      </c>
      <c r="I318" t="s">
        <v>43</v>
      </c>
      <c r="J318">
        <v>510.8</v>
      </c>
      <c r="K318">
        <v>4275.1000000000004</v>
      </c>
      <c r="L318">
        <v>8992000</v>
      </c>
      <c r="M318" t="b">
        <v>0</v>
      </c>
      <c r="N318" t="b">
        <v>0</v>
      </c>
      <c r="O318">
        <v>5000</v>
      </c>
      <c r="P318" t="b">
        <v>0</v>
      </c>
      <c r="Q318" t="b">
        <v>0</v>
      </c>
      <c r="R318" t="b">
        <v>0</v>
      </c>
      <c r="S318" t="s">
        <v>96</v>
      </c>
      <c r="T318" t="s">
        <v>118</v>
      </c>
    </row>
    <row r="319" spans="1:21" x14ac:dyDescent="0.3">
      <c r="A319" t="s">
        <v>424</v>
      </c>
      <c r="B319" s="1">
        <v>46142</v>
      </c>
      <c r="C319" s="1">
        <v>46143</v>
      </c>
      <c r="D319" s="1">
        <v>46144</v>
      </c>
      <c r="E319" s="1">
        <v>46145</v>
      </c>
      <c r="F319" t="s">
        <v>33</v>
      </c>
      <c r="G319" t="s">
        <v>60</v>
      </c>
      <c r="H319" t="s">
        <v>21</v>
      </c>
      <c r="I319" t="s">
        <v>43</v>
      </c>
      <c r="J319">
        <v>27.5</v>
      </c>
      <c r="K319">
        <v>2421.5</v>
      </c>
      <c r="L319">
        <v>1968000</v>
      </c>
      <c r="M319" t="b">
        <v>0</v>
      </c>
      <c r="N319" t="b">
        <v>0</v>
      </c>
      <c r="O319">
        <v>5000</v>
      </c>
      <c r="P319" t="b">
        <v>0</v>
      </c>
      <c r="Q319" t="b">
        <v>0</v>
      </c>
      <c r="R319" t="b">
        <v>0</v>
      </c>
      <c r="S319" t="s">
        <v>101</v>
      </c>
      <c r="T319" t="s">
        <v>102</v>
      </c>
      <c r="U319">
        <v>1</v>
      </c>
    </row>
    <row r="320" spans="1:21" x14ac:dyDescent="0.3">
      <c r="A320" t="s">
        <v>425</v>
      </c>
      <c r="B320" s="1">
        <v>46082</v>
      </c>
      <c r="C320" s="1">
        <v>46083</v>
      </c>
      <c r="D320" s="1">
        <v>46085</v>
      </c>
      <c r="E320" s="1">
        <v>46085</v>
      </c>
      <c r="F320" t="s">
        <v>31</v>
      </c>
      <c r="G320" t="s">
        <v>58</v>
      </c>
      <c r="H320" t="s">
        <v>20</v>
      </c>
      <c r="I320" t="s">
        <v>42</v>
      </c>
      <c r="J320">
        <v>202.7</v>
      </c>
      <c r="K320">
        <v>12329.6</v>
      </c>
      <c r="L320">
        <v>7800000</v>
      </c>
      <c r="M320" t="b">
        <v>0</v>
      </c>
      <c r="N320" t="b">
        <v>0</v>
      </c>
      <c r="O320">
        <v>16000</v>
      </c>
      <c r="P320" t="b">
        <v>0</v>
      </c>
      <c r="Q320" t="b">
        <v>0</v>
      </c>
      <c r="R320" t="b">
        <v>0</v>
      </c>
      <c r="S320" t="s">
        <v>96</v>
      </c>
      <c r="T320" t="s">
        <v>118</v>
      </c>
    </row>
    <row r="321" spans="1:21" x14ac:dyDescent="0.3">
      <c r="A321" t="s">
        <v>426</v>
      </c>
      <c r="B321" s="1">
        <v>46121</v>
      </c>
      <c r="C321" s="1">
        <v>46122</v>
      </c>
      <c r="D321" s="1">
        <v>46124</v>
      </c>
      <c r="E321" s="1">
        <v>46124</v>
      </c>
      <c r="F321" t="s">
        <v>34</v>
      </c>
      <c r="G321" t="s">
        <v>58</v>
      </c>
      <c r="H321" t="s">
        <v>21</v>
      </c>
      <c r="I321" t="s">
        <v>43</v>
      </c>
      <c r="J321">
        <v>153.4</v>
      </c>
      <c r="K321">
        <v>2310.6</v>
      </c>
      <c r="L321">
        <v>3750000</v>
      </c>
      <c r="M321" t="b">
        <v>0</v>
      </c>
      <c r="N321" t="b">
        <v>0</v>
      </c>
      <c r="O321">
        <v>5000</v>
      </c>
      <c r="P321" t="b">
        <v>0</v>
      </c>
      <c r="Q321" t="b">
        <v>0</v>
      </c>
      <c r="R321" t="b">
        <v>0</v>
      </c>
      <c r="S321" t="s">
        <v>96</v>
      </c>
      <c r="T321" t="s">
        <v>112</v>
      </c>
    </row>
    <row r="322" spans="1:21" x14ac:dyDescent="0.3">
      <c r="A322" t="s">
        <v>427</v>
      </c>
      <c r="B322" s="1">
        <v>46078</v>
      </c>
      <c r="C322" s="1">
        <v>46079</v>
      </c>
      <c r="D322" s="1">
        <v>46082</v>
      </c>
      <c r="F322" t="s">
        <v>31</v>
      </c>
      <c r="G322" t="s">
        <v>63</v>
      </c>
      <c r="H322" t="s">
        <v>20</v>
      </c>
      <c r="I322" t="s">
        <v>43</v>
      </c>
      <c r="J322">
        <v>321.5</v>
      </c>
      <c r="K322">
        <v>942.1</v>
      </c>
      <c r="L322">
        <v>5092000</v>
      </c>
      <c r="M322" t="b">
        <v>0</v>
      </c>
      <c r="N322" t="b">
        <v>0</v>
      </c>
      <c r="O322">
        <v>5000</v>
      </c>
      <c r="P322" t="b">
        <v>0</v>
      </c>
      <c r="Q322" t="b">
        <v>0</v>
      </c>
      <c r="R322" t="b">
        <v>0</v>
      </c>
      <c r="S322" t="s">
        <v>203</v>
      </c>
      <c r="T322" t="s">
        <v>115</v>
      </c>
    </row>
    <row r="323" spans="1:21" x14ac:dyDescent="0.3">
      <c r="A323" t="s">
        <v>428</v>
      </c>
      <c r="B323" s="1">
        <v>46189</v>
      </c>
      <c r="C323" s="1">
        <v>46190</v>
      </c>
      <c r="D323" s="1">
        <v>46194</v>
      </c>
      <c r="E323" s="1">
        <v>46194</v>
      </c>
      <c r="F323" t="s">
        <v>34</v>
      </c>
      <c r="G323" t="s">
        <v>62</v>
      </c>
      <c r="H323" t="s">
        <v>20</v>
      </c>
      <c r="I323" t="s">
        <v>44</v>
      </c>
      <c r="J323">
        <v>760.4</v>
      </c>
      <c r="K323">
        <v>1255.7</v>
      </c>
      <c r="L323">
        <v>7995000</v>
      </c>
      <c r="M323" t="b">
        <v>0</v>
      </c>
      <c r="N323" t="b">
        <v>0</v>
      </c>
      <c r="O323">
        <v>1500</v>
      </c>
      <c r="P323" t="b">
        <v>0</v>
      </c>
      <c r="Q323" t="b">
        <v>0</v>
      </c>
      <c r="R323" t="b">
        <v>0</v>
      </c>
      <c r="S323" t="s">
        <v>96</v>
      </c>
      <c r="T323" t="s">
        <v>99</v>
      </c>
    </row>
    <row r="324" spans="1:21" x14ac:dyDescent="0.3">
      <c r="A324" t="s">
        <v>429</v>
      </c>
      <c r="B324" s="1">
        <v>46141</v>
      </c>
      <c r="C324" s="1">
        <v>46142</v>
      </c>
      <c r="D324" s="1">
        <v>46145</v>
      </c>
      <c r="E324" s="1">
        <v>46146</v>
      </c>
      <c r="F324" t="s">
        <v>33</v>
      </c>
      <c r="G324" t="s">
        <v>59</v>
      </c>
      <c r="H324" t="s">
        <v>107</v>
      </c>
      <c r="I324" t="s">
        <v>45</v>
      </c>
      <c r="J324">
        <v>460</v>
      </c>
      <c r="K324">
        <v>204.8</v>
      </c>
      <c r="L324">
        <v>4481000</v>
      </c>
      <c r="M324" t="b">
        <v>0</v>
      </c>
      <c r="N324" t="b">
        <v>0</v>
      </c>
      <c r="O324">
        <v>1000</v>
      </c>
      <c r="P324" t="b">
        <v>0</v>
      </c>
      <c r="Q324" t="b">
        <v>0</v>
      </c>
      <c r="R324" t="b">
        <v>0</v>
      </c>
      <c r="S324" t="s">
        <v>101</v>
      </c>
      <c r="T324" t="s">
        <v>112</v>
      </c>
      <c r="U324">
        <v>1</v>
      </c>
    </row>
    <row r="325" spans="1:21" x14ac:dyDescent="0.3">
      <c r="A325" t="s">
        <v>430</v>
      </c>
      <c r="B325" s="1">
        <v>46121</v>
      </c>
      <c r="C325" s="1">
        <v>46123</v>
      </c>
      <c r="D325" s="1">
        <v>46128</v>
      </c>
      <c r="F325" t="s">
        <v>34</v>
      </c>
      <c r="G325" t="s">
        <v>62</v>
      </c>
      <c r="H325" t="s">
        <v>23</v>
      </c>
      <c r="I325" t="s">
        <v>44</v>
      </c>
      <c r="J325">
        <v>789</v>
      </c>
      <c r="K325">
        <v>1221</v>
      </c>
      <c r="L325">
        <v>8857000</v>
      </c>
      <c r="M325" t="b">
        <v>0</v>
      </c>
      <c r="N325" t="b">
        <v>0</v>
      </c>
      <c r="O325">
        <v>1500</v>
      </c>
      <c r="P325" t="b">
        <v>0</v>
      </c>
      <c r="Q325" t="b">
        <v>0</v>
      </c>
      <c r="R325" t="b">
        <v>0</v>
      </c>
      <c r="S325" t="s">
        <v>203</v>
      </c>
      <c r="T325" t="s">
        <v>112</v>
      </c>
    </row>
    <row r="326" spans="1:21" x14ac:dyDescent="0.3">
      <c r="A326" t="s">
        <v>431</v>
      </c>
      <c r="B326" s="1">
        <v>46201</v>
      </c>
      <c r="C326" s="1">
        <v>46202</v>
      </c>
      <c r="D326" s="1">
        <v>46205</v>
      </c>
      <c r="E326" s="1">
        <v>46205</v>
      </c>
      <c r="F326" t="s">
        <v>31</v>
      </c>
      <c r="G326" t="s">
        <v>53</v>
      </c>
      <c r="H326" t="s">
        <v>20</v>
      </c>
      <c r="I326" t="s">
        <v>42</v>
      </c>
      <c r="J326">
        <v>312.10000000000002</v>
      </c>
      <c r="K326">
        <v>13364.1</v>
      </c>
      <c r="L326">
        <v>10747000</v>
      </c>
      <c r="M326" t="b">
        <v>0</v>
      </c>
      <c r="N326" t="b">
        <v>0</v>
      </c>
      <c r="O326">
        <v>16000</v>
      </c>
      <c r="P326" t="b">
        <v>0</v>
      </c>
      <c r="Q326" t="b">
        <v>0</v>
      </c>
      <c r="R326" t="b">
        <v>0</v>
      </c>
      <c r="S326" t="s">
        <v>96</v>
      </c>
      <c r="T326" t="s">
        <v>99</v>
      </c>
    </row>
    <row r="327" spans="1:21" x14ac:dyDescent="0.3">
      <c r="A327" t="s">
        <v>432</v>
      </c>
      <c r="B327" s="1">
        <v>46040</v>
      </c>
      <c r="C327" s="1">
        <v>46041</v>
      </c>
      <c r="D327" s="1">
        <v>46045</v>
      </c>
      <c r="E327" s="1">
        <v>46045</v>
      </c>
      <c r="F327" t="s">
        <v>31</v>
      </c>
      <c r="G327" t="s">
        <v>60</v>
      </c>
      <c r="H327" t="s">
        <v>23</v>
      </c>
      <c r="I327" t="s">
        <v>43</v>
      </c>
      <c r="J327">
        <v>631</v>
      </c>
      <c r="K327">
        <v>3738.1</v>
      </c>
      <c r="L327">
        <v>8659000</v>
      </c>
      <c r="M327" t="b">
        <v>0</v>
      </c>
      <c r="N327" t="b">
        <v>0</v>
      </c>
      <c r="O327">
        <v>5000</v>
      </c>
      <c r="P327" t="b">
        <v>0</v>
      </c>
      <c r="Q327" t="b">
        <v>0</v>
      </c>
      <c r="R327" t="b">
        <v>0</v>
      </c>
      <c r="S327" t="s">
        <v>96</v>
      </c>
      <c r="T327" t="s">
        <v>104</v>
      </c>
    </row>
    <row r="328" spans="1:21" x14ac:dyDescent="0.3">
      <c r="A328" t="s">
        <v>433</v>
      </c>
      <c r="B328" s="1">
        <v>46203</v>
      </c>
      <c r="C328" s="1">
        <v>46204</v>
      </c>
      <c r="D328" s="1">
        <v>46205</v>
      </c>
      <c r="E328" s="1">
        <v>46207</v>
      </c>
      <c r="F328" t="s">
        <v>34</v>
      </c>
      <c r="G328" t="s">
        <v>55</v>
      </c>
      <c r="H328" t="s">
        <v>22</v>
      </c>
      <c r="I328" t="s">
        <v>44</v>
      </c>
      <c r="J328">
        <v>54</v>
      </c>
      <c r="K328">
        <v>429.1</v>
      </c>
      <c r="L328">
        <v>1376000</v>
      </c>
      <c r="M328" t="b">
        <v>0</v>
      </c>
      <c r="N328" t="b">
        <v>0</v>
      </c>
      <c r="O328">
        <v>1500</v>
      </c>
      <c r="P328" t="b">
        <v>0</v>
      </c>
      <c r="Q328" t="b">
        <v>0</v>
      </c>
      <c r="R328" t="b">
        <v>0</v>
      </c>
      <c r="S328" t="s">
        <v>101</v>
      </c>
      <c r="T328" t="s">
        <v>97</v>
      </c>
      <c r="U328">
        <v>2</v>
      </c>
    </row>
    <row r="329" spans="1:21" x14ac:dyDescent="0.3">
      <c r="A329" t="s">
        <v>434</v>
      </c>
      <c r="B329" s="1">
        <v>46128</v>
      </c>
      <c r="C329" s="1">
        <v>46129</v>
      </c>
      <c r="D329" s="1">
        <v>46132</v>
      </c>
      <c r="E329" s="1">
        <v>46132</v>
      </c>
      <c r="F329" t="s">
        <v>34</v>
      </c>
      <c r="G329" t="s">
        <v>63</v>
      </c>
      <c r="H329" t="s">
        <v>23</v>
      </c>
      <c r="I329" t="s">
        <v>45</v>
      </c>
      <c r="J329">
        <v>331.8</v>
      </c>
      <c r="K329">
        <v>469.1</v>
      </c>
      <c r="L329">
        <v>3714000</v>
      </c>
      <c r="M329" t="b">
        <v>0</v>
      </c>
      <c r="N329" t="b">
        <v>0</v>
      </c>
      <c r="O329">
        <v>1000</v>
      </c>
      <c r="P329" t="b">
        <v>0</v>
      </c>
      <c r="Q329" t="b">
        <v>0</v>
      </c>
      <c r="R329" t="b">
        <v>0</v>
      </c>
      <c r="S329" t="s">
        <v>96</v>
      </c>
      <c r="T329" t="s">
        <v>112</v>
      </c>
    </row>
    <row r="330" spans="1:21" x14ac:dyDescent="0.3">
      <c r="A330" t="s">
        <v>435</v>
      </c>
      <c r="B330" s="1">
        <v>46126</v>
      </c>
      <c r="C330" s="1">
        <v>46127</v>
      </c>
      <c r="D330" s="1">
        <v>46129</v>
      </c>
      <c r="E330" s="1">
        <v>46131</v>
      </c>
      <c r="F330" t="s">
        <v>32</v>
      </c>
      <c r="G330" t="s">
        <v>55</v>
      </c>
      <c r="H330" t="s">
        <v>107</v>
      </c>
      <c r="I330" t="s">
        <v>43</v>
      </c>
      <c r="J330">
        <v>129.69999999999999</v>
      </c>
      <c r="K330">
        <v>3281.8</v>
      </c>
      <c r="L330">
        <v>3167000</v>
      </c>
      <c r="M330" t="b">
        <v>0</v>
      </c>
      <c r="N330" t="b">
        <v>0</v>
      </c>
      <c r="O330">
        <v>5000</v>
      </c>
      <c r="P330" t="b">
        <v>0</v>
      </c>
      <c r="Q330" t="b">
        <v>0</v>
      </c>
      <c r="R330" t="b">
        <v>0</v>
      </c>
      <c r="S330" t="s">
        <v>101</v>
      </c>
      <c r="T330" t="s">
        <v>112</v>
      </c>
      <c r="U330">
        <v>2</v>
      </c>
    </row>
    <row r="331" spans="1:21" x14ac:dyDescent="0.3">
      <c r="A331" t="s">
        <v>436</v>
      </c>
      <c r="B331" s="1">
        <v>46146</v>
      </c>
      <c r="C331" s="1">
        <v>46148</v>
      </c>
      <c r="D331" s="1">
        <v>46152</v>
      </c>
      <c r="E331" s="1">
        <v>46153</v>
      </c>
      <c r="F331" t="s">
        <v>33</v>
      </c>
      <c r="G331" t="s">
        <v>56</v>
      </c>
      <c r="H331" t="s">
        <v>22</v>
      </c>
      <c r="I331" t="s">
        <v>45</v>
      </c>
      <c r="J331">
        <v>1537</v>
      </c>
      <c r="K331">
        <v>376</v>
      </c>
      <c r="L331">
        <v>13329000</v>
      </c>
      <c r="M331" t="b">
        <v>0</v>
      </c>
      <c r="N331" t="b">
        <v>0</v>
      </c>
      <c r="O331">
        <v>1000</v>
      </c>
      <c r="P331" t="b">
        <v>0</v>
      </c>
      <c r="Q331" t="b">
        <v>0</v>
      </c>
      <c r="R331" t="b">
        <v>0</v>
      </c>
      <c r="S331" t="s">
        <v>101</v>
      </c>
      <c r="T331" t="s">
        <v>102</v>
      </c>
      <c r="U331">
        <v>1</v>
      </c>
    </row>
    <row r="332" spans="1:21" x14ac:dyDescent="0.3">
      <c r="A332" t="s">
        <v>437</v>
      </c>
      <c r="B332" s="1">
        <v>46117</v>
      </c>
      <c r="C332" s="1">
        <v>46118</v>
      </c>
      <c r="D332" s="1">
        <v>46120</v>
      </c>
      <c r="E332" s="1">
        <v>46122</v>
      </c>
      <c r="F332" t="s">
        <v>34</v>
      </c>
      <c r="G332" t="s">
        <v>57</v>
      </c>
      <c r="H332" t="s">
        <v>23</v>
      </c>
      <c r="I332" t="s">
        <v>43</v>
      </c>
      <c r="J332">
        <v>157.5</v>
      </c>
      <c r="K332">
        <v>2541.6999999999998</v>
      </c>
      <c r="L332">
        <v>3049000</v>
      </c>
      <c r="M332" t="b">
        <v>0</v>
      </c>
      <c r="N332" t="b">
        <v>0</v>
      </c>
      <c r="O332">
        <v>5000</v>
      </c>
      <c r="P332" t="b">
        <v>0</v>
      </c>
      <c r="Q332" t="b">
        <v>0</v>
      </c>
      <c r="R332" t="b">
        <v>0</v>
      </c>
      <c r="S332" t="s">
        <v>101</v>
      </c>
      <c r="T332" t="s">
        <v>112</v>
      </c>
      <c r="U332">
        <v>2</v>
      </c>
    </row>
    <row r="333" spans="1:21" x14ac:dyDescent="0.3">
      <c r="A333" t="s">
        <v>438</v>
      </c>
      <c r="B333" s="1">
        <v>46049</v>
      </c>
      <c r="C333" s="1">
        <v>46050</v>
      </c>
      <c r="D333" s="1">
        <v>46053</v>
      </c>
      <c r="E333" s="1">
        <v>46053</v>
      </c>
      <c r="F333" t="s">
        <v>33</v>
      </c>
      <c r="G333" t="s">
        <v>59</v>
      </c>
      <c r="H333" t="s">
        <v>24</v>
      </c>
      <c r="I333" t="s">
        <v>43</v>
      </c>
      <c r="J333">
        <v>469.8</v>
      </c>
      <c r="K333">
        <v>3053.8</v>
      </c>
      <c r="L333">
        <v>5624000</v>
      </c>
      <c r="M333" t="b">
        <v>0</v>
      </c>
      <c r="N333" t="b">
        <v>0</v>
      </c>
      <c r="O333">
        <v>5000</v>
      </c>
      <c r="P333" t="b">
        <v>0</v>
      </c>
      <c r="Q333" t="b">
        <v>0</v>
      </c>
      <c r="R333" t="b">
        <v>0</v>
      </c>
      <c r="S333" t="s">
        <v>96</v>
      </c>
      <c r="T333" t="s">
        <v>104</v>
      </c>
    </row>
    <row r="334" spans="1:21" x14ac:dyDescent="0.3">
      <c r="A334" t="s">
        <v>439</v>
      </c>
      <c r="B334" s="1">
        <v>46086</v>
      </c>
      <c r="C334" s="1">
        <v>46087</v>
      </c>
      <c r="D334" s="1">
        <v>46089</v>
      </c>
      <c r="E334" s="1">
        <v>46089</v>
      </c>
      <c r="F334" t="s">
        <v>32</v>
      </c>
      <c r="G334" t="s">
        <v>59</v>
      </c>
      <c r="H334" t="s">
        <v>21</v>
      </c>
      <c r="I334" t="s">
        <v>43</v>
      </c>
      <c r="J334">
        <v>178.4</v>
      </c>
      <c r="K334">
        <v>4138.1000000000004</v>
      </c>
      <c r="L334">
        <v>4491000</v>
      </c>
      <c r="M334" t="b">
        <v>0</v>
      </c>
      <c r="N334" t="b">
        <v>0</v>
      </c>
      <c r="O334">
        <v>5000</v>
      </c>
      <c r="P334" t="b">
        <v>0</v>
      </c>
      <c r="Q334" t="b">
        <v>0</v>
      </c>
      <c r="R334" t="b">
        <v>0</v>
      </c>
      <c r="S334" t="s">
        <v>96</v>
      </c>
      <c r="T334" t="s">
        <v>118</v>
      </c>
    </row>
    <row r="335" spans="1:21" x14ac:dyDescent="0.3">
      <c r="A335" t="s">
        <v>440</v>
      </c>
      <c r="B335" s="1">
        <v>46127</v>
      </c>
      <c r="C335" s="1">
        <v>46128</v>
      </c>
      <c r="D335" s="1">
        <v>46129</v>
      </c>
      <c r="E335" s="1">
        <v>46129</v>
      </c>
      <c r="F335" t="s">
        <v>31</v>
      </c>
      <c r="G335" t="s">
        <v>61</v>
      </c>
      <c r="H335" t="s">
        <v>22</v>
      </c>
      <c r="I335" t="s">
        <v>43</v>
      </c>
      <c r="J335">
        <v>63.8</v>
      </c>
      <c r="K335">
        <v>2465</v>
      </c>
      <c r="L335">
        <v>2713000</v>
      </c>
      <c r="M335" t="b">
        <v>0</v>
      </c>
      <c r="N335" t="b">
        <v>0</v>
      </c>
      <c r="O335">
        <v>5000</v>
      </c>
      <c r="P335" t="b">
        <v>0</v>
      </c>
      <c r="Q335" t="b">
        <v>0</v>
      </c>
      <c r="R335" t="b">
        <v>0</v>
      </c>
      <c r="S335" t="s">
        <v>96</v>
      </c>
      <c r="T335" t="s">
        <v>112</v>
      </c>
    </row>
    <row r="336" spans="1:21" x14ac:dyDescent="0.3">
      <c r="A336" t="s">
        <v>441</v>
      </c>
      <c r="B336" s="1">
        <v>46169</v>
      </c>
      <c r="C336" s="1">
        <v>46169</v>
      </c>
      <c r="D336" s="1">
        <v>46173</v>
      </c>
      <c r="E336" s="1">
        <v>46174</v>
      </c>
      <c r="F336" t="s">
        <v>33</v>
      </c>
      <c r="G336" t="s">
        <v>61</v>
      </c>
      <c r="H336" t="s">
        <v>20</v>
      </c>
      <c r="I336" t="s">
        <v>44</v>
      </c>
      <c r="J336">
        <v>619.70000000000005</v>
      </c>
      <c r="K336">
        <v>623.1</v>
      </c>
      <c r="L336">
        <v>7278000</v>
      </c>
      <c r="M336" t="b">
        <v>0</v>
      </c>
      <c r="N336" t="b">
        <v>0</v>
      </c>
      <c r="O336">
        <v>1500</v>
      </c>
      <c r="P336" t="b">
        <v>0</v>
      </c>
      <c r="Q336" t="b">
        <v>0</v>
      </c>
      <c r="R336" t="b">
        <v>0</v>
      </c>
      <c r="S336" t="s">
        <v>101</v>
      </c>
      <c r="T336" t="s">
        <v>102</v>
      </c>
      <c r="U336">
        <v>1</v>
      </c>
    </row>
    <row r="337" spans="1:21" x14ac:dyDescent="0.3">
      <c r="A337" t="s">
        <v>442</v>
      </c>
      <c r="B337" s="1">
        <v>46105</v>
      </c>
      <c r="C337" s="1">
        <v>46106</v>
      </c>
      <c r="D337" s="1">
        <v>46108</v>
      </c>
      <c r="E337" s="1">
        <v>46108</v>
      </c>
      <c r="F337" t="s">
        <v>33</v>
      </c>
      <c r="G337" t="s">
        <v>60</v>
      </c>
      <c r="H337" t="s">
        <v>24</v>
      </c>
      <c r="I337" t="s">
        <v>43</v>
      </c>
      <c r="J337">
        <v>26.9</v>
      </c>
      <c r="K337">
        <v>1888.3</v>
      </c>
      <c r="L337">
        <v>1814000</v>
      </c>
      <c r="M337" t="b">
        <v>0</v>
      </c>
      <c r="N337" t="b">
        <v>0</v>
      </c>
      <c r="O337">
        <v>5000</v>
      </c>
      <c r="P337" t="b">
        <v>0</v>
      </c>
      <c r="Q337" t="b">
        <v>0</v>
      </c>
      <c r="R337" t="b">
        <v>0</v>
      </c>
      <c r="S337" t="s">
        <v>96</v>
      </c>
      <c r="T337" t="s">
        <v>118</v>
      </c>
    </row>
    <row r="338" spans="1:21" x14ac:dyDescent="0.3">
      <c r="A338" t="s">
        <v>443</v>
      </c>
      <c r="B338" s="1">
        <v>46106</v>
      </c>
      <c r="C338" s="1">
        <v>46108</v>
      </c>
      <c r="D338" s="1">
        <v>46112</v>
      </c>
      <c r="E338" s="1">
        <v>46112</v>
      </c>
      <c r="F338" t="s">
        <v>34</v>
      </c>
      <c r="G338" t="s">
        <v>56</v>
      </c>
      <c r="H338" t="s">
        <v>21</v>
      </c>
      <c r="I338" t="s">
        <v>42</v>
      </c>
      <c r="J338">
        <v>924.5</v>
      </c>
      <c r="K338">
        <v>7190.4</v>
      </c>
      <c r="L338">
        <v>18594000</v>
      </c>
      <c r="M338" t="b">
        <v>0</v>
      </c>
      <c r="N338" t="b">
        <v>0</v>
      </c>
      <c r="O338">
        <v>16000</v>
      </c>
      <c r="P338" t="b">
        <v>0</v>
      </c>
      <c r="Q338" t="b">
        <v>0</v>
      </c>
      <c r="R338" t="b">
        <v>0</v>
      </c>
      <c r="S338" t="s">
        <v>96</v>
      </c>
      <c r="T338" t="s">
        <v>118</v>
      </c>
    </row>
    <row r="339" spans="1:21" x14ac:dyDescent="0.3">
      <c r="A339" t="s">
        <v>444</v>
      </c>
      <c r="B339" s="1">
        <v>46138</v>
      </c>
      <c r="C339" s="1">
        <v>46139</v>
      </c>
      <c r="D339" s="1">
        <v>46140</v>
      </c>
      <c r="E339" s="1">
        <v>46141</v>
      </c>
      <c r="F339" t="s">
        <v>34</v>
      </c>
      <c r="G339" t="s">
        <v>61</v>
      </c>
      <c r="H339" t="s">
        <v>22</v>
      </c>
      <c r="I339" t="s">
        <v>43</v>
      </c>
      <c r="J339">
        <v>29.6</v>
      </c>
      <c r="K339">
        <v>4165.3</v>
      </c>
      <c r="L339">
        <v>2737000</v>
      </c>
      <c r="M339" t="b">
        <v>0</v>
      </c>
      <c r="N339" t="b">
        <v>0</v>
      </c>
      <c r="O339">
        <v>5000</v>
      </c>
      <c r="P339" t="b">
        <v>0</v>
      </c>
      <c r="Q339" t="b">
        <v>0</v>
      </c>
      <c r="R339" t="b">
        <v>0</v>
      </c>
      <c r="S339" t="s">
        <v>101</v>
      </c>
      <c r="T339" t="s">
        <v>112</v>
      </c>
      <c r="U339">
        <v>1</v>
      </c>
    </row>
    <row r="340" spans="1:21" x14ac:dyDescent="0.3">
      <c r="A340" t="s">
        <v>445</v>
      </c>
      <c r="B340" s="1">
        <v>46032</v>
      </c>
      <c r="C340" s="1">
        <v>46033</v>
      </c>
      <c r="D340" s="1">
        <v>46037</v>
      </c>
      <c r="E340" s="1">
        <v>46037</v>
      </c>
      <c r="F340" t="s">
        <v>33</v>
      </c>
      <c r="G340" t="s">
        <v>58</v>
      </c>
      <c r="H340" t="s">
        <v>23</v>
      </c>
      <c r="I340" t="s">
        <v>44</v>
      </c>
      <c r="J340">
        <v>680.2</v>
      </c>
      <c r="K340">
        <v>407.7</v>
      </c>
      <c r="L340">
        <v>8611000</v>
      </c>
      <c r="M340" t="b">
        <v>0</v>
      </c>
      <c r="N340" t="b">
        <v>0</v>
      </c>
      <c r="O340">
        <v>1500</v>
      </c>
      <c r="P340" t="b">
        <v>0</v>
      </c>
      <c r="Q340" t="b">
        <v>0</v>
      </c>
      <c r="R340" t="b">
        <v>0</v>
      </c>
      <c r="S340" t="s">
        <v>96</v>
      </c>
      <c r="T340" t="s">
        <v>104</v>
      </c>
    </row>
    <row r="341" spans="1:21" x14ac:dyDescent="0.3">
      <c r="A341" t="s">
        <v>446</v>
      </c>
      <c r="B341" s="1">
        <v>46149</v>
      </c>
      <c r="C341" s="1">
        <v>46149</v>
      </c>
      <c r="D341" s="1">
        <v>46152</v>
      </c>
      <c r="E341" s="1">
        <v>46153</v>
      </c>
      <c r="F341" t="s">
        <v>34</v>
      </c>
      <c r="G341" t="s">
        <v>52</v>
      </c>
      <c r="H341" t="s">
        <v>22</v>
      </c>
      <c r="I341" t="s">
        <v>43</v>
      </c>
      <c r="J341">
        <v>298</v>
      </c>
      <c r="K341">
        <v>4134.5</v>
      </c>
      <c r="L341">
        <v>6424000</v>
      </c>
      <c r="M341" t="b">
        <v>0</v>
      </c>
      <c r="N341" t="b">
        <v>0</v>
      </c>
      <c r="O341">
        <v>5000</v>
      </c>
      <c r="P341" t="b">
        <v>0</v>
      </c>
      <c r="Q341" t="b">
        <v>0</v>
      </c>
      <c r="R341" t="b">
        <v>0</v>
      </c>
      <c r="S341" t="s">
        <v>101</v>
      </c>
      <c r="T341" t="s">
        <v>102</v>
      </c>
      <c r="U341">
        <v>1</v>
      </c>
    </row>
    <row r="342" spans="1:21" x14ac:dyDescent="0.3">
      <c r="A342" t="s">
        <v>447</v>
      </c>
      <c r="B342" s="1">
        <v>46050</v>
      </c>
      <c r="C342" s="1">
        <v>46050</v>
      </c>
      <c r="D342" s="1">
        <v>46052</v>
      </c>
      <c r="E342" s="1">
        <v>46052</v>
      </c>
      <c r="F342" t="s">
        <v>32</v>
      </c>
      <c r="G342" t="s">
        <v>53</v>
      </c>
      <c r="H342" t="s">
        <v>22</v>
      </c>
      <c r="I342" t="s">
        <v>42</v>
      </c>
      <c r="J342">
        <v>254.3</v>
      </c>
      <c r="K342">
        <v>14099.8</v>
      </c>
      <c r="L342">
        <v>10270000</v>
      </c>
      <c r="M342" t="b">
        <v>0</v>
      </c>
      <c r="N342" t="b">
        <v>0</v>
      </c>
      <c r="O342">
        <v>16000</v>
      </c>
      <c r="P342" t="b">
        <v>0</v>
      </c>
      <c r="Q342" t="b">
        <v>0</v>
      </c>
      <c r="R342" t="b">
        <v>0</v>
      </c>
      <c r="S342" t="s">
        <v>96</v>
      </c>
      <c r="T342" t="s">
        <v>104</v>
      </c>
    </row>
    <row r="343" spans="1:21" x14ac:dyDescent="0.3">
      <c r="A343" t="s">
        <v>448</v>
      </c>
      <c r="B343" s="1">
        <v>46098</v>
      </c>
      <c r="C343" s="1">
        <v>46099</v>
      </c>
      <c r="D343" s="1">
        <v>46102</v>
      </c>
      <c r="E343" s="1">
        <v>46102</v>
      </c>
      <c r="F343" t="s">
        <v>34</v>
      </c>
      <c r="G343" t="s">
        <v>54</v>
      </c>
      <c r="H343" t="s">
        <v>20</v>
      </c>
      <c r="I343" t="s">
        <v>43</v>
      </c>
      <c r="J343">
        <v>434.9</v>
      </c>
      <c r="K343">
        <v>3158</v>
      </c>
      <c r="L343">
        <v>6703000</v>
      </c>
      <c r="M343" t="b">
        <v>0</v>
      </c>
      <c r="N343" t="b">
        <v>0</v>
      </c>
      <c r="O343">
        <v>5000</v>
      </c>
      <c r="P343" t="b">
        <v>0</v>
      </c>
      <c r="Q343" t="b">
        <v>0</v>
      </c>
      <c r="R343" t="b">
        <v>0</v>
      </c>
      <c r="S343" t="s">
        <v>96</v>
      </c>
      <c r="T343" t="s">
        <v>118</v>
      </c>
    </row>
    <row r="344" spans="1:21" x14ac:dyDescent="0.3">
      <c r="A344" t="s">
        <v>449</v>
      </c>
      <c r="B344" s="1">
        <v>46080</v>
      </c>
      <c r="C344" s="1">
        <v>46082</v>
      </c>
      <c r="D344" s="1">
        <v>46084</v>
      </c>
      <c r="E344" s="1">
        <v>46084</v>
      </c>
      <c r="F344" t="s">
        <v>34</v>
      </c>
      <c r="G344" t="s">
        <v>57</v>
      </c>
      <c r="H344" t="s">
        <v>22</v>
      </c>
      <c r="I344" t="s">
        <v>43</v>
      </c>
      <c r="J344">
        <v>148.5</v>
      </c>
      <c r="K344">
        <v>1358.3</v>
      </c>
      <c r="L344">
        <v>2921000</v>
      </c>
      <c r="M344" t="b">
        <v>0</v>
      </c>
      <c r="N344" t="b">
        <v>0</v>
      </c>
      <c r="O344">
        <v>5000</v>
      </c>
      <c r="P344" t="b">
        <v>0</v>
      </c>
      <c r="Q344" t="b">
        <v>0</v>
      </c>
      <c r="R344" t="b">
        <v>0</v>
      </c>
      <c r="S344" t="s">
        <v>96</v>
      </c>
      <c r="T344" t="s">
        <v>118</v>
      </c>
    </row>
    <row r="345" spans="1:21" x14ac:dyDescent="0.3">
      <c r="A345" t="s">
        <v>450</v>
      </c>
      <c r="B345" s="1">
        <v>46067</v>
      </c>
      <c r="C345" s="1">
        <v>46068</v>
      </c>
      <c r="D345" s="1">
        <v>46070</v>
      </c>
      <c r="E345" s="1">
        <v>46070</v>
      </c>
      <c r="F345" t="s">
        <v>31</v>
      </c>
      <c r="G345" t="s">
        <v>58</v>
      </c>
      <c r="H345" t="s">
        <v>23</v>
      </c>
      <c r="I345" t="s">
        <v>45</v>
      </c>
      <c r="J345">
        <v>196.8</v>
      </c>
      <c r="K345">
        <v>637.9</v>
      </c>
      <c r="L345">
        <v>2685000</v>
      </c>
      <c r="M345" t="b">
        <v>0</v>
      </c>
      <c r="N345" t="b">
        <v>0</v>
      </c>
      <c r="O345">
        <v>1000</v>
      </c>
      <c r="P345" t="b">
        <v>0</v>
      </c>
      <c r="Q345" t="b">
        <v>0</v>
      </c>
      <c r="R345" t="b">
        <v>0</v>
      </c>
      <c r="S345" t="s">
        <v>96</v>
      </c>
      <c r="T345" t="s">
        <v>115</v>
      </c>
    </row>
    <row r="346" spans="1:21" x14ac:dyDescent="0.3">
      <c r="A346" t="s">
        <v>451</v>
      </c>
      <c r="B346" s="1">
        <v>46122</v>
      </c>
      <c r="C346" s="1">
        <v>46122</v>
      </c>
      <c r="D346" s="1">
        <v>46126</v>
      </c>
      <c r="E346" s="1">
        <v>46126</v>
      </c>
      <c r="F346" t="s">
        <v>31</v>
      </c>
      <c r="G346" t="s">
        <v>62</v>
      </c>
      <c r="H346" t="s">
        <v>23</v>
      </c>
      <c r="I346" t="s">
        <v>42</v>
      </c>
      <c r="J346">
        <v>732.6</v>
      </c>
      <c r="K346">
        <v>12426.9</v>
      </c>
      <c r="L346">
        <v>18832000</v>
      </c>
      <c r="M346" t="b">
        <v>0</v>
      </c>
      <c r="N346" t="b">
        <v>0</v>
      </c>
      <c r="O346">
        <v>16000</v>
      </c>
      <c r="P346" t="b">
        <v>0</v>
      </c>
      <c r="Q346" t="b">
        <v>0</v>
      </c>
      <c r="R346" t="b">
        <v>0</v>
      </c>
      <c r="S346" t="s">
        <v>96</v>
      </c>
      <c r="T346" t="s">
        <v>112</v>
      </c>
    </row>
    <row r="347" spans="1:21" x14ac:dyDescent="0.3">
      <c r="A347" t="s">
        <v>452</v>
      </c>
      <c r="B347" s="1">
        <v>46192</v>
      </c>
      <c r="C347" s="1">
        <v>46193</v>
      </c>
      <c r="D347" s="1">
        <v>46196</v>
      </c>
      <c r="E347" s="1">
        <v>46195</v>
      </c>
      <c r="F347" t="s">
        <v>32</v>
      </c>
      <c r="G347" t="s">
        <v>54</v>
      </c>
      <c r="H347" t="s">
        <v>21</v>
      </c>
      <c r="I347" t="s">
        <v>43</v>
      </c>
      <c r="J347">
        <v>553.6</v>
      </c>
      <c r="K347">
        <v>2849.2</v>
      </c>
      <c r="L347">
        <v>8179000</v>
      </c>
      <c r="M347" t="b">
        <v>0</v>
      </c>
      <c r="N347" t="b">
        <v>0</v>
      </c>
      <c r="O347">
        <v>5000</v>
      </c>
      <c r="P347" t="b">
        <v>0</v>
      </c>
      <c r="Q347" t="b">
        <v>0</v>
      </c>
      <c r="R347" t="b">
        <v>0</v>
      </c>
      <c r="S347" t="s">
        <v>96</v>
      </c>
      <c r="T347" t="s">
        <v>99</v>
      </c>
    </row>
    <row r="348" spans="1:21" x14ac:dyDescent="0.3">
      <c r="A348" t="s">
        <v>453</v>
      </c>
      <c r="B348" s="1">
        <v>46174</v>
      </c>
      <c r="C348" s="1">
        <v>46175</v>
      </c>
      <c r="D348" s="1">
        <v>46177</v>
      </c>
      <c r="E348" s="1">
        <v>46177</v>
      </c>
      <c r="F348" t="s">
        <v>33</v>
      </c>
      <c r="G348" t="s">
        <v>62</v>
      </c>
      <c r="H348" t="s">
        <v>22</v>
      </c>
      <c r="I348" t="s">
        <v>43</v>
      </c>
      <c r="J348">
        <v>162.30000000000001</v>
      </c>
      <c r="K348">
        <v>2451.1999999999998</v>
      </c>
      <c r="L348">
        <v>3775000</v>
      </c>
      <c r="M348" t="b">
        <v>0</v>
      </c>
      <c r="N348" t="b">
        <v>0</v>
      </c>
      <c r="O348">
        <v>5000</v>
      </c>
      <c r="P348" t="b">
        <v>0</v>
      </c>
      <c r="Q348" t="b">
        <v>0</v>
      </c>
      <c r="R348" t="b">
        <v>0</v>
      </c>
      <c r="S348" t="s">
        <v>96</v>
      </c>
      <c r="T348" t="s">
        <v>99</v>
      </c>
    </row>
    <row r="349" spans="1:21" x14ac:dyDescent="0.3">
      <c r="A349" t="s">
        <v>454</v>
      </c>
      <c r="B349" s="1">
        <v>46183</v>
      </c>
      <c r="C349" s="1">
        <v>46185</v>
      </c>
      <c r="D349" s="1">
        <v>46188</v>
      </c>
      <c r="E349" s="1">
        <v>46188</v>
      </c>
      <c r="F349" t="s">
        <v>34</v>
      </c>
      <c r="G349" t="s">
        <v>54</v>
      </c>
      <c r="H349" t="s">
        <v>23</v>
      </c>
      <c r="I349" t="s">
        <v>42</v>
      </c>
      <c r="J349">
        <v>456.7</v>
      </c>
      <c r="K349">
        <v>6670.2</v>
      </c>
      <c r="L349">
        <v>10906000</v>
      </c>
      <c r="M349" t="b">
        <v>0</v>
      </c>
      <c r="N349" t="b">
        <v>0</v>
      </c>
      <c r="O349">
        <v>16000</v>
      </c>
      <c r="P349" t="b">
        <v>0</v>
      </c>
      <c r="Q349" t="b">
        <v>0</v>
      </c>
      <c r="R349" t="b">
        <v>0</v>
      </c>
      <c r="S349" t="s">
        <v>96</v>
      </c>
      <c r="T349" t="s">
        <v>99</v>
      </c>
    </row>
    <row r="350" spans="1:21" x14ac:dyDescent="0.3">
      <c r="A350" t="s">
        <v>455</v>
      </c>
      <c r="B350" s="1">
        <v>46152</v>
      </c>
      <c r="C350" s="1">
        <v>46153</v>
      </c>
      <c r="D350" s="1">
        <v>46156</v>
      </c>
      <c r="E350" s="1">
        <v>46156</v>
      </c>
      <c r="F350" t="s">
        <v>31</v>
      </c>
      <c r="G350" t="s">
        <v>59</v>
      </c>
      <c r="H350" t="s">
        <v>22</v>
      </c>
      <c r="I350" t="s">
        <v>45</v>
      </c>
      <c r="J350">
        <v>304.39999999999998</v>
      </c>
      <c r="K350">
        <v>352.4</v>
      </c>
      <c r="L350">
        <v>3171000</v>
      </c>
      <c r="M350" t="b">
        <v>0</v>
      </c>
      <c r="N350" t="b">
        <v>0</v>
      </c>
      <c r="O350">
        <v>1000</v>
      </c>
      <c r="P350" t="b">
        <v>0</v>
      </c>
      <c r="Q350" t="b">
        <v>0</v>
      </c>
      <c r="R350" t="b">
        <v>0</v>
      </c>
      <c r="S350" t="s">
        <v>96</v>
      </c>
      <c r="T350" t="s">
        <v>102</v>
      </c>
    </row>
    <row r="351" spans="1:21" x14ac:dyDescent="0.3">
      <c r="A351" t="s">
        <v>456</v>
      </c>
      <c r="B351" s="1">
        <v>46064</v>
      </c>
      <c r="C351" s="1">
        <v>46064</v>
      </c>
      <c r="D351" s="1">
        <v>46067</v>
      </c>
      <c r="E351" s="1">
        <v>46067</v>
      </c>
      <c r="F351" t="s">
        <v>34</v>
      </c>
      <c r="G351" t="s">
        <v>63</v>
      </c>
      <c r="H351" t="s">
        <v>21</v>
      </c>
      <c r="I351" t="s">
        <v>44</v>
      </c>
      <c r="J351">
        <v>331.2</v>
      </c>
      <c r="K351">
        <v>763.5</v>
      </c>
      <c r="L351">
        <v>3869000</v>
      </c>
      <c r="M351" t="b">
        <v>0</v>
      </c>
      <c r="N351" t="b">
        <v>0</v>
      </c>
      <c r="O351">
        <v>1500</v>
      </c>
      <c r="P351" t="b">
        <v>0</v>
      </c>
      <c r="Q351" t="b">
        <v>0</v>
      </c>
      <c r="R351" t="b">
        <v>0</v>
      </c>
      <c r="S351" t="s">
        <v>96</v>
      </c>
      <c r="T351" t="s">
        <v>115</v>
      </c>
    </row>
    <row r="352" spans="1:21" x14ac:dyDescent="0.3">
      <c r="A352" t="s">
        <v>457</v>
      </c>
      <c r="B352" s="1">
        <v>46094</v>
      </c>
      <c r="C352" s="1">
        <v>46095</v>
      </c>
      <c r="D352" s="1">
        <v>46098</v>
      </c>
      <c r="E352" s="1">
        <v>46098</v>
      </c>
      <c r="F352" t="s">
        <v>31</v>
      </c>
      <c r="G352" t="s">
        <v>58</v>
      </c>
      <c r="H352" t="s">
        <v>20</v>
      </c>
      <c r="I352" t="s">
        <v>45</v>
      </c>
      <c r="J352">
        <v>170.4</v>
      </c>
      <c r="K352">
        <v>627.70000000000005</v>
      </c>
      <c r="L352">
        <v>2319000</v>
      </c>
      <c r="M352" t="b">
        <v>0</v>
      </c>
      <c r="N352" t="b">
        <v>0</v>
      </c>
      <c r="O352">
        <v>1000</v>
      </c>
      <c r="P352" t="b">
        <v>0</v>
      </c>
      <c r="Q352" t="b">
        <v>0</v>
      </c>
      <c r="R352" t="b">
        <v>0</v>
      </c>
      <c r="S352" t="s">
        <v>96</v>
      </c>
      <c r="T352" t="s">
        <v>118</v>
      </c>
    </row>
    <row r="353" spans="1:21" x14ac:dyDescent="0.3">
      <c r="A353" t="s">
        <v>458</v>
      </c>
      <c r="B353" s="1">
        <v>46070</v>
      </c>
      <c r="C353" s="1">
        <v>46070</v>
      </c>
      <c r="D353" s="1">
        <v>46072</v>
      </c>
      <c r="E353" s="1">
        <v>46073</v>
      </c>
      <c r="F353" t="s">
        <v>34</v>
      </c>
      <c r="G353" t="s">
        <v>52</v>
      </c>
      <c r="H353" t="s">
        <v>20</v>
      </c>
      <c r="I353" t="s">
        <v>44</v>
      </c>
      <c r="J353">
        <v>281.10000000000002</v>
      </c>
      <c r="K353">
        <v>191.6</v>
      </c>
      <c r="L353">
        <v>3035000</v>
      </c>
      <c r="M353" t="b">
        <v>0</v>
      </c>
      <c r="N353" t="b">
        <v>0</v>
      </c>
      <c r="O353">
        <v>1500</v>
      </c>
      <c r="P353" t="b">
        <v>0</v>
      </c>
      <c r="Q353" t="b">
        <v>0</v>
      </c>
      <c r="R353" t="b">
        <v>0</v>
      </c>
      <c r="S353" t="s">
        <v>101</v>
      </c>
      <c r="T353" t="s">
        <v>115</v>
      </c>
      <c r="U353">
        <v>1</v>
      </c>
    </row>
    <row r="354" spans="1:21" x14ac:dyDescent="0.3">
      <c r="A354" t="s">
        <v>459</v>
      </c>
      <c r="B354" s="1">
        <v>46066</v>
      </c>
      <c r="C354" s="1">
        <v>46067</v>
      </c>
      <c r="D354" s="1">
        <v>46071</v>
      </c>
      <c r="E354" s="1">
        <v>46071</v>
      </c>
      <c r="F354" t="s">
        <v>33</v>
      </c>
      <c r="G354" t="s">
        <v>55</v>
      </c>
      <c r="H354" t="s">
        <v>23</v>
      </c>
      <c r="I354" t="s">
        <v>45</v>
      </c>
      <c r="J354">
        <v>614.70000000000005</v>
      </c>
      <c r="K354">
        <v>526</v>
      </c>
      <c r="L354">
        <v>5977000</v>
      </c>
      <c r="M354" t="b">
        <v>0</v>
      </c>
      <c r="N354" t="b">
        <v>0</v>
      </c>
      <c r="O354">
        <v>1000</v>
      </c>
      <c r="P354" t="b">
        <v>0</v>
      </c>
      <c r="Q354" t="b">
        <v>0</v>
      </c>
      <c r="R354" t="b">
        <v>0</v>
      </c>
      <c r="S354" t="s">
        <v>96</v>
      </c>
      <c r="T354" t="s">
        <v>115</v>
      </c>
    </row>
    <row r="355" spans="1:21" x14ac:dyDescent="0.3">
      <c r="A355" t="s">
        <v>460</v>
      </c>
      <c r="B355" s="1">
        <v>46049</v>
      </c>
      <c r="C355" s="1">
        <v>46050</v>
      </c>
      <c r="D355" s="1">
        <v>46053</v>
      </c>
      <c r="E355" s="1">
        <v>46053</v>
      </c>
      <c r="F355" t="s">
        <v>31</v>
      </c>
      <c r="G355" t="s">
        <v>54</v>
      </c>
      <c r="H355" t="s">
        <v>23</v>
      </c>
      <c r="I355" t="s">
        <v>45</v>
      </c>
      <c r="J355">
        <v>464.7</v>
      </c>
      <c r="K355">
        <v>690.4</v>
      </c>
      <c r="L355">
        <v>4871000</v>
      </c>
      <c r="M355" t="b">
        <v>0</v>
      </c>
      <c r="N355" t="b">
        <v>0</v>
      </c>
      <c r="O355">
        <v>1000</v>
      </c>
      <c r="P355" t="b">
        <v>0</v>
      </c>
      <c r="Q355" t="b">
        <v>0</v>
      </c>
      <c r="R355" t="b">
        <v>0</v>
      </c>
      <c r="S355" t="s">
        <v>96</v>
      </c>
      <c r="T355" t="s">
        <v>104</v>
      </c>
    </row>
    <row r="356" spans="1:21" x14ac:dyDescent="0.3">
      <c r="A356" t="s">
        <v>461</v>
      </c>
      <c r="B356" s="1">
        <v>46203</v>
      </c>
      <c r="C356" s="1">
        <v>46204</v>
      </c>
      <c r="D356" s="1">
        <v>46206</v>
      </c>
      <c r="E356" s="1">
        <v>46206</v>
      </c>
      <c r="F356" t="s">
        <v>31</v>
      </c>
      <c r="G356" t="s">
        <v>63</v>
      </c>
      <c r="H356" t="s">
        <v>20</v>
      </c>
      <c r="I356" t="s">
        <v>45</v>
      </c>
      <c r="J356">
        <v>298.2</v>
      </c>
      <c r="K356">
        <v>119.4</v>
      </c>
      <c r="L356">
        <v>3094000</v>
      </c>
      <c r="M356" t="b">
        <v>0</v>
      </c>
      <c r="N356" t="b">
        <v>0</v>
      </c>
      <c r="O356">
        <v>1000</v>
      </c>
      <c r="P356" t="b">
        <v>0</v>
      </c>
      <c r="Q356" t="b">
        <v>0</v>
      </c>
      <c r="R356" t="b">
        <v>0</v>
      </c>
      <c r="S356" t="s">
        <v>96</v>
      </c>
      <c r="T356" t="s">
        <v>97</v>
      </c>
    </row>
    <row r="357" spans="1:21" x14ac:dyDescent="0.3">
      <c r="A357" t="s">
        <v>462</v>
      </c>
      <c r="B357" s="1">
        <v>46071</v>
      </c>
      <c r="C357" s="1">
        <v>46072</v>
      </c>
      <c r="D357" s="1">
        <v>46073</v>
      </c>
      <c r="E357" s="1">
        <v>46074</v>
      </c>
      <c r="F357" t="s">
        <v>34</v>
      </c>
      <c r="G357" t="s">
        <v>55</v>
      </c>
      <c r="H357" t="s">
        <v>24</v>
      </c>
      <c r="I357" t="s">
        <v>44</v>
      </c>
      <c r="J357">
        <v>53.2</v>
      </c>
      <c r="K357">
        <v>444.5</v>
      </c>
      <c r="L357">
        <v>1182000</v>
      </c>
      <c r="M357" t="b">
        <v>0</v>
      </c>
      <c r="N357" t="b">
        <v>0</v>
      </c>
      <c r="O357">
        <v>1500</v>
      </c>
      <c r="P357" t="b">
        <v>0</v>
      </c>
      <c r="Q357" t="b">
        <v>0</v>
      </c>
      <c r="R357" t="b">
        <v>0</v>
      </c>
      <c r="S357" t="s">
        <v>101</v>
      </c>
      <c r="T357" t="s">
        <v>115</v>
      </c>
      <c r="U357">
        <v>1</v>
      </c>
    </row>
    <row r="358" spans="1:21" x14ac:dyDescent="0.3">
      <c r="A358" t="s">
        <v>463</v>
      </c>
      <c r="B358" s="1">
        <v>46069</v>
      </c>
      <c r="C358" s="1">
        <v>46070</v>
      </c>
      <c r="D358" s="1">
        <v>46072</v>
      </c>
      <c r="E358" s="1">
        <v>46072</v>
      </c>
      <c r="F358" t="s">
        <v>34</v>
      </c>
      <c r="G358" t="s">
        <v>58</v>
      </c>
      <c r="H358" t="s">
        <v>20</v>
      </c>
      <c r="I358" t="s">
        <v>42</v>
      </c>
      <c r="J358">
        <v>149.6</v>
      </c>
      <c r="K358">
        <v>4763</v>
      </c>
      <c r="L358">
        <v>4978000</v>
      </c>
      <c r="M358" t="b">
        <v>0</v>
      </c>
      <c r="N358" t="b">
        <v>0</v>
      </c>
      <c r="O358">
        <v>16000</v>
      </c>
      <c r="P358" t="b">
        <v>0</v>
      </c>
      <c r="Q358" t="b">
        <v>0</v>
      </c>
      <c r="R358" t="b">
        <v>0</v>
      </c>
      <c r="S358" t="s">
        <v>96</v>
      </c>
      <c r="T358" t="s">
        <v>115</v>
      </c>
    </row>
    <row r="359" spans="1:21" x14ac:dyDescent="0.3">
      <c r="A359" t="s">
        <v>464</v>
      </c>
      <c r="B359" s="1">
        <v>46048</v>
      </c>
      <c r="C359" s="1">
        <v>46049</v>
      </c>
      <c r="D359" s="1">
        <v>46050</v>
      </c>
      <c r="F359" t="s">
        <v>32</v>
      </c>
      <c r="G359" t="s">
        <v>57</v>
      </c>
      <c r="H359" t="s">
        <v>22</v>
      </c>
      <c r="I359" t="s">
        <v>45</v>
      </c>
      <c r="J359">
        <v>12.3</v>
      </c>
      <c r="K359">
        <v>589.1</v>
      </c>
      <c r="L359">
        <v>893000</v>
      </c>
      <c r="M359" t="b">
        <v>0</v>
      </c>
      <c r="N359" t="b">
        <v>0</v>
      </c>
      <c r="O359">
        <v>1000</v>
      </c>
      <c r="P359" t="b">
        <v>0</v>
      </c>
      <c r="Q359" t="b">
        <v>0</v>
      </c>
      <c r="R359" t="b">
        <v>0</v>
      </c>
      <c r="S359" t="s">
        <v>203</v>
      </c>
      <c r="T359" t="s">
        <v>104</v>
      </c>
    </row>
    <row r="360" spans="1:21" x14ac:dyDescent="0.3">
      <c r="A360" t="s">
        <v>465</v>
      </c>
      <c r="B360" s="1">
        <v>46066</v>
      </c>
      <c r="C360" s="1">
        <v>46067</v>
      </c>
      <c r="D360" s="1">
        <v>46071</v>
      </c>
      <c r="E360" s="1">
        <v>46070</v>
      </c>
      <c r="F360" t="s">
        <v>31</v>
      </c>
      <c r="G360" t="s">
        <v>56</v>
      </c>
      <c r="H360" t="s">
        <v>21</v>
      </c>
      <c r="I360" t="s">
        <v>44</v>
      </c>
      <c r="J360">
        <v>913.5</v>
      </c>
      <c r="K360">
        <v>1275.8</v>
      </c>
      <c r="L360">
        <v>9865000</v>
      </c>
      <c r="M360" t="b">
        <v>0</v>
      </c>
      <c r="N360" t="b">
        <v>0</v>
      </c>
      <c r="O360">
        <v>1500</v>
      </c>
      <c r="P360" t="b">
        <v>0</v>
      </c>
      <c r="Q360" t="b">
        <v>0</v>
      </c>
      <c r="R360" t="b">
        <v>0</v>
      </c>
      <c r="S360" t="s">
        <v>96</v>
      </c>
      <c r="T360" t="s">
        <v>115</v>
      </c>
    </row>
    <row r="361" spans="1:21" x14ac:dyDescent="0.3">
      <c r="A361" t="s">
        <v>466</v>
      </c>
      <c r="B361" s="1">
        <v>46145</v>
      </c>
      <c r="C361" s="1">
        <v>46146</v>
      </c>
      <c r="D361" s="1">
        <v>46150</v>
      </c>
      <c r="E361" s="1">
        <v>46150</v>
      </c>
      <c r="F361" t="s">
        <v>31</v>
      </c>
      <c r="G361" t="s">
        <v>62</v>
      </c>
      <c r="H361" t="s">
        <v>23</v>
      </c>
      <c r="I361" t="s">
        <v>43</v>
      </c>
      <c r="J361">
        <v>722.2</v>
      </c>
      <c r="K361">
        <v>2586.1999999999998</v>
      </c>
      <c r="L361">
        <v>10726000</v>
      </c>
      <c r="M361" t="b">
        <v>0</v>
      </c>
      <c r="N361" t="b">
        <v>0</v>
      </c>
      <c r="O361">
        <v>5000</v>
      </c>
      <c r="P361" t="b">
        <v>0</v>
      </c>
      <c r="Q361" t="b">
        <v>0</v>
      </c>
      <c r="R361" t="b">
        <v>0</v>
      </c>
      <c r="S361" t="s">
        <v>96</v>
      </c>
      <c r="T361" t="s">
        <v>102</v>
      </c>
    </row>
    <row r="362" spans="1:21" x14ac:dyDescent="0.3">
      <c r="A362" t="s">
        <v>467</v>
      </c>
      <c r="B362" s="1">
        <v>46051</v>
      </c>
      <c r="C362" s="1">
        <v>46052</v>
      </c>
      <c r="D362" s="1">
        <v>46054</v>
      </c>
      <c r="E362" s="1">
        <v>46054</v>
      </c>
      <c r="F362" t="s">
        <v>31</v>
      </c>
      <c r="G362" t="s">
        <v>59</v>
      </c>
      <c r="H362" t="s">
        <v>20</v>
      </c>
      <c r="I362" t="s">
        <v>43</v>
      </c>
      <c r="J362">
        <v>263.60000000000002</v>
      </c>
      <c r="K362">
        <v>2567.6999999999998</v>
      </c>
      <c r="L362">
        <v>5138000</v>
      </c>
      <c r="M362" t="b">
        <v>0</v>
      </c>
      <c r="N362" t="b">
        <v>0</v>
      </c>
      <c r="O362">
        <v>5000</v>
      </c>
      <c r="P362" t="b">
        <v>0</v>
      </c>
      <c r="Q362" t="b">
        <v>0</v>
      </c>
      <c r="R362" t="b">
        <v>0</v>
      </c>
      <c r="S362" t="s">
        <v>96</v>
      </c>
      <c r="T362" t="s">
        <v>104</v>
      </c>
    </row>
    <row r="363" spans="1:21" x14ac:dyDescent="0.3">
      <c r="A363" t="s">
        <v>468</v>
      </c>
      <c r="B363" s="1">
        <v>46203</v>
      </c>
      <c r="C363" s="1">
        <v>46204</v>
      </c>
      <c r="D363" s="1">
        <v>46208</v>
      </c>
      <c r="E363" s="1">
        <v>46208</v>
      </c>
      <c r="F363" t="s">
        <v>34</v>
      </c>
      <c r="G363" t="s">
        <v>59</v>
      </c>
      <c r="H363" t="s">
        <v>24</v>
      </c>
      <c r="I363" t="s">
        <v>42</v>
      </c>
      <c r="J363">
        <v>343.3</v>
      </c>
      <c r="K363">
        <v>10438.700000000001</v>
      </c>
      <c r="L363">
        <v>9610000</v>
      </c>
      <c r="M363" t="b">
        <v>0</v>
      </c>
      <c r="N363" t="b">
        <v>0</v>
      </c>
      <c r="O363">
        <v>16000</v>
      </c>
      <c r="P363" t="b">
        <v>0</v>
      </c>
      <c r="Q363" t="b">
        <v>0</v>
      </c>
      <c r="R363" t="b">
        <v>0</v>
      </c>
      <c r="S363" t="s">
        <v>96</v>
      </c>
      <c r="T363" t="s">
        <v>97</v>
      </c>
    </row>
    <row r="364" spans="1:21" x14ac:dyDescent="0.3">
      <c r="A364" t="s">
        <v>469</v>
      </c>
      <c r="B364" s="1">
        <v>46102</v>
      </c>
      <c r="C364" s="1">
        <v>46102</v>
      </c>
      <c r="D364" s="1">
        <v>46104</v>
      </c>
      <c r="E364" s="1">
        <v>46104</v>
      </c>
      <c r="F364" t="s">
        <v>32</v>
      </c>
      <c r="G364" t="s">
        <v>61</v>
      </c>
      <c r="H364" t="s">
        <v>20</v>
      </c>
      <c r="I364" t="s">
        <v>44</v>
      </c>
      <c r="J364">
        <v>149.30000000000001</v>
      </c>
      <c r="K364">
        <v>1350.1</v>
      </c>
      <c r="L364">
        <v>2330000</v>
      </c>
      <c r="M364" t="b">
        <v>0</v>
      </c>
      <c r="N364" t="b">
        <v>0</v>
      </c>
      <c r="O364">
        <v>1500</v>
      </c>
      <c r="P364" t="b">
        <v>0</v>
      </c>
      <c r="Q364" t="b">
        <v>0</v>
      </c>
      <c r="R364" t="b">
        <v>0</v>
      </c>
      <c r="S364" t="s">
        <v>96</v>
      </c>
      <c r="T364" t="s">
        <v>118</v>
      </c>
    </row>
    <row r="365" spans="1:21" x14ac:dyDescent="0.3">
      <c r="A365" t="s">
        <v>470</v>
      </c>
      <c r="B365" s="1">
        <v>46159</v>
      </c>
      <c r="C365" s="1">
        <v>46160</v>
      </c>
      <c r="D365" s="1">
        <v>46161</v>
      </c>
      <c r="E365" s="1">
        <v>46163</v>
      </c>
      <c r="F365" t="s">
        <v>31</v>
      </c>
      <c r="G365" t="s">
        <v>61</v>
      </c>
      <c r="H365" t="s">
        <v>24</v>
      </c>
      <c r="I365" t="s">
        <v>43</v>
      </c>
      <c r="J365">
        <v>58.3</v>
      </c>
      <c r="K365">
        <v>641.79999999999995</v>
      </c>
      <c r="L365">
        <v>1584000</v>
      </c>
      <c r="M365" t="b">
        <v>0</v>
      </c>
      <c r="N365" t="b">
        <v>0</v>
      </c>
      <c r="O365">
        <v>5000</v>
      </c>
      <c r="P365" t="b">
        <v>0</v>
      </c>
      <c r="Q365" t="b">
        <v>0</v>
      </c>
      <c r="R365" t="b">
        <v>0</v>
      </c>
      <c r="S365" t="s">
        <v>101</v>
      </c>
      <c r="T365" t="s">
        <v>102</v>
      </c>
      <c r="U365">
        <v>2</v>
      </c>
    </row>
    <row r="366" spans="1:21" x14ac:dyDescent="0.3">
      <c r="A366" t="s">
        <v>471</v>
      </c>
      <c r="B366" s="1">
        <v>46030</v>
      </c>
      <c r="C366" s="1">
        <v>46031</v>
      </c>
      <c r="D366" s="1">
        <v>46035</v>
      </c>
      <c r="E366" s="1">
        <v>46035</v>
      </c>
      <c r="F366" t="s">
        <v>31</v>
      </c>
      <c r="G366" t="s">
        <v>56</v>
      </c>
      <c r="H366" t="s">
        <v>21</v>
      </c>
      <c r="I366" t="s">
        <v>44</v>
      </c>
      <c r="J366">
        <v>949.3</v>
      </c>
      <c r="K366">
        <v>316.60000000000002</v>
      </c>
      <c r="L366">
        <v>9979000</v>
      </c>
      <c r="M366" t="b">
        <v>0</v>
      </c>
      <c r="N366" t="b">
        <v>0</v>
      </c>
      <c r="O366">
        <v>1500</v>
      </c>
      <c r="P366" t="b">
        <v>0</v>
      </c>
      <c r="Q366" t="b">
        <v>0</v>
      </c>
      <c r="R366" t="b">
        <v>0</v>
      </c>
      <c r="S366" t="s">
        <v>96</v>
      </c>
      <c r="T366" t="s">
        <v>104</v>
      </c>
    </row>
    <row r="367" spans="1:21" x14ac:dyDescent="0.3">
      <c r="A367" t="s">
        <v>472</v>
      </c>
      <c r="B367" s="1">
        <v>46173</v>
      </c>
      <c r="C367" s="1">
        <v>46174</v>
      </c>
      <c r="D367" s="1">
        <v>46175</v>
      </c>
      <c r="E367" s="1">
        <v>46176</v>
      </c>
      <c r="F367" t="s">
        <v>33</v>
      </c>
      <c r="G367" t="s">
        <v>60</v>
      </c>
      <c r="H367" t="s">
        <v>22</v>
      </c>
      <c r="I367" t="s">
        <v>45</v>
      </c>
      <c r="J367">
        <v>23.5</v>
      </c>
      <c r="K367">
        <v>310.60000000000002</v>
      </c>
      <c r="L367">
        <v>775000</v>
      </c>
      <c r="M367" t="b">
        <v>0</v>
      </c>
      <c r="N367" t="b">
        <v>0</v>
      </c>
      <c r="O367">
        <v>1000</v>
      </c>
      <c r="P367" t="b">
        <v>0</v>
      </c>
      <c r="Q367" t="b">
        <v>0</v>
      </c>
      <c r="R367" t="b">
        <v>0</v>
      </c>
      <c r="S367" t="s">
        <v>101</v>
      </c>
      <c r="T367" t="s">
        <v>99</v>
      </c>
      <c r="U367">
        <v>1</v>
      </c>
    </row>
    <row r="368" spans="1:21" x14ac:dyDescent="0.3">
      <c r="A368" t="s">
        <v>473</v>
      </c>
      <c r="B368" s="1">
        <v>46134</v>
      </c>
      <c r="C368" s="1">
        <v>46135</v>
      </c>
      <c r="D368" s="1">
        <v>46138</v>
      </c>
      <c r="E368" s="1">
        <v>46138</v>
      </c>
      <c r="F368" t="s">
        <v>34</v>
      </c>
      <c r="G368" t="s">
        <v>53</v>
      </c>
      <c r="H368" t="s">
        <v>20</v>
      </c>
      <c r="I368" t="s">
        <v>43</v>
      </c>
      <c r="J368">
        <v>311</v>
      </c>
      <c r="K368">
        <v>1091</v>
      </c>
      <c r="L368">
        <v>4940000</v>
      </c>
      <c r="M368" t="b">
        <v>0</v>
      </c>
      <c r="N368" t="b">
        <v>0</v>
      </c>
      <c r="O368">
        <v>5000</v>
      </c>
      <c r="P368" t="b">
        <v>0</v>
      </c>
      <c r="Q368" t="b">
        <v>0</v>
      </c>
      <c r="R368" t="b">
        <v>0</v>
      </c>
      <c r="S368" t="s">
        <v>96</v>
      </c>
      <c r="T368" t="s">
        <v>112</v>
      </c>
    </row>
    <row r="369" spans="1:21" x14ac:dyDescent="0.3">
      <c r="A369" t="s">
        <v>474</v>
      </c>
      <c r="B369" s="1">
        <v>46145</v>
      </c>
      <c r="C369" s="1">
        <v>46147</v>
      </c>
      <c r="D369" s="1">
        <v>46148</v>
      </c>
      <c r="F369" t="s">
        <v>31</v>
      </c>
      <c r="G369" t="s">
        <v>55</v>
      </c>
      <c r="H369" t="s">
        <v>20</v>
      </c>
      <c r="I369" t="s">
        <v>45</v>
      </c>
      <c r="J369">
        <v>23.3</v>
      </c>
      <c r="K369">
        <v>275.89999999999998</v>
      </c>
      <c r="L369">
        <v>688000</v>
      </c>
      <c r="M369" t="b">
        <v>0</v>
      </c>
      <c r="N369" t="b">
        <v>0</v>
      </c>
      <c r="O369">
        <v>1000</v>
      </c>
      <c r="P369" t="b">
        <v>0</v>
      </c>
      <c r="Q369" t="b">
        <v>0</v>
      </c>
      <c r="R369" t="b">
        <v>0</v>
      </c>
      <c r="S369" t="s">
        <v>203</v>
      </c>
      <c r="T369" t="s">
        <v>102</v>
      </c>
    </row>
    <row r="370" spans="1:21" x14ac:dyDescent="0.3">
      <c r="A370" t="s">
        <v>475</v>
      </c>
      <c r="B370" s="1">
        <v>46167</v>
      </c>
      <c r="C370" s="1">
        <v>46168</v>
      </c>
      <c r="D370" s="1">
        <v>46170</v>
      </c>
      <c r="E370" s="1">
        <v>46170</v>
      </c>
      <c r="F370" t="s">
        <v>31</v>
      </c>
      <c r="G370" t="s">
        <v>57</v>
      </c>
      <c r="H370" t="s">
        <v>20</v>
      </c>
      <c r="I370" t="s">
        <v>42</v>
      </c>
      <c r="J370">
        <v>132.1</v>
      </c>
      <c r="K370">
        <v>3832.1</v>
      </c>
      <c r="L370">
        <v>4381000</v>
      </c>
      <c r="M370" t="b">
        <v>0</v>
      </c>
      <c r="N370" t="b">
        <v>0</v>
      </c>
      <c r="O370">
        <v>16000</v>
      </c>
      <c r="P370" t="b">
        <v>0</v>
      </c>
      <c r="Q370" t="b">
        <v>0</v>
      </c>
      <c r="R370" t="b">
        <v>0</v>
      </c>
      <c r="S370" t="s">
        <v>96</v>
      </c>
      <c r="T370" t="s">
        <v>102</v>
      </c>
    </row>
    <row r="371" spans="1:21" x14ac:dyDescent="0.3">
      <c r="A371" t="s">
        <v>476</v>
      </c>
      <c r="B371" s="1">
        <v>46142</v>
      </c>
      <c r="C371" s="1">
        <v>46144</v>
      </c>
      <c r="D371" s="1">
        <v>46147</v>
      </c>
      <c r="E371" s="1">
        <v>46147</v>
      </c>
      <c r="F371" t="s">
        <v>34</v>
      </c>
      <c r="G371" t="s">
        <v>63</v>
      </c>
      <c r="H371" t="s">
        <v>20</v>
      </c>
      <c r="I371" t="s">
        <v>43</v>
      </c>
      <c r="J371">
        <v>322.5</v>
      </c>
      <c r="K371">
        <v>618.9</v>
      </c>
      <c r="L371">
        <v>5620000</v>
      </c>
      <c r="M371" t="b">
        <v>0</v>
      </c>
      <c r="N371" t="b">
        <v>0</v>
      </c>
      <c r="O371">
        <v>5000</v>
      </c>
      <c r="P371" t="b">
        <v>0</v>
      </c>
      <c r="Q371" t="b">
        <v>0</v>
      </c>
      <c r="R371" t="b">
        <v>0</v>
      </c>
      <c r="S371" t="s">
        <v>96</v>
      </c>
      <c r="T371" t="s">
        <v>102</v>
      </c>
    </row>
    <row r="372" spans="1:21" x14ac:dyDescent="0.3">
      <c r="A372" t="s">
        <v>477</v>
      </c>
      <c r="B372" s="1">
        <v>46114</v>
      </c>
      <c r="C372" s="1">
        <v>46115</v>
      </c>
      <c r="D372" s="1">
        <v>46116</v>
      </c>
      <c r="E372" s="1">
        <v>46116</v>
      </c>
      <c r="F372" t="s">
        <v>34</v>
      </c>
      <c r="G372" t="s">
        <v>55</v>
      </c>
      <c r="H372" t="s">
        <v>21</v>
      </c>
      <c r="I372" t="s">
        <v>44</v>
      </c>
      <c r="J372">
        <v>58.4</v>
      </c>
      <c r="K372">
        <v>751.1</v>
      </c>
      <c r="L372">
        <v>1423000</v>
      </c>
      <c r="M372" t="b">
        <v>0</v>
      </c>
      <c r="N372" t="b">
        <v>0</v>
      </c>
      <c r="O372">
        <v>1500</v>
      </c>
      <c r="P372" t="b">
        <v>0</v>
      </c>
      <c r="Q372" t="b">
        <v>0</v>
      </c>
      <c r="R372" t="b">
        <v>0</v>
      </c>
      <c r="S372" t="s">
        <v>96</v>
      </c>
      <c r="T372" t="s">
        <v>112</v>
      </c>
    </row>
    <row r="373" spans="1:21" x14ac:dyDescent="0.3">
      <c r="A373" t="s">
        <v>478</v>
      </c>
      <c r="B373" s="1">
        <v>46084</v>
      </c>
      <c r="C373" s="1">
        <v>46086</v>
      </c>
      <c r="D373" s="1">
        <v>46089</v>
      </c>
      <c r="E373" s="1">
        <v>46089</v>
      </c>
      <c r="F373" t="s">
        <v>34</v>
      </c>
      <c r="G373" t="s">
        <v>63</v>
      </c>
      <c r="H373" t="s">
        <v>23</v>
      </c>
      <c r="I373" t="s">
        <v>45</v>
      </c>
      <c r="J373">
        <v>316.7</v>
      </c>
      <c r="K373">
        <v>354.6</v>
      </c>
      <c r="L373">
        <v>2680000</v>
      </c>
      <c r="M373" t="b">
        <v>0</v>
      </c>
      <c r="N373" t="b">
        <v>0</v>
      </c>
      <c r="O373">
        <v>1000</v>
      </c>
      <c r="P373" t="b">
        <v>0</v>
      </c>
      <c r="Q373" t="b">
        <v>0</v>
      </c>
      <c r="R373" t="b">
        <v>0</v>
      </c>
      <c r="S373" t="s">
        <v>96</v>
      </c>
      <c r="T373" t="s">
        <v>118</v>
      </c>
    </row>
    <row r="374" spans="1:21" x14ac:dyDescent="0.3">
      <c r="A374" t="s">
        <v>479</v>
      </c>
      <c r="B374" s="1">
        <v>46049</v>
      </c>
      <c r="C374" s="1">
        <v>46049</v>
      </c>
      <c r="D374" s="1">
        <v>46050</v>
      </c>
      <c r="E374" s="1">
        <v>46050</v>
      </c>
      <c r="F374" t="s">
        <v>34</v>
      </c>
      <c r="G374" t="s">
        <v>61</v>
      </c>
      <c r="H374" t="s">
        <v>23</v>
      </c>
      <c r="I374" t="s">
        <v>44</v>
      </c>
      <c r="J374">
        <v>24.8</v>
      </c>
      <c r="K374">
        <v>817.2</v>
      </c>
      <c r="L374">
        <v>1089000</v>
      </c>
      <c r="M374" t="b">
        <v>0</v>
      </c>
      <c r="N374" t="b">
        <v>0</v>
      </c>
      <c r="O374">
        <v>1500</v>
      </c>
      <c r="P374" t="b">
        <v>0</v>
      </c>
      <c r="Q374" t="b">
        <v>0</v>
      </c>
      <c r="R374" t="b">
        <v>0</v>
      </c>
      <c r="S374" t="s">
        <v>96</v>
      </c>
      <c r="T374" t="s">
        <v>104</v>
      </c>
    </row>
    <row r="375" spans="1:21" x14ac:dyDescent="0.3">
      <c r="A375" t="s">
        <v>480</v>
      </c>
      <c r="B375" s="1">
        <v>46162</v>
      </c>
      <c r="C375" s="1">
        <v>46163</v>
      </c>
      <c r="D375" s="1">
        <v>46166</v>
      </c>
      <c r="E375" s="1">
        <v>46166</v>
      </c>
      <c r="F375" t="s">
        <v>34</v>
      </c>
      <c r="G375" t="s">
        <v>63</v>
      </c>
      <c r="H375" t="s">
        <v>22</v>
      </c>
      <c r="I375" t="s">
        <v>45</v>
      </c>
      <c r="J375">
        <v>331.7</v>
      </c>
      <c r="K375">
        <v>661</v>
      </c>
      <c r="L375">
        <v>3749000</v>
      </c>
      <c r="M375" t="b">
        <v>0</v>
      </c>
      <c r="N375" t="b">
        <v>0</v>
      </c>
      <c r="O375">
        <v>1000</v>
      </c>
      <c r="P375" t="b">
        <v>0</v>
      </c>
      <c r="Q375" t="b">
        <v>0</v>
      </c>
      <c r="R375" t="b">
        <v>0</v>
      </c>
      <c r="S375" t="s">
        <v>96</v>
      </c>
      <c r="T375" t="s">
        <v>102</v>
      </c>
    </row>
    <row r="376" spans="1:21" x14ac:dyDescent="0.3">
      <c r="A376" t="s">
        <v>481</v>
      </c>
      <c r="B376" s="1">
        <v>46043</v>
      </c>
      <c r="C376" s="1">
        <v>46045</v>
      </c>
      <c r="D376" s="1">
        <v>46047</v>
      </c>
      <c r="E376" s="1">
        <v>46048</v>
      </c>
      <c r="F376" t="s">
        <v>34</v>
      </c>
      <c r="G376" t="s">
        <v>52</v>
      </c>
      <c r="H376" t="s">
        <v>24</v>
      </c>
      <c r="I376" t="s">
        <v>45</v>
      </c>
      <c r="J376">
        <v>286.8</v>
      </c>
      <c r="K376">
        <v>752.2</v>
      </c>
      <c r="L376">
        <v>3256000</v>
      </c>
      <c r="M376" t="b">
        <v>0</v>
      </c>
      <c r="N376" t="b">
        <v>0</v>
      </c>
      <c r="O376">
        <v>1000</v>
      </c>
      <c r="P376" t="b">
        <v>0</v>
      </c>
      <c r="Q376" t="b">
        <v>0</v>
      </c>
      <c r="R376" t="b">
        <v>0</v>
      </c>
      <c r="S376" t="s">
        <v>101</v>
      </c>
      <c r="T376" t="s">
        <v>104</v>
      </c>
      <c r="U376">
        <v>1</v>
      </c>
    </row>
    <row r="377" spans="1:21" x14ac:dyDescent="0.3">
      <c r="A377" t="s">
        <v>482</v>
      </c>
      <c r="B377" s="1">
        <v>46075</v>
      </c>
      <c r="C377" s="1">
        <v>46075</v>
      </c>
      <c r="D377" s="1">
        <v>46079</v>
      </c>
      <c r="E377" s="1">
        <v>46079</v>
      </c>
      <c r="F377" t="s">
        <v>33</v>
      </c>
      <c r="G377" t="s">
        <v>56</v>
      </c>
      <c r="H377" t="s">
        <v>22</v>
      </c>
      <c r="I377" t="s">
        <v>43</v>
      </c>
      <c r="J377">
        <v>1597.5</v>
      </c>
      <c r="K377">
        <v>1200.0999999999999</v>
      </c>
      <c r="L377">
        <v>22014000</v>
      </c>
      <c r="M377" t="b">
        <v>0</v>
      </c>
      <c r="N377" t="b">
        <v>0</v>
      </c>
      <c r="O377">
        <v>5000</v>
      </c>
      <c r="P377" t="b">
        <v>0</v>
      </c>
      <c r="Q377" t="b">
        <v>0</v>
      </c>
      <c r="R377" t="b">
        <v>0</v>
      </c>
      <c r="S377" t="s">
        <v>96</v>
      </c>
      <c r="T377" t="s">
        <v>115</v>
      </c>
    </row>
    <row r="378" spans="1:21" x14ac:dyDescent="0.3">
      <c r="A378" t="s">
        <v>483</v>
      </c>
      <c r="B378" s="1">
        <v>46100</v>
      </c>
      <c r="C378" s="1">
        <v>46102</v>
      </c>
      <c r="D378" s="1">
        <v>46103</v>
      </c>
      <c r="E378" s="1">
        <v>46103</v>
      </c>
      <c r="F378" t="s">
        <v>34</v>
      </c>
      <c r="G378" t="s">
        <v>55</v>
      </c>
      <c r="H378" t="s">
        <v>21</v>
      </c>
      <c r="I378" t="s">
        <v>42</v>
      </c>
      <c r="J378">
        <v>53.3</v>
      </c>
      <c r="K378">
        <v>4994.1000000000004</v>
      </c>
      <c r="L378">
        <v>3801000</v>
      </c>
      <c r="M378" t="b">
        <v>0</v>
      </c>
      <c r="N378" t="b">
        <v>0</v>
      </c>
      <c r="O378">
        <v>16000</v>
      </c>
      <c r="P378" t="b">
        <v>0</v>
      </c>
      <c r="Q378" t="b">
        <v>0</v>
      </c>
      <c r="R378" t="b">
        <v>0</v>
      </c>
      <c r="S378" t="s">
        <v>96</v>
      </c>
      <c r="T378" t="s">
        <v>118</v>
      </c>
    </row>
    <row r="379" spans="1:21" x14ac:dyDescent="0.3">
      <c r="A379" t="s">
        <v>484</v>
      </c>
      <c r="B379" s="1">
        <v>46113</v>
      </c>
      <c r="C379" s="1">
        <v>46115</v>
      </c>
      <c r="D379" s="1">
        <v>46118</v>
      </c>
      <c r="E379" s="1">
        <v>46118</v>
      </c>
      <c r="F379" t="s">
        <v>32</v>
      </c>
      <c r="G379" t="s">
        <v>60</v>
      </c>
      <c r="H379" t="s">
        <v>23</v>
      </c>
      <c r="I379" t="s">
        <v>42</v>
      </c>
      <c r="J379">
        <v>467.5</v>
      </c>
      <c r="K379">
        <v>12837.3</v>
      </c>
      <c r="L379">
        <v>12908000</v>
      </c>
      <c r="M379" t="b">
        <v>0</v>
      </c>
      <c r="N379" t="b">
        <v>0</v>
      </c>
      <c r="O379">
        <v>16000</v>
      </c>
      <c r="P379" t="b">
        <v>0</v>
      </c>
      <c r="Q379" t="b">
        <v>0</v>
      </c>
      <c r="R379" t="b">
        <v>0</v>
      </c>
      <c r="S379" t="s">
        <v>96</v>
      </c>
      <c r="T379" t="s">
        <v>112</v>
      </c>
    </row>
    <row r="380" spans="1:21" x14ac:dyDescent="0.3">
      <c r="A380" t="s">
        <v>485</v>
      </c>
      <c r="B380" s="1">
        <v>46112</v>
      </c>
      <c r="C380" s="1">
        <v>46113</v>
      </c>
      <c r="D380" s="1">
        <v>46115</v>
      </c>
      <c r="E380" s="1">
        <v>46116</v>
      </c>
      <c r="F380" t="s">
        <v>34</v>
      </c>
      <c r="G380" t="s">
        <v>58</v>
      </c>
      <c r="H380" t="s">
        <v>23</v>
      </c>
      <c r="I380" t="s">
        <v>43</v>
      </c>
      <c r="J380">
        <v>168.6</v>
      </c>
      <c r="K380">
        <v>2454.8000000000002</v>
      </c>
      <c r="L380">
        <v>3468000</v>
      </c>
      <c r="M380" t="b">
        <v>0</v>
      </c>
      <c r="N380" t="b">
        <v>0</v>
      </c>
      <c r="O380">
        <v>5000</v>
      </c>
      <c r="P380" t="b">
        <v>0</v>
      </c>
      <c r="Q380" t="b">
        <v>0</v>
      </c>
      <c r="R380" t="b">
        <v>0</v>
      </c>
      <c r="S380" t="s">
        <v>101</v>
      </c>
      <c r="T380" t="s">
        <v>112</v>
      </c>
      <c r="U380">
        <v>1</v>
      </c>
    </row>
    <row r="381" spans="1:21" x14ac:dyDescent="0.3">
      <c r="A381" t="s">
        <v>486</v>
      </c>
      <c r="B381" s="1">
        <v>46178</v>
      </c>
      <c r="C381" s="1">
        <v>46179</v>
      </c>
      <c r="D381" s="1">
        <v>46183</v>
      </c>
      <c r="E381" s="1">
        <v>46182</v>
      </c>
      <c r="F381" t="s">
        <v>34</v>
      </c>
      <c r="G381" t="s">
        <v>62</v>
      </c>
      <c r="H381" t="s">
        <v>20</v>
      </c>
      <c r="I381" t="s">
        <v>42</v>
      </c>
      <c r="J381">
        <v>798.9</v>
      </c>
      <c r="K381">
        <v>13358.8</v>
      </c>
      <c r="L381">
        <v>18959000</v>
      </c>
      <c r="M381" t="b">
        <v>0</v>
      </c>
      <c r="N381" t="b">
        <v>0</v>
      </c>
      <c r="O381">
        <v>16000</v>
      </c>
      <c r="P381" t="b">
        <v>0</v>
      </c>
      <c r="Q381" t="b">
        <v>0</v>
      </c>
      <c r="R381" t="b">
        <v>0</v>
      </c>
      <c r="S381" t="s">
        <v>96</v>
      </c>
      <c r="T381" t="s">
        <v>99</v>
      </c>
    </row>
    <row r="382" spans="1:21" x14ac:dyDescent="0.3">
      <c r="A382" t="s">
        <v>487</v>
      </c>
      <c r="B382" s="1">
        <v>46150</v>
      </c>
      <c r="C382" s="1">
        <v>46151</v>
      </c>
      <c r="D382" s="1">
        <v>46155</v>
      </c>
      <c r="E382" s="1">
        <v>46155</v>
      </c>
      <c r="F382" t="s">
        <v>31</v>
      </c>
      <c r="G382" t="s">
        <v>60</v>
      </c>
      <c r="H382" t="s">
        <v>20</v>
      </c>
      <c r="I382" t="s">
        <v>45</v>
      </c>
      <c r="J382">
        <v>607.5</v>
      </c>
      <c r="K382">
        <v>112.1</v>
      </c>
      <c r="L382">
        <v>5859000</v>
      </c>
      <c r="M382" t="b">
        <v>0</v>
      </c>
      <c r="N382" t="b">
        <v>0</v>
      </c>
      <c r="O382">
        <v>1000</v>
      </c>
      <c r="P382" t="b">
        <v>0</v>
      </c>
      <c r="Q382" t="b">
        <v>0</v>
      </c>
      <c r="R382" t="b">
        <v>0</v>
      </c>
      <c r="S382" t="s">
        <v>96</v>
      </c>
      <c r="T382" t="s">
        <v>102</v>
      </c>
    </row>
    <row r="383" spans="1:21" x14ac:dyDescent="0.3">
      <c r="A383" t="s">
        <v>488</v>
      </c>
      <c r="B383" s="1">
        <v>46073</v>
      </c>
      <c r="C383" s="1">
        <v>46074</v>
      </c>
      <c r="D383" s="1">
        <v>46077</v>
      </c>
      <c r="E383" s="1">
        <v>46079</v>
      </c>
      <c r="F383" t="s">
        <v>34</v>
      </c>
      <c r="G383" t="s">
        <v>63</v>
      </c>
      <c r="H383" t="s">
        <v>23</v>
      </c>
      <c r="I383" t="s">
        <v>42</v>
      </c>
      <c r="J383">
        <v>345.2</v>
      </c>
      <c r="K383">
        <v>6084.3</v>
      </c>
      <c r="L383">
        <v>9111000</v>
      </c>
      <c r="M383" t="b">
        <v>0</v>
      </c>
      <c r="N383" t="b">
        <v>0</v>
      </c>
      <c r="O383">
        <v>16000</v>
      </c>
      <c r="P383" t="b">
        <v>0</v>
      </c>
      <c r="Q383" t="b">
        <v>0</v>
      </c>
      <c r="R383" t="b">
        <v>0</v>
      </c>
      <c r="S383" t="s">
        <v>101</v>
      </c>
      <c r="T383" t="s">
        <v>115</v>
      </c>
      <c r="U383">
        <v>2</v>
      </c>
    </row>
    <row r="384" spans="1:21" x14ac:dyDescent="0.3">
      <c r="A384" t="s">
        <v>489</v>
      </c>
      <c r="B384" s="1">
        <v>46030</v>
      </c>
      <c r="C384" s="1">
        <v>46031</v>
      </c>
      <c r="D384" s="1">
        <v>46034</v>
      </c>
      <c r="E384" s="1">
        <v>46034</v>
      </c>
      <c r="F384" t="s">
        <v>31</v>
      </c>
      <c r="G384" t="s">
        <v>60</v>
      </c>
      <c r="H384" t="s">
        <v>23</v>
      </c>
      <c r="I384" t="s">
        <v>45</v>
      </c>
      <c r="J384">
        <v>587.29999999999995</v>
      </c>
      <c r="K384">
        <v>142.4</v>
      </c>
      <c r="L384">
        <v>5634000</v>
      </c>
      <c r="M384" t="b">
        <v>0</v>
      </c>
      <c r="N384" t="b">
        <v>0</v>
      </c>
      <c r="O384">
        <v>1000</v>
      </c>
      <c r="P384" t="b">
        <v>0</v>
      </c>
      <c r="Q384" t="b">
        <v>0</v>
      </c>
      <c r="R384" t="b">
        <v>0</v>
      </c>
      <c r="S384" t="s">
        <v>96</v>
      </c>
      <c r="T384" t="s">
        <v>104</v>
      </c>
    </row>
    <row r="385" spans="1:21" x14ac:dyDescent="0.3">
      <c r="A385" t="s">
        <v>490</v>
      </c>
      <c r="B385" s="1">
        <v>46184</v>
      </c>
      <c r="C385" s="1">
        <v>46185</v>
      </c>
      <c r="D385" s="1">
        <v>46189</v>
      </c>
      <c r="E385" s="1">
        <v>46191</v>
      </c>
      <c r="F385" t="s">
        <v>32</v>
      </c>
      <c r="G385" t="s">
        <v>56</v>
      </c>
      <c r="H385" t="s">
        <v>24</v>
      </c>
      <c r="I385" t="s">
        <v>43</v>
      </c>
      <c r="J385">
        <v>1073.8</v>
      </c>
      <c r="K385">
        <v>2023.2</v>
      </c>
      <c r="L385">
        <v>14820000</v>
      </c>
      <c r="M385" t="b">
        <v>0</v>
      </c>
      <c r="N385" t="b">
        <v>0</v>
      </c>
      <c r="O385">
        <v>5000</v>
      </c>
      <c r="P385" t="b">
        <v>0</v>
      </c>
      <c r="Q385" t="b">
        <v>0</v>
      </c>
      <c r="R385" t="b">
        <v>0</v>
      </c>
      <c r="S385" t="s">
        <v>101</v>
      </c>
      <c r="T385" t="s">
        <v>99</v>
      </c>
      <c r="U385">
        <v>2</v>
      </c>
    </row>
    <row r="386" spans="1:21" x14ac:dyDescent="0.3">
      <c r="A386" t="s">
        <v>491</v>
      </c>
      <c r="B386" s="1">
        <v>46057</v>
      </c>
      <c r="C386" s="1">
        <v>46057</v>
      </c>
      <c r="D386" s="1">
        <v>46061</v>
      </c>
      <c r="E386" s="1">
        <v>46062</v>
      </c>
      <c r="F386" t="s">
        <v>32</v>
      </c>
      <c r="G386" t="s">
        <v>56</v>
      </c>
      <c r="H386" t="s">
        <v>24</v>
      </c>
      <c r="I386" t="s">
        <v>44</v>
      </c>
      <c r="J386">
        <v>975.1</v>
      </c>
      <c r="K386">
        <v>311.5</v>
      </c>
      <c r="L386">
        <v>10298000</v>
      </c>
      <c r="M386" t="b">
        <v>0</v>
      </c>
      <c r="N386" t="b">
        <v>0</v>
      </c>
      <c r="O386">
        <v>1500</v>
      </c>
      <c r="P386" t="b">
        <v>0</v>
      </c>
      <c r="Q386" t="b">
        <v>0</v>
      </c>
      <c r="R386" t="b">
        <v>0</v>
      </c>
      <c r="S386" t="s">
        <v>101</v>
      </c>
      <c r="T386" t="s">
        <v>115</v>
      </c>
      <c r="U386">
        <v>1</v>
      </c>
    </row>
    <row r="387" spans="1:21" x14ac:dyDescent="0.3">
      <c r="A387" t="s">
        <v>492</v>
      </c>
      <c r="B387" s="1">
        <v>46168</v>
      </c>
      <c r="C387" s="1">
        <v>46168</v>
      </c>
      <c r="D387" s="1">
        <v>46173</v>
      </c>
      <c r="E387" s="1">
        <v>46174</v>
      </c>
      <c r="F387" t="s">
        <v>33</v>
      </c>
      <c r="G387" t="s">
        <v>52</v>
      </c>
      <c r="H387" t="s">
        <v>21</v>
      </c>
      <c r="I387" t="s">
        <v>43</v>
      </c>
      <c r="J387">
        <v>623.79999999999995</v>
      </c>
      <c r="K387">
        <v>3045.2</v>
      </c>
      <c r="L387">
        <v>7492000</v>
      </c>
      <c r="M387" t="b">
        <v>0</v>
      </c>
      <c r="N387" t="b">
        <v>0</v>
      </c>
      <c r="O387">
        <v>5000</v>
      </c>
      <c r="P387" t="b">
        <v>0</v>
      </c>
      <c r="Q387" t="b">
        <v>0</v>
      </c>
      <c r="R387" t="b">
        <v>0</v>
      </c>
      <c r="S387" t="s">
        <v>101</v>
      </c>
      <c r="T387" t="s">
        <v>102</v>
      </c>
      <c r="U387">
        <v>1</v>
      </c>
    </row>
    <row r="388" spans="1:21" x14ac:dyDescent="0.3">
      <c r="A388" t="s">
        <v>493</v>
      </c>
      <c r="B388" s="1">
        <v>46202</v>
      </c>
      <c r="C388" s="1">
        <v>46203</v>
      </c>
      <c r="D388" s="1">
        <v>46206</v>
      </c>
      <c r="E388" s="1">
        <v>46208</v>
      </c>
      <c r="F388" t="s">
        <v>32</v>
      </c>
      <c r="G388" t="s">
        <v>58</v>
      </c>
      <c r="H388" t="s">
        <v>22</v>
      </c>
      <c r="I388" t="s">
        <v>43</v>
      </c>
      <c r="J388">
        <v>306.5</v>
      </c>
      <c r="K388">
        <v>2446.6999999999998</v>
      </c>
      <c r="L388">
        <v>5217000</v>
      </c>
      <c r="M388" t="b">
        <v>0</v>
      </c>
      <c r="N388" t="b">
        <v>0</v>
      </c>
      <c r="O388">
        <v>5000</v>
      </c>
      <c r="P388" t="b">
        <v>0</v>
      </c>
      <c r="Q388" t="b">
        <v>0</v>
      </c>
      <c r="R388" t="b">
        <v>0</v>
      </c>
      <c r="S388" t="s">
        <v>101</v>
      </c>
      <c r="T388" t="s">
        <v>99</v>
      </c>
      <c r="U388">
        <v>2</v>
      </c>
    </row>
    <row r="389" spans="1:21" x14ac:dyDescent="0.3">
      <c r="A389" t="s">
        <v>494</v>
      </c>
      <c r="B389" s="1">
        <v>46071</v>
      </c>
      <c r="C389" s="1">
        <v>46072</v>
      </c>
      <c r="D389" s="1">
        <v>46074</v>
      </c>
      <c r="E389" s="1">
        <v>46074</v>
      </c>
      <c r="F389" t="s">
        <v>33</v>
      </c>
      <c r="G389" t="s">
        <v>62</v>
      </c>
      <c r="H389" t="s">
        <v>23</v>
      </c>
      <c r="I389" t="s">
        <v>44</v>
      </c>
      <c r="J389">
        <v>153.1</v>
      </c>
      <c r="K389">
        <v>798.2</v>
      </c>
      <c r="L389">
        <v>2452000</v>
      </c>
      <c r="M389" t="b">
        <v>0</v>
      </c>
      <c r="N389" t="b">
        <v>0</v>
      </c>
      <c r="O389">
        <v>1500</v>
      </c>
      <c r="P389" t="b">
        <v>0</v>
      </c>
      <c r="Q389" t="b">
        <v>0</v>
      </c>
      <c r="R389" t="b">
        <v>0</v>
      </c>
      <c r="S389" t="s">
        <v>96</v>
      </c>
      <c r="T389" t="s">
        <v>115</v>
      </c>
    </row>
    <row r="390" spans="1:21" x14ac:dyDescent="0.3">
      <c r="A390" t="s">
        <v>495</v>
      </c>
      <c r="B390" s="1">
        <v>46147</v>
      </c>
      <c r="C390" s="1">
        <v>46148</v>
      </c>
      <c r="D390" s="1">
        <v>46151</v>
      </c>
      <c r="E390" s="1">
        <v>46151</v>
      </c>
      <c r="F390" t="s">
        <v>34</v>
      </c>
      <c r="G390" t="s">
        <v>54</v>
      </c>
      <c r="H390" t="s">
        <v>23</v>
      </c>
      <c r="I390" t="s">
        <v>43</v>
      </c>
      <c r="J390">
        <v>445.1</v>
      </c>
      <c r="K390">
        <v>1594.9</v>
      </c>
      <c r="L390">
        <v>6818000</v>
      </c>
      <c r="M390" t="b">
        <v>0</v>
      </c>
      <c r="N390" t="b">
        <v>0</v>
      </c>
      <c r="O390">
        <v>5000</v>
      </c>
      <c r="P390" t="b">
        <v>0</v>
      </c>
      <c r="Q390" t="b">
        <v>0</v>
      </c>
      <c r="R390" t="b">
        <v>0</v>
      </c>
      <c r="S390" t="s">
        <v>96</v>
      </c>
      <c r="T390" t="s">
        <v>102</v>
      </c>
    </row>
    <row r="391" spans="1:21" x14ac:dyDescent="0.3">
      <c r="A391" t="s">
        <v>496</v>
      </c>
      <c r="B391" s="1">
        <v>46129</v>
      </c>
      <c r="C391" s="1">
        <v>46129</v>
      </c>
      <c r="D391" s="1">
        <v>46131</v>
      </c>
      <c r="E391" s="1">
        <v>46131</v>
      </c>
      <c r="F391" t="s">
        <v>34</v>
      </c>
      <c r="G391" t="s">
        <v>53</v>
      </c>
      <c r="H391" t="s">
        <v>21</v>
      </c>
      <c r="I391" t="s">
        <v>43</v>
      </c>
      <c r="J391">
        <v>279.10000000000002</v>
      </c>
      <c r="K391">
        <v>721.9</v>
      </c>
      <c r="L391">
        <v>4254000</v>
      </c>
      <c r="M391" t="b">
        <v>0</v>
      </c>
      <c r="N391" t="b">
        <v>0</v>
      </c>
      <c r="O391">
        <v>5000</v>
      </c>
      <c r="P391" t="b">
        <v>0</v>
      </c>
      <c r="Q391" t="b">
        <v>0</v>
      </c>
      <c r="R391" t="b">
        <v>0</v>
      </c>
      <c r="S391" t="s">
        <v>96</v>
      </c>
      <c r="T391" t="s">
        <v>112</v>
      </c>
    </row>
    <row r="392" spans="1:21" x14ac:dyDescent="0.3">
      <c r="A392" t="s">
        <v>497</v>
      </c>
      <c r="B392" s="1">
        <v>46145</v>
      </c>
      <c r="C392" s="1">
        <v>46146</v>
      </c>
      <c r="D392" s="1">
        <v>46149</v>
      </c>
      <c r="E392" s="1">
        <v>46150</v>
      </c>
      <c r="F392" t="s">
        <v>34</v>
      </c>
      <c r="G392" t="s">
        <v>59</v>
      </c>
      <c r="H392" t="s">
        <v>20</v>
      </c>
      <c r="I392" t="s">
        <v>43</v>
      </c>
      <c r="J392">
        <v>337.5</v>
      </c>
      <c r="K392">
        <v>1397.9</v>
      </c>
      <c r="L392">
        <v>6073000</v>
      </c>
      <c r="M392" t="b">
        <v>0</v>
      </c>
      <c r="N392" t="b">
        <v>0</v>
      </c>
      <c r="O392">
        <v>5000</v>
      </c>
      <c r="P392" t="b">
        <v>0</v>
      </c>
      <c r="Q392" t="b">
        <v>0</v>
      </c>
      <c r="R392" t="b">
        <v>0</v>
      </c>
      <c r="S392" t="s">
        <v>101</v>
      </c>
      <c r="T392" t="s">
        <v>102</v>
      </c>
      <c r="U392">
        <v>1</v>
      </c>
    </row>
    <row r="393" spans="1:21" x14ac:dyDescent="0.3">
      <c r="A393" t="s">
        <v>498</v>
      </c>
      <c r="B393" s="1">
        <v>46175</v>
      </c>
      <c r="C393" s="1">
        <v>46177</v>
      </c>
      <c r="D393" s="1">
        <v>46180</v>
      </c>
      <c r="E393" s="1">
        <v>46182</v>
      </c>
      <c r="F393" t="s">
        <v>34</v>
      </c>
      <c r="G393" t="s">
        <v>59</v>
      </c>
      <c r="H393" t="s">
        <v>22</v>
      </c>
      <c r="I393" t="s">
        <v>43</v>
      </c>
      <c r="J393">
        <v>309.5</v>
      </c>
      <c r="K393">
        <v>3517.6</v>
      </c>
      <c r="L393">
        <v>6424000</v>
      </c>
      <c r="M393" t="b">
        <v>0</v>
      </c>
      <c r="N393" t="b">
        <v>0</v>
      </c>
      <c r="O393">
        <v>5000</v>
      </c>
      <c r="P393" t="b">
        <v>0</v>
      </c>
      <c r="Q393" t="b">
        <v>0</v>
      </c>
      <c r="R393" t="b">
        <v>0</v>
      </c>
      <c r="S393" t="s">
        <v>101</v>
      </c>
      <c r="T393" t="s">
        <v>99</v>
      </c>
      <c r="U393">
        <v>2</v>
      </c>
    </row>
    <row r="394" spans="1:21" x14ac:dyDescent="0.3">
      <c r="A394" t="s">
        <v>499</v>
      </c>
      <c r="B394" s="1">
        <v>46041</v>
      </c>
      <c r="C394" s="1">
        <v>46042</v>
      </c>
      <c r="D394" s="1">
        <v>46045</v>
      </c>
      <c r="E394" s="1">
        <v>46045</v>
      </c>
      <c r="F394" t="s">
        <v>34</v>
      </c>
      <c r="G394" t="s">
        <v>53</v>
      </c>
      <c r="H394" t="s">
        <v>22</v>
      </c>
      <c r="I394" t="s">
        <v>42</v>
      </c>
      <c r="J394">
        <v>311.5</v>
      </c>
      <c r="K394">
        <v>11693.9</v>
      </c>
      <c r="L394">
        <v>9960000</v>
      </c>
      <c r="M394" t="b">
        <v>0</v>
      </c>
      <c r="N394" t="b">
        <v>0</v>
      </c>
      <c r="O394">
        <v>16000</v>
      </c>
      <c r="P394" t="b">
        <v>0</v>
      </c>
      <c r="Q394" t="b">
        <v>0</v>
      </c>
      <c r="R394" t="b">
        <v>0</v>
      </c>
      <c r="S394" t="s">
        <v>96</v>
      </c>
      <c r="T394" t="s">
        <v>104</v>
      </c>
    </row>
    <row r="395" spans="1:21" x14ac:dyDescent="0.3">
      <c r="A395" t="s">
        <v>500</v>
      </c>
      <c r="B395" s="1">
        <v>46082</v>
      </c>
      <c r="C395" s="1">
        <v>46082</v>
      </c>
      <c r="D395" s="1">
        <v>46083</v>
      </c>
      <c r="E395" s="1">
        <v>46083</v>
      </c>
      <c r="F395" t="s">
        <v>34</v>
      </c>
      <c r="G395" t="s">
        <v>55</v>
      </c>
      <c r="H395" t="s">
        <v>20</v>
      </c>
      <c r="I395" t="s">
        <v>45</v>
      </c>
      <c r="J395">
        <v>48.1</v>
      </c>
      <c r="K395">
        <v>669.9</v>
      </c>
      <c r="L395">
        <v>1251000</v>
      </c>
      <c r="M395" t="b">
        <v>0</v>
      </c>
      <c r="N395" t="b">
        <v>0</v>
      </c>
      <c r="O395">
        <v>1000</v>
      </c>
      <c r="P395" t="b">
        <v>0</v>
      </c>
      <c r="Q395" t="b">
        <v>0</v>
      </c>
      <c r="R395" t="b">
        <v>0</v>
      </c>
      <c r="S395" t="s">
        <v>96</v>
      </c>
      <c r="T395" t="s">
        <v>118</v>
      </c>
    </row>
    <row r="396" spans="1:21" x14ac:dyDescent="0.3">
      <c r="A396" t="s">
        <v>501</v>
      </c>
      <c r="B396" s="1">
        <v>46140</v>
      </c>
      <c r="C396" s="1">
        <v>46141</v>
      </c>
      <c r="D396" s="1">
        <v>46143</v>
      </c>
      <c r="E396" s="1">
        <v>46143</v>
      </c>
      <c r="F396" t="s">
        <v>31</v>
      </c>
      <c r="G396" t="s">
        <v>57</v>
      </c>
      <c r="H396" t="s">
        <v>20</v>
      </c>
      <c r="I396" t="s">
        <v>45</v>
      </c>
      <c r="J396">
        <v>121.4</v>
      </c>
      <c r="K396">
        <v>524</v>
      </c>
      <c r="L396">
        <v>1664000</v>
      </c>
      <c r="M396" t="b">
        <v>0</v>
      </c>
      <c r="N396" t="b">
        <v>0</v>
      </c>
      <c r="O396">
        <v>1000</v>
      </c>
      <c r="P396" t="b">
        <v>0</v>
      </c>
      <c r="Q396" t="b">
        <v>0</v>
      </c>
      <c r="R396" t="b">
        <v>0</v>
      </c>
      <c r="S396" t="s">
        <v>96</v>
      </c>
      <c r="T396" t="s">
        <v>112</v>
      </c>
    </row>
    <row r="397" spans="1:21" x14ac:dyDescent="0.3">
      <c r="A397" t="s">
        <v>502</v>
      </c>
      <c r="B397" s="1">
        <v>46183</v>
      </c>
      <c r="C397" s="1">
        <v>46184</v>
      </c>
      <c r="D397" s="1">
        <v>46186</v>
      </c>
      <c r="E397" s="1">
        <v>46187</v>
      </c>
      <c r="F397" t="s">
        <v>34</v>
      </c>
      <c r="G397" t="s">
        <v>58</v>
      </c>
      <c r="H397" t="s">
        <v>20</v>
      </c>
      <c r="I397" t="s">
        <v>44</v>
      </c>
      <c r="J397">
        <v>146.4</v>
      </c>
      <c r="K397">
        <v>978.8</v>
      </c>
      <c r="L397">
        <v>2483000</v>
      </c>
      <c r="M397" t="b">
        <v>0</v>
      </c>
      <c r="N397" t="b">
        <v>0</v>
      </c>
      <c r="O397">
        <v>1500</v>
      </c>
      <c r="P397" t="b">
        <v>0</v>
      </c>
      <c r="Q397" t="b">
        <v>0</v>
      </c>
      <c r="R397" t="b">
        <v>0</v>
      </c>
      <c r="S397" t="s">
        <v>101</v>
      </c>
      <c r="T397" t="s">
        <v>99</v>
      </c>
      <c r="U397">
        <v>1</v>
      </c>
    </row>
    <row r="398" spans="1:21" x14ac:dyDescent="0.3">
      <c r="A398" t="s">
        <v>503</v>
      </c>
      <c r="B398" s="1">
        <v>46030</v>
      </c>
      <c r="C398" s="1">
        <v>46032</v>
      </c>
      <c r="D398" s="1">
        <v>46036</v>
      </c>
      <c r="E398" s="1">
        <v>46036</v>
      </c>
      <c r="F398" t="s">
        <v>33</v>
      </c>
      <c r="G398" t="s">
        <v>52</v>
      </c>
      <c r="H398" t="s">
        <v>21</v>
      </c>
      <c r="I398" t="s">
        <v>45</v>
      </c>
      <c r="J398">
        <v>634.9</v>
      </c>
      <c r="K398">
        <v>889.6</v>
      </c>
      <c r="L398">
        <v>6206000</v>
      </c>
      <c r="M398" t="b">
        <v>0</v>
      </c>
      <c r="N398" t="b">
        <v>0</v>
      </c>
      <c r="O398">
        <v>1000</v>
      </c>
      <c r="P398" t="b">
        <v>0</v>
      </c>
      <c r="Q398" t="b">
        <v>0</v>
      </c>
      <c r="R398" t="b">
        <v>0</v>
      </c>
      <c r="S398" t="s">
        <v>96</v>
      </c>
      <c r="T398" t="s">
        <v>104</v>
      </c>
    </row>
    <row r="399" spans="1:21" x14ac:dyDescent="0.3">
      <c r="A399" t="s">
        <v>504</v>
      </c>
      <c r="B399" s="1">
        <v>46088</v>
      </c>
      <c r="C399" s="1">
        <v>46089</v>
      </c>
      <c r="D399" s="1">
        <v>46092</v>
      </c>
      <c r="E399" s="1">
        <v>46092</v>
      </c>
      <c r="F399" t="s">
        <v>33</v>
      </c>
      <c r="G399" t="s">
        <v>57</v>
      </c>
      <c r="H399" t="s">
        <v>20</v>
      </c>
      <c r="I399" t="s">
        <v>45</v>
      </c>
      <c r="J399">
        <v>457.3</v>
      </c>
      <c r="K399">
        <v>599.1</v>
      </c>
      <c r="L399">
        <v>4288000</v>
      </c>
      <c r="M399" t="b">
        <v>0</v>
      </c>
      <c r="N399" t="b">
        <v>0</v>
      </c>
      <c r="O399">
        <v>1000</v>
      </c>
      <c r="P399" t="b">
        <v>0</v>
      </c>
      <c r="Q399" t="b">
        <v>0</v>
      </c>
      <c r="R399" t="b">
        <v>0</v>
      </c>
      <c r="S399" t="s">
        <v>96</v>
      </c>
      <c r="T399" t="s">
        <v>118</v>
      </c>
    </row>
    <row r="400" spans="1:21" x14ac:dyDescent="0.3">
      <c r="A400" t="s">
        <v>505</v>
      </c>
      <c r="B400" s="1">
        <v>46080</v>
      </c>
      <c r="C400" s="1">
        <v>46080</v>
      </c>
      <c r="D400" s="1">
        <v>46082</v>
      </c>
      <c r="E400" s="1">
        <v>46082</v>
      </c>
      <c r="F400" t="s">
        <v>33</v>
      </c>
      <c r="G400" t="s">
        <v>63</v>
      </c>
      <c r="H400" t="s">
        <v>24</v>
      </c>
      <c r="I400" t="s">
        <v>44</v>
      </c>
      <c r="J400">
        <v>297</v>
      </c>
      <c r="K400">
        <v>160.9</v>
      </c>
      <c r="L400">
        <v>3724000</v>
      </c>
      <c r="M400" t="b">
        <v>0</v>
      </c>
      <c r="N400" t="b">
        <v>0</v>
      </c>
      <c r="O400">
        <v>1500</v>
      </c>
      <c r="P400" t="b">
        <v>0</v>
      </c>
      <c r="Q400" t="b">
        <v>0</v>
      </c>
      <c r="R400" t="b">
        <v>0</v>
      </c>
      <c r="S400" t="s">
        <v>96</v>
      </c>
      <c r="T400" t="s">
        <v>115</v>
      </c>
    </row>
    <row r="401" spans="1:21" x14ac:dyDescent="0.3">
      <c r="A401" t="s">
        <v>506</v>
      </c>
      <c r="B401" s="1">
        <v>46064</v>
      </c>
      <c r="C401" s="1">
        <v>46066</v>
      </c>
      <c r="D401" s="1">
        <v>46070</v>
      </c>
      <c r="E401" s="1">
        <v>46070</v>
      </c>
      <c r="F401" t="s">
        <v>33</v>
      </c>
      <c r="G401" t="s">
        <v>53</v>
      </c>
      <c r="H401" t="s">
        <v>20</v>
      </c>
      <c r="I401" t="s">
        <v>44</v>
      </c>
      <c r="J401">
        <v>510</v>
      </c>
      <c r="K401">
        <v>687.4</v>
      </c>
      <c r="L401">
        <v>4870000</v>
      </c>
      <c r="M401" t="b">
        <v>0</v>
      </c>
      <c r="N401" t="b">
        <v>0</v>
      </c>
      <c r="O401">
        <v>1500</v>
      </c>
      <c r="P401" t="b">
        <v>0</v>
      </c>
      <c r="Q401" t="b">
        <v>0</v>
      </c>
      <c r="R401" t="b">
        <v>0</v>
      </c>
      <c r="S401" t="s">
        <v>96</v>
      </c>
      <c r="T401" t="s">
        <v>115</v>
      </c>
    </row>
    <row r="402" spans="1:21" x14ac:dyDescent="0.3">
      <c r="A402" t="s">
        <v>507</v>
      </c>
      <c r="B402" s="1">
        <v>46194</v>
      </c>
      <c r="C402" s="1">
        <v>46195</v>
      </c>
      <c r="D402" s="1">
        <v>46198</v>
      </c>
      <c r="E402" s="1">
        <v>46198</v>
      </c>
      <c r="F402" t="s">
        <v>32</v>
      </c>
      <c r="G402" t="s">
        <v>60</v>
      </c>
      <c r="H402" t="s">
        <v>23</v>
      </c>
      <c r="I402" t="s">
        <v>43</v>
      </c>
      <c r="J402">
        <v>471.8</v>
      </c>
      <c r="K402">
        <v>3661.8</v>
      </c>
      <c r="L402">
        <v>7048000</v>
      </c>
      <c r="M402" t="b">
        <v>0</v>
      </c>
      <c r="N402" t="b">
        <v>0</v>
      </c>
      <c r="O402">
        <v>5000</v>
      </c>
      <c r="P402" t="b">
        <v>0</v>
      </c>
      <c r="Q402" t="b">
        <v>0</v>
      </c>
      <c r="R402" t="b">
        <v>0</v>
      </c>
      <c r="S402" t="s">
        <v>96</v>
      </c>
      <c r="T402" t="s">
        <v>99</v>
      </c>
    </row>
    <row r="403" spans="1:21" x14ac:dyDescent="0.3">
      <c r="A403" t="s">
        <v>508</v>
      </c>
      <c r="B403" s="1">
        <v>46198</v>
      </c>
      <c r="C403" s="1">
        <v>46198</v>
      </c>
      <c r="D403" s="1">
        <v>46201</v>
      </c>
      <c r="E403" s="1">
        <v>46201</v>
      </c>
      <c r="F403" t="s">
        <v>31</v>
      </c>
      <c r="G403" t="s">
        <v>52</v>
      </c>
      <c r="H403" t="s">
        <v>23</v>
      </c>
      <c r="I403" t="s">
        <v>43</v>
      </c>
      <c r="J403">
        <v>307.5</v>
      </c>
      <c r="K403">
        <v>3700.6</v>
      </c>
      <c r="L403">
        <v>6003000</v>
      </c>
      <c r="M403" t="b">
        <v>0</v>
      </c>
      <c r="N403" t="b">
        <v>0</v>
      </c>
      <c r="O403">
        <v>5000</v>
      </c>
      <c r="P403" t="b">
        <v>0</v>
      </c>
      <c r="Q403" t="b">
        <v>0</v>
      </c>
      <c r="R403" t="b">
        <v>0</v>
      </c>
      <c r="S403" t="s">
        <v>96</v>
      </c>
      <c r="T403" t="s">
        <v>99</v>
      </c>
    </row>
    <row r="404" spans="1:21" x14ac:dyDescent="0.3">
      <c r="A404" t="s">
        <v>509</v>
      </c>
      <c r="B404" s="1">
        <v>46080</v>
      </c>
      <c r="C404" s="1">
        <v>46079</v>
      </c>
      <c r="D404" s="1">
        <v>46084</v>
      </c>
      <c r="E404" s="1">
        <v>46084</v>
      </c>
      <c r="F404" t="s">
        <v>33</v>
      </c>
      <c r="G404" t="s">
        <v>63</v>
      </c>
      <c r="H404" t="s">
        <v>24</v>
      </c>
      <c r="I404" t="s">
        <v>43</v>
      </c>
      <c r="J404">
        <v>314.39999999999998</v>
      </c>
      <c r="K404">
        <v>2346.1999999999998</v>
      </c>
      <c r="L404">
        <v>6123000</v>
      </c>
      <c r="M404" t="b">
        <v>1</v>
      </c>
      <c r="N404" t="b">
        <v>0</v>
      </c>
      <c r="O404">
        <v>5000</v>
      </c>
      <c r="P404" t="b">
        <v>0</v>
      </c>
      <c r="Q404" t="b">
        <v>0</v>
      </c>
      <c r="R404" t="b">
        <v>1</v>
      </c>
      <c r="S404" t="s">
        <v>260</v>
      </c>
      <c r="T404" t="s">
        <v>115</v>
      </c>
    </row>
    <row r="405" spans="1:21" x14ac:dyDescent="0.3">
      <c r="A405" t="s">
        <v>510</v>
      </c>
      <c r="B405" s="1">
        <v>46177</v>
      </c>
      <c r="C405" s="1">
        <v>46178</v>
      </c>
      <c r="D405" s="1">
        <v>46181</v>
      </c>
      <c r="E405" s="1">
        <v>46183</v>
      </c>
      <c r="F405" t="s">
        <v>34</v>
      </c>
      <c r="G405" t="s">
        <v>54</v>
      </c>
      <c r="H405" t="s">
        <v>22</v>
      </c>
      <c r="I405" t="s">
        <v>43</v>
      </c>
      <c r="J405">
        <v>462.5</v>
      </c>
      <c r="K405">
        <v>4259.5</v>
      </c>
      <c r="L405">
        <v>8003000</v>
      </c>
      <c r="M405" t="b">
        <v>0</v>
      </c>
      <c r="N405" t="b">
        <v>0</v>
      </c>
      <c r="O405">
        <v>5000</v>
      </c>
      <c r="P405" t="b">
        <v>0</v>
      </c>
      <c r="Q405" t="b">
        <v>0</v>
      </c>
      <c r="R405" t="b">
        <v>0</v>
      </c>
      <c r="S405" t="s">
        <v>101</v>
      </c>
      <c r="T405" t="s">
        <v>99</v>
      </c>
      <c r="U405">
        <v>2</v>
      </c>
    </row>
    <row r="406" spans="1:21" x14ac:dyDescent="0.3">
      <c r="A406" t="s">
        <v>511</v>
      </c>
      <c r="B406" s="1">
        <v>46073</v>
      </c>
      <c r="C406" s="1">
        <v>46074</v>
      </c>
      <c r="D406" s="1">
        <v>46076</v>
      </c>
      <c r="E406" s="1">
        <v>46075</v>
      </c>
      <c r="F406" t="s">
        <v>33</v>
      </c>
      <c r="G406" t="s">
        <v>63</v>
      </c>
      <c r="H406" t="s">
        <v>23</v>
      </c>
      <c r="I406" t="s">
        <v>43</v>
      </c>
      <c r="J406">
        <v>261</v>
      </c>
      <c r="K406">
        <v>2383.4</v>
      </c>
      <c r="L406">
        <v>4582000</v>
      </c>
      <c r="M406" t="b">
        <v>0</v>
      </c>
      <c r="N406" t="b">
        <v>0</v>
      </c>
      <c r="O406">
        <v>5000</v>
      </c>
      <c r="P406" t="b">
        <v>0</v>
      </c>
      <c r="Q406" t="b">
        <v>0</v>
      </c>
      <c r="R406" t="b">
        <v>0</v>
      </c>
      <c r="S406" t="s">
        <v>96</v>
      </c>
      <c r="T406" t="s">
        <v>115</v>
      </c>
    </row>
    <row r="407" spans="1:21" x14ac:dyDescent="0.3">
      <c r="A407" t="s">
        <v>512</v>
      </c>
      <c r="B407" s="1">
        <v>46083</v>
      </c>
      <c r="C407" s="1">
        <v>46084</v>
      </c>
      <c r="D407" s="1">
        <v>46088</v>
      </c>
      <c r="E407" s="1">
        <v>46088</v>
      </c>
      <c r="F407" t="s">
        <v>33</v>
      </c>
      <c r="G407" t="s">
        <v>54</v>
      </c>
      <c r="H407" t="s">
        <v>24</v>
      </c>
      <c r="I407" t="s">
        <v>44</v>
      </c>
      <c r="J407">
        <v>881.9</v>
      </c>
      <c r="K407">
        <v>1130.2</v>
      </c>
      <c r="L407">
        <v>9159000</v>
      </c>
      <c r="M407" t="b">
        <v>0</v>
      </c>
      <c r="N407" t="b">
        <v>0</v>
      </c>
      <c r="O407">
        <v>1500</v>
      </c>
      <c r="P407" t="b">
        <v>0</v>
      </c>
      <c r="Q407" t="b">
        <v>0</v>
      </c>
      <c r="R407" t="b">
        <v>0</v>
      </c>
      <c r="S407" t="s">
        <v>96</v>
      </c>
      <c r="T407" t="s">
        <v>118</v>
      </c>
    </row>
    <row r="408" spans="1:21" x14ac:dyDescent="0.3">
      <c r="A408" t="s">
        <v>513</v>
      </c>
      <c r="B408" s="1">
        <v>46113</v>
      </c>
      <c r="C408" s="1">
        <v>46114</v>
      </c>
      <c r="D408" s="1">
        <v>46116</v>
      </c>
      <c r="E408" s="1">
        <v>46117</v>
      </c>
      <c r="F408" t="s">
        <v>31</v>
      </c>
      <c r="G408" t="s">
        <v>59</v>
      </c>
      <c r="H408" t="s">
        <v>22</v>
      </c>
      <c r="I408" t="s">
        <v>45</v>
      </c>
      <c r="J408">
        <v>281.10000000000002</v>
      </c>
      <c r="K408">
        <v>722.8</v>
      </c>
      <c r="L408">
        <v>3359000</v>
      </c>
      <c r="M408" t="b">
        <v>0</v>
      </c>
      <c r="N408" t="b">
        <v>0</v>
      </c>
      <c r="O408">
        <v>1000</v>
      </c>
      <c r="P408" t="b">
        <v>0</v>
      </c>
      <c r="Q408" t="b">
        <v>0</v>
      </c>
      <c r="R408" t="b">
        <v>0</v>
      </c>
      <c r="S408" t="s">
        <v>101</v>
      </c>
      <c r="T408" t="s">
        <v>112</v>
      </c>
      <c r="U408">
        <v>1</v>
      </c>
    </row>
    <row r="409" spans="1:21" x14ac:dyDescent="0.3">
      <c r="A409" t="s">
        <v>514</v>
      </c>
      <c r="B409" s="1">
        <v>46163</v>
      </c>
      <c r="C409" s="1">
        <v>46164</v>
      </c>
      <c r="D409" s="1">
        <v>46168</v>
      </c>
      <c r="E409" s="1">
        <v>46168</v>
      </c>
      <c r="F409" t="s">
        <v>32</v>
      </c>
      <c r="G409" t="s">
        <v>56</v>
      </c>
      <c r="H409" t="s">
        <v>23</v>
      </c>
      <c r="I409" t="s">
        <v>42</v>
      </c>
      <c r="J409">
        <v>988.4</v>
      </c>
      <c r="K409">
        <v>9747.7000000000007</v>
      </c>
      <c r="L409">
        <v>19161000</v>
      </c>
      <c r="M409" t="b">
        <v>0</v>
      </c>
      <c r="N409" t="b">
        <v>0</v>
      </c>
      <c r="O409">
        <v>16000</v>
      </c>
      <c r="P409" t="b">
        <v>0</v>
      </c>
      <c r="Q409" t="b">
        <v>0</v>
      </c>
      <c r="R409" t="b">
        <v>0</v>
      </c>
      <c r="S409" t="s">
        <v>96</v>
      </c>
      <c r="T409" t="s">
        <v>102</v>
      </c>
    </row>
    <row r="410" spans="1:21" x14ac:dyDescent="0.3">
      <c r="A410" t="s">
        <v>515</v>
      </c>
      <c r="B410" s="1">
        <v>46148</v>
      </c>
      <c r="C410" s="1">
        <v>46149</v>
      </c>
      <c r="D410" s="1">
        <v>46153</v>
      </c>
      <c r="E410" s="1">
        <v>46153</v>
      </c>
      <c r="F410" t="s">
        <v>33</v>
      </c>
      <c r="G410" t="s">
        <v>58</v>
      </c>
      <c r="H410" t="s">
        <v>24</v>
      </c>
      <c r="I410" t="s">
        <v>43</v>
      </c>
      <c r="J410">
        <v>663.9</v>
      </c>
      <c r="K410">
        <v>2807.4</v>
      </c>
      <c r="L410">
        <v>9648000</v>
      </c>
      <c r="M410" t="b">
        <v>0</v>
      </c>
      <c r="N410" t="b">
        <v>0</v>
      </c>
      <c r="O410">
        <v>5000</v>
      </c>
      <c r="P410" t="b">
        <v>0</v>
      </c>
      <c r="Q410" t="b">
        <v>0</v>
      </c>
      <c r="R410" t="b">
        <v>0</v>
      </c>
      <c r="S410" t="s">
        <v>96</v>
      </c>
      <c r="T410" t="s">
        <v>102</v>
      </c>
    </row>
    <row r="411" spans="1:21" x14ac:dyDescent="0.3">
      <c r="A411" t="s">
        <v>516</v>
      </c>
      <c r="B411" s="1">
        <v>46044</v>
      </c>
      <c r="C411" s="1">
        <v>46045</v>
      </c>
      <c r="D411" s="1">
        <v>46049</v>
      </c>
      <c r="E411" s="1">
        <v>46049</v>
      </c>
      <c r="F411" t="s">
        <v>33</v>
      </c>
      <c r="G411" t="s">
        <v>56</v>
      </c>
      <c r="H411" t="s">
        <v>23</v>
      </c>
      <c r="I411" t="s">
        <v>44</v>
      </c>
      <c r="J411">
        <v>1480.4</v>
      </c>
      <c r="K411">
        <v>556.70000000000005</v>
      </c>
      <c r="L411">
        <v>14145000</v>
      </c>
      <c r="M411" t="b">
        <v>0</v>
      </c>
      <c r="N411" t="b">
        <v>0</v>
      </c>
      <c r="O411">
        <v>1500</v>
      </c>
      <c r="P411" t="b">
        <v>0</v>
      </c>
      <c r="Q411" t="b">
        <v>0</v>
      </c>
      <c r="R411" t="b">
        <v>0</v>
      </c>
      <c r="S411" t="s">
        <v>96</v>
      </c>
      <c r="T411" t="s">
        <v>104</v>
      </c>
    </row>
    <row r="412" spans="1:21" x14ac:dyDescent="0.3">
      <c r="A412" t="s">
        <v>517</v>
      </c>
      <c r="B412" s="1">
        <v>46126</v>
      </c>
      <c r="C412" s="1">
        <v>46127</v>
      </c>
      <c r="D412" s="1">
        <v>46131</v>
      </c>
      <c r="E412" s="1">
        <v>46131</v>
      </c>
      <c r="F412" t="s">
        <v>34</v>
      </c>
      <c r="G412" t="s">
        <v>62</v>
      </c>
      <c r="H412" t="s">
        <v>20</v>
      </c>
      <c r="I412" t="s">
        <v>43</v>
      </c>
      <c r="J412">
        <v>763.8</v>
      </c>
      <c r="K412">
        <v>840.2</v>
      </c>
      <c r="L412">
        <v>10721000</v>
      </c>
      <c r="M412" t="b">
        <v>0</v>
      </c>
      <c r="N412" t="b">
        <v>0</v>
      </c>
      <c r="O412">
        <v>5000</v>
      </c>
      <c r="P412" t="b">
        <v>0</v>
      </c>
      <c r="Q412" t="b">
        <v>0</v>
      </c>
      <c r="R412" t="b">
        <v>0</v>
      </c>
      <c r="S412" t="s">
        <v>96</v>
      </c>
      <c r="T412" t="s">
        <v>112</v>
      </c>
    </row>
    <row r="413" spans="1:21" x14ac:dyDescent="0.3">
      <c r="A413" t="s">
        <v>518</v>
      </c>
      <c r="B413" s="1">
        <v>46150</v>
      </c>
      <c r="C413" s="1">
        <v>46151</v>
      </c>
      <c r="D413" s="1">
        <v>46154</v>
      </c>
      <c r="E413" s="1">
        <v>46154</v>
      </c>
      <c r="F413" t="s">
        <v>34</v>
      </c>
      <c r="G413" t="s">
        <v>59</v>
      </c>
      <c r="H413" t="s">
        <v>23</v>
      </c>
      <c r="I413" t="s">
        <v>44</v>
      </c>
      <c r="J413">
        <v>317.7</v>
      </c>
      <c r="K413">
        <v>963.2</v>
      </c>
      <c r="L413">
        <v>4067000</v>
      </c>
      <c r="M413" t="b">
        <v>0</v>
      </c>
      <c r="N413" t="b">
        <v>0</v>
      </c>
      <c r="O413">
        <v>1500</v>
      </c>
      <c r="P413" t="b">
        <v>0</v>
      </c>
      <c r="Q413" t="b">
        <v>0</v>
      </c>
      <c r="R413" t="b">
        <v>0</v>
      </c>
      <c r="S413" t="s">
        <v>96</v>
      </c>
      <c r="T413" t="s">
        <v>102</v>
      </c>
    </row>
    <row r="414" spans="1:21" x14ac:dyDescent="0.3">
      <c r="A414" t="s">
        <v>519</v>
      </c>
      <c r="B414" s="1">
        <v>46065</v>
      </c>
      <c r="C414" s="1">
        <v>46065</v>
      </c>
      <c r="D414" s="1">
        <v>46067</v>
      </c>
      <c r="E414" s="1">
        <v>46068</v>
      </c>
      <c r="F414" t="s">
        <v>32</v>
      </c>
      <c r="G414" t="s">
        <v>53</v>
      </c>
      <c r="H414" t="s">
        <v>24</v>
      </c>
      <c r="I414" t="s">
        <v>42</v>
      </c>
      <c r="J414">
        <v>269.89999999999998</v>
      </c>
      <c r="K414">
        <v>5572</v>
      </c>
      <c r="L414">
        <v>8401000</v>
      </c>
      <c r="M414" t="b">
        <v>0</v>
      </c>
      <c r="N414" t="b">
        <v>0</v>
      </c>
      <c r="O414">
        <v>16000</v>
      </c>
      <c r="P414" t="b">
        <v>0</v>
      </c>
      <c r="Q414" t="b">
        <v>0</v>
      </c>
      <c r="R414" t="b">
        <v>0</v>
      </c>
      <c r="S414" t="s">
        <v>101</v>
      </c>
      <c r="T414" t="s">
        <v>115</v>
      </c>
      <c r="U414">
        <v>1</v>
      </c>
    </row>
    <row r="415" spans="1:21" x14ac:dyDescent="0.3">
      <c r="A415" t="s">
        <v>520</v>
      </c>
      <c r="B415" s="1">
        <v>46166</v>
      </c>
      <c r="C415" s="1">
        <v>46167</v>
      </c>
      <c r="D415" s="1">
        <v>46170</v>
      </c>
      <c r="F415" t="s">
        <v>34</v>
      </c>
      <c r="G415" t="s">
        <v>58</v>
      </c>
      <c r="H415" t="s">
        <v>24</v>
      </c>
      <c r="I415" t="s">
        <v>44</v>
      </c>
      <c r="J415">
        <v>147.30000000000001</v>
      </c>
      <c r="K415">
        <v>260.8</v>
      </c>
      <c r="L415">
        <v>2009000</v>
      </c>
      <c r="M415" t="b">
        <v>0</v>
      </c>
      <c r="N415" t="b">
        <v>0</v>
      </c>
      <c r="O415">
        <v>1500</v>
      </c>
      <c r="P415" t="b">
        <v>0</v>
      </c>
      <c r="Q415" t="b">
        <v>0</v>
      </c>
      <c r="R415" t="b">
        <v>0</v>
      </c>
      <c r="S415" t="s">
        <v>203</v>
      </c>
      <c r="T415" t="s">
        <v>102</v>
      </c>
    </row>
    <row r="416" spans="1:21" x14ac:dyDescent="0.3">
      <c r="A416" t="s">
        <v>521</v>
      </c>
      <c r="B416" s="1">
        <v>46173</v>
      </c>
      <c r="C416" s="1">
        <v>46174</v>
      </c>
      <c r="D416" s="1">
        <v>46177</v>
      </c>
      <c r="E416" s="1">
        <v>46178</v>
      </c>
      <c r="F416" t="s">
        <v>31</v>
      </c>
      <c r="G416" t="s">
        <v>60</v>
      </c>
      <c r="H416" t="s">
        <v>23</v>
      </c>
      <c r="I416" t="s">
        <v>43</v>
      </c>
      <c r="J416">
        <v>546.9</v>
      </c>
      <c r="K416">
        <v>2294.5</v>
      </c>
      <c r="L416">
        <v>7309000</v>
      </c>
      <c r="M416" t="b">
        <v>0</v>
      </c>
      <c r="N416" t="b">
        <v>0</v>
      </c>
      <c r="O416">
        <v>5000</v>
      </c>
      <c r="P416" t="b">
        <v>0</v>
      </c>
      <c r="Q416" t="b">
        <v>0</v>
      </c>
      <c r="R416" t="b">
        <v>0</v>
      </c>
      <c r="S416" t="s">
        <v>101</v>
      </c>
      <c r="T416" t="s">
        <v>99</v>
      </c>
      <c r="U416">
        <v>1</v>
      </c>
    </row>
    <row r="417" spans="1:21" x14ac:dyDescent="0.3">
      <c r="A417" t="s">
        <v>522</v>
      </c>
      <c r="B417" s="1">
        <v>46175</v>
      </c>
      <c r="C417" s="1">
        <v>46176</v>
      </c>
      <c r="D417" s="1">
        <v>46179</v>
      </c>
      <c r="E417" s="1">
        <v>46180</v>
      </c>
      <c r="F417" t="s">
        <v>31</v>
      </c>
      <c r="G417" t="s">
        <v>53</v>
      </c>
      <c r="H417" t="s">
        <v>21</v>
      </c>
      <c r="I417" t="s">
        <v>43</v>
      </c>
      <c r="J417">
        <v>310.8</v>
      </c>
      <c r="K417">
        <v>1846.8</v>
      </c>
      <c r="L417">
        <v>5165000</v>
      </c>
      <c r="M417" t="b">
        <v>0</v>
      </c>
      <c r="N417" t="b">
        <v>0</v>
      </c>
      <c r="O417">
        <v>5000</v>
      </c>
      <c r="P417" t="b">
        <v>0</v>
      </c>
      <c r="Q417" t="b">
        <v>0</v>
      </c>
      <c r="R417" t="b">
        <v>0</v>
      </c>
      <c r="S417" t="s">
        <v>101</v>
      </c>
      <c r="T417" t="s">
        <v>99</v>
      </c>
      <c r="U417">
        <v>1</v>
      </c>
    </row>
    <row r="418" spans="1:21" x14ac:dyDescent="0.3">
      <c r="A418" t="s">
        <v>523</v>
      </c>
      <c r="B418" s="1">
        <v>46046</v>
      </c>
      <c r="C418" s="1">
        <v>46047</v>
      </c>
      <c r="D418" s="1">
        <v>46050</v>
      </c>
      <c r="E418" s="1">
        <v>46050</v>
      </c>
      <c r="F418" t="s">
        <v>34</v>
      </c>
      <c r="G418" t="s">
        <v>58</v>
      </c>
      <c r="H418" t="s">
        <v>23</v>
      </c>
      <c r="I418" t="s">
        <v>43</v>
      </c>
      <c r="J418">
        <v>132.1</v>
      </c>
      <c r="K418">
        <v>1942.4</v>
      </c>
      <c r="L418">
        <v>3408000</v>
      </c>
      <c r="M418" t="b">
        <v>0</v>
      </c>
      <c r="N418" t="b">
        <v>0</v>
      </c>
      <c r="O418">
        <v>5000</v>
      </c>
      <c r="P418" t="b">
        <v>0</v>
      </c>
      <c r="Q418" t="b">
        <v>0</v>
      </c>
      <c r="R418" t="b">
        <v>0</v>
      </c>
      <c r="S418" t="s">
        <v>96</v>
      </c>
      <c r="T418" t="s">
        <v>104</v>
      </c>
    </row>
    <row r="419" spans="1:21" x14ac:dyDescent="0.3">
      <c r="A419" t="s">
        <v>524</v>
      </c>
      <c r="B419" s="1">
        <v>46196</v>
      </c>
      <c r="C419" s="1">
        <v>46196</v>
      </c>
      <c r="D419" s="1">
        <v>46199</v>
      </c>
      <c r="E419" s="1">
        <v>46199</v>
      </c>
      <c r="F419" t="s">
        <v>31</v>
      </c>
      <c r="G419" t="s">
        <v>52</v>
      </c>
      <c r="H419" t="s">
        <v>22</v>
      </c>
      <c r="I419" t="s">
        <v>43</v>
      </c>
      <c r="J419">
        <v>332.7</v>
      </c>
      <c r="K419">
        <v>3329.5</v>
      </c>
      <c r="L419">
        <v>6586000</v>
      </c>
      <c r="M419" t="b">
        <v>0</v>
      </c>
      <c r="N419" t="b">
        <v>0</v>
      </c>
      <c r="O419">
        <v>5000</v>
      </c>
      <c r="P419" t="b">
        <v>0</v>
      </c>
      <c r="Q419" t="b">
        <v>0</v>
      </c>
      <c r="R419" t="b">
        <v>0</v>
      </c>
      <c r="S419" t="s">
        <v>96</v>
      </c>
      <c r="T419" t="s">
        <v>99</v>
      </c>
    </row>
    <row r="420" spans="1:21" x14ac:dyDescent="0.3">
      <c r="A420" t="s">
        <v>525</v>
      </c>
      <c r="B420" s="1">
        <v>46103</v>
      </c>
      <c r="C420" s="1">
        <v>46104</v>
      </c>
      <c r="D420" s="1">
        <v>46106</v>
      </c>
      <c r="E420" s="1">
        <v>46107</v>
      </c>
      <c r="F420" t="s">
        <v>31</v>
      </c>
      <c r="G420" t="s">
        <v>58</v>
      </c>
      <c r="H420" t="s">
        <v>20</v>
      </c>
      <c r="I420" t="s">
        <v>45</v>
      </c>
      <c r="J420">
        <v>182.9</v>
      </c>
      <c r="K420">
        <v>435.6</v>
      </c>
      <c r="L420">
        <v>2326000</v>
      </c>
      <c r="M420" t="b">
        <v>0</v>
      </c>
      <c r="N420" t="b">
        <v>0</v>
      </c>
      <c r="O420">
        <v>1000</v>
      </c>
      <c r="P420" t="b">
        <v>0</v>
      </c>
      <c r="Q420" t="b">
        <v>0</v>
      </c>
      <c r="R420" t="b">
        <v>0</v>
      </c>
      <c r="S420" t="s">
        <v>101</v>
      </c>
      <c r="T420" t="s">
        <v>118</v>
      </c>
      <c r="U420">
        <v>1</v>
      </c>
    </row>
    <row r="421" spans="1:21" x14ac:dyDescent="0.3">
      <c r="A421" t="s">
        <v>526</v>
      </c>
      <c r="B421" s="1">
        <v>46117</v>
      </c>
      <c r="C421" s="1">
        <v>46119</v>
      </c>
      <c r="D421" s="1">
        <v>46121</v>
      </c>
      <c r="E421" s="1">
        <v>46121</v>
      </c>
      <c r="F421" t="s">
        <v>32</v>
      </c>
      <c r="G421" t="s">
        <v>55</v>
      </c>
      <c r="H421" t="s">
        <v>23</v>
      </c>
      <c r="I421" t="s">
        <v>42</v>
      </c>
      <c r="J421">
        <v>134.1</v>
      </c>
      <c r="K421">
        <v>8862</v>
      </c>
      <c r="L421">
        <v>5969000</v>
      </c>
      <c r="M421" t="b">
        <v>0</v>
      </c>
      <c r="N421" t="b">
        <v>0</v>
      </c>
      <c r="O421">
        <v>16000</v>
      </c>
      <c r="P421" t="b">
        <v>0</v>
      </c>
      <c r="Q421" t="b">
        <v>0</v>
      </c>
      <c r="R421" t="b">
        <v>0</v>
      </c>
      <c r="S421" t="s">
        <v>96</v>
      </c>
      <c r="T421" t="s">
        <v>112</v>
      </c>
    </row>
    <row r="422" spans="1:21" x14ac:dyDescent="0.3">
      <c r="A422" t="s">
        <v>527</v>
      </c>
      <c r="B422" s="1">
        <v>46176</v>
      </c>
      <c r="C422" s="1">
        <v>46177</v>
      </c>
      <c r="D422" s="1">
        <v>46180</v>
      </c>
      <c r="E422" s="1">
        <v>46182</v>
      </c>
      <c r="F422" t="s">
        <v>33</v>
      </c>
      <c r="G422" t="s">
        <v>59</v>
      </c>
      <c r="H422" t="s">
        <v>24</v>
      </c>
      <c r="I422" t="s">
        <v>45</v>
      </c>
      <c r="J422">
        <v>493.6</v>
      </c>
      <c r="K422">
        <v>120.9</v>
      </c>
      <c r="L422">
        <v>4696000</v>
      </c>
      <c r="M422" t="b">
        <v>0</v>
      </c>
      <c r="N422" t="b">
        <v>0</v>
      </c>
      <c r="O422">
        <v>1000</v>
      </c>
      <c r="P422" t="b">
        <v>0</v>
      </c>
      <c r="Q422" t="b">
        <v>0</v>
      </c>
      <c r="R422" t="b">
        <v>0</v>
      </c>
      <c r="S422" t="s">
        <v>101</v>
      </c>
      <c r="T422" t="s">
        <v>99</v>
      </c>
      <c r="U422">
        <v>2</v>
      </c>
    </row>
    <row r="423" spans="1:21" x14ac:dyDescent="0.3">
      <c r="A423" t="s">
        <v>528</v>
      </c>
      <c r="B423" s="1">
        <v>46189</v>
      </c>
      <c r="C423" s="1">
        <v>46190</v>
      </c>
      <c r="D423" s="1">
        <v>46192</v>
      </c>
      <c r="E423" s="1">
        <v>46193</v>
      </c>
      <c r="F423" t="s">
        <v>31</v>
      </c>
      <c r="G423" t="s">
        <v>63</v>
      </c>
      <c r="H423" t="s">
        <v>24</v>
      </c>
      <c r="I423" t="s">
        <v>44</v>
      </c>
      <c r="J423">
        <v>291.7</v>
      </c>
      <c r="K423">
        <v>368.3</v>
      </c>
      <c r="L423">
        <v>3243000</v>
      </c>
      <c r="M423" t="b">
        <v>0</v>
      </c>
      <c r="N423" t="b">
        <v>0</v>
      </c>
      <c r="O423">
        <v>1500</v>
      </c>
      <c r="P423" t="b">
        <v>0</v>
      </c>
      <c r="Q423" t="b">
        <v>0</v>
      </c>
      <c r="R423" t="b">
        <v>0</v>
      </c>
      <c r="S423" t="s">
        <v>101</v>
      </c>
      <c r="T423" t="s">
        <v>99</v>
      </c>
      <c r="U423">
        <v>1</v>
      </c>
    </row>
    <row r="424" spans="1:21" x14ac:dyDescent="0.3">
      <c r="A424" t="s">
        <v>529</v>
      </c>
      <c r="B424" s="1">
        <v>46046</v>
      </c>
      <c r="C424" s="1">
        <v>46047</v>
      </c>
      <c r="D424" s="1">
        <v>46051</v>
      </c>
      <c r="E424" s="1">
        <v>46051</v>
      </c>
      <c r="F424" t="s">
        <v>31</v>
      </c>
      <c r="G424" t="s">
        <v>62</v>
      </c>
      <c r="H424" t="s">
        <v>24</v>
      </c>
      <c r="I424" t="s">
        <v>42</v>
      </c>
      <c r="J424">
        <v>739.5</v>
      </c>
      <c r="K424">
        <v>2939.4</v>
      </c>
      <c r="L424">
        <v>16431000</v>
      </c>
      <c r="M424" t="b">
        <v>0</v>
      </c>
      <c r="N424" t="b">
        <v>0</v>
      </c>
      <c r="O424">
        <v>16000</v>
      </c>
      <c r="P424" t="b">
        <v>0</v>
      </c>
      <c r="Q424" t="b">
        <v>0</v>
      </c>
      <c r="R424" t="b">
        <v>0</v>
      </c>
      <c r="S424" t="s">
        <v>96</v>
      </c>
      <c r="T424" t="s">
        <v>104</v>
      </c>
    </row>
    <row r="425" spans="1:21" x14ac:dyDescent="0.3">
      <c r="A425" t="s">
        <v>530</v>
      </c>
      <c r="B425" s="1">
        <v>46079</v>
      </c>
      <c r="C425" s="1">
        <v>46080</v>
      </c>
      <c r="D425" s="1">
        <v>46083</v>
      </c>
      <c r="E425" s="1">
        <v>46079</v>
      </c>
      <c r="F425" t="s">
        <v>31</v>
      </c>
      <c r="G425" t="s">
        <v>57</v>
      </c>
      <c r="H425" t="s">
        <v>21</v>
      </c>
      <c r="I425" t="s">
        <v>45</v>
      </c>
      <c r="J425">
        <v>122.1</v>
      </c>
      <c r="K425">
        <v>490.5</v>
      </c>
      <c r="L425">
        <v>1747000</v>
      </c>
      <c r="M425" t="b">
        <v>1</v>
      </c>
      <c r="N425" t="b">
        <v>0</v>
      </c>
      <c r="O425">
        <v>1000</v>
      </c>
      <c r="P425" t="b">
        <v>0</v>
      </c>
      <c r="Q425" t="b">
        <v>0</v>
      </c>
      <c r="R425" t="b">
        <v>1</v>
      </c>
      <c r="S425" t="s">
        <v>260</v>
      </c>
      <c r="T425" t="s">
        <v>115</v>
      </c>
    </row>
    <row r="426" spans="1:21" x14ac:dyDescent="0.3">
      <c r="A426" t="s">
        <v>531</v>
      </c>
      <c r="B426" s="1">
        <v>46039</v>
      </c>
      <c r="C426" s="1">
        <v>46040</v>
      </c>
      <c r="D426" s="1">
        <v>46042</v>
      </c>
      <c r="E426" s="1">
        <v>46042</v>
      </c>
      <c r="F426" t="s">
        <v>34</v>
      </c>
      <c r="G426" t="s">
        <v>52</v>
      </c>
      <c r="H426" t="s">
        <v>20</v>
      </c>
      <c r="I426" t="s">
        <v>43</v>
      </c>
      <c r="J426">
        <v>272.5</v>
      </c>
      <c r="K426">
        <v>732.7</v>
      </c>
      <c r="L426">
        <v>4852000</v>
      </c>
      <c r="M426" t="b">
        <v>0</v>
      </c>
      <c r="N426" t="b">
        <v>0</v>
      </c>
      <c r="O426">
        <v>5000</v>
      </c>
      <c r="P426" t="b">
        <v>0</v>
      </c>
      <c r="Q426" t="b">
        <v>0</v>
      </c>
      <c r="R426" t="b">
        <v>0</v>
      </c>
      <c r="S426" t="s">
        <v>96</v>
      </c>
      <c r="T426" t="s">
        <v>104</v>
      </c>
    </row>
    <row r="427" spans="1:21" x14ac:dyDescent="0.3">
      <c r="A427" t="s">
        <v>532</v>
      </c>
      <c r="B427" s="1">
        <v>46158</v>
      </c>
      <c r="C427" s="1">
        <v>46158</v>
      </c>
      <c r="D427" s="1">
        <v>46159</v>
      </c>
      <c r="E427" s="1">
        <v>46159</v>
      </c>
      <c r="F427" t="s">
        <v>31</v>
      </c>
      <c r="G427" t="s">
        <v>61</v>
      </c>
      <c r="H427" t="s">
        <v>20</v>
      </c>
      <c r="I427" t="s">
        <v>43</v>
      </c>
      <c r="J427">
        <v>57.4</v>
      </c>
      <c r="K427">
        <v>3803.1</v>
      </c>
      <c r="L427">
        <v>2748000</v>
      </c>
      <c r="M427" t="b">
        <v>0</v>
      </c>
      <c r="N427" t="b">
        <v>0</v>
      </c>
      <c r="O427">
        <v>5000</v>
      </c>
      <c r="P427" t="b">
        <v>0</v>
      </c>
      <c r="Q427" t="b">
        <v>0</v>
      </c>
      <c r="R427" t="b">
        <v>0</v>
      </c>
      <c r="S427" t="s">
        <v>96</v>
      </c>
      <c r="T427" t="s">
        <v>102</v>
      </c>
    </row>
    <row r="428" spans="1:21" x14ac:dyDescent="0.3">
      <c r="A428" t="s">
        <v>533</v>
      </c>
      <c r="B428" s="1">
        <v>46052</v>
      </c>
      <c r="C428" s="1">
        <v>46053</v>
      </c>
      <c r="D428" s="1">
        <v>46057</v>
      </c>
      <c r="E428" s="1">
        <v>46057</v>
      </c>
      <c r="F428" t="s">
        <v>33</v>
      </c>
      <c r="G428" t="s">
        <v>61</v>
      </c>
      <c r="H428" t="s">
        <v>21</v>
      </c>
      <c r="I428" t="s">
        <v>43</v>
      </c>
      <c r="J428">
        <v>609.70000000000005</v>
      </c>
      <c r="K428">
        <v>603.4</v>
      </c>
      <c r="L428">
        <v>8758000</v>
      </c>
      <c r="M428" t="b">
        <v>0</v>
      </c>
      <c r="N428" t="b">
        <v>0</v>
      </c>
      <c r="O428">
        <v>5000</v>
      </c>
      <c r="P428" t="b">
        <v>0</v>
      </c>
      <c r="Q428" t="b">
        <v>0</v>
      </c>
      <c r="R428" t="b">
        <v>0</v>
      </c>
      <c r="S428" t="s">
        <v>96</v>
      </c>
      <c r="T428" t="s">
        <v>104</v>
      </c>
    </row>
    <row r="429" spans="1:21" x14ac:dyDescent="0.3">
      <c r="A429" t="s">
        <v>534</v>
      </c>
      <c r="B429" s="1">
        <v>46080</v>
      </c>
      <c r="C429" s="1">
        <v>46081</v>
      </c>
      <c r="D429" s="1">
        <v>46085</v>
      </c>
      <c r="E429" s="1">
        <v>46086</v>
      </c>
      <c r="F429" t="s">
        <v>34</v>
      </c>
      <c r="G429" t="s">
        <v>52</v>
      </c>
      <c r="H429" t="s">
        <v>24</v>
      </c>
      <c r="I429" t="s">
        <v>45</v>
      </c>
      <c r="J429">
        <v>310.60000000000002</v>
      </c>
      <c r="K429">
        <v>810.1</v>
      </c>
      <c r="L429">
        <v>3054000</v>
      </c>
      <c r="M429" t="b">
        <v>0</v>
      </c>
      <c r="N429" t="b">
        <v>0</v>
      </c>
      <c r="O429">
        <v>1000</v>
      </c>
      <c r="P429" t="b">
        <v>0</v>
      </c>
      <c r="Q429" t="b">
        <v>0</v>
      </c>
      <c r="R429" t="b">
        <v>0</v>
      </c>
      <c r="S429" t="s">
        <v>101</v>
      </c>
      <c r="T429" t="s">
        <v>115</v>
      </c>
      <c r="U429">
        <v>1</v>
      </c>
    </row>
    <row r="430" spans="1:21" x14ac:dyDescent="0.3">
      <c r="A430" t="s">
        <v>535</v>
      </c>
      <c r="B430" s="1">
        <v>46154</v>
      </c>
      <c r="C430" s="1">
        <v>46155</v>
      </c>
      <c r="D430" s="1">
        <v>46158</v>
      </c>
      <c r="F430" t="s">
        <v>33</v>
      </c>
      <c r="G430" t="s">
        <v>63</v>
      </c>
      <c r="H430" t="s">
        <v>23</v>
      </c>
      <c r="I430" t="s">
        <v>43</v>
      </c>
      <c r="J430">
        <v>316.2</v>
      </c>
      <c r="K430">
        <v>979.8</v>
      </c>
      <c r="L430">
        <v>5518000</v>
      </c>
      <c r="M430" t="b">
        <v>0</v>
      </c>
      <c r="N430" t="b">
        <v>0</v>
      </c>
      <c r="O430">
        <v>5000</v>
      </c>
      <c r="P430" t="b">
        <v>0</v>
      </c>
      <c r="Q430" t="b">
        <v>0</v>
      </c>
      <c r="R430" t="b">
        <v>0</v>
      </c>
      <c r="S430" t="s">
        <v>203</v>
      </c>
      <c r="T430" t="s">
        <v>102</v>
      </c>
    </row>
    <row r="431" spans="1:21" x14ac:dyDescent="0.3">
      <c r="A431" t="s">
        <v>536</v>
      </c>
      <c r="B431" s="1">
        <v>46037</v>
      </c>
      <c r="C431" s="1">
        <v>46038</v>
      </c>
      <c r="D431" s="1">
        <v>46042</v>
      </c>
      <c r="E431" s="1">
        <v>46044</v>
      </c>
      <c r="F431" t="s">
        <v>33</v>
      </c>
      <c r="G431" t="s">
        <v>61</v>
      </c>
      <c r="H431" t="s">
        <v>23</v>
      </c>
      <c r="I431" t="s">
        <v>43</v>
      </c>
      <c r="J431">
        <v>631.5</v>
      </c>
      <c r="K431">
        <v>1692.5</v>
      </c>
      <c r="L431">
        <v>8477000</v>
      </c>
      <c r="M431" t="b">
        <v>0</v>
      </c>
      <c r="N431" t="b">
        <v>0</v>
      </c>
      <c r="O431">
        <v>5000</v>
      </c>
      <c r="P431" t="b">
        <v>0</v>
      </c>
      <c r="Q431" t="b">
        <v>0</v>
      </c>
      <c r="R431" t="b">
        <v>0</v>
      </c>
      <c r="S431" t="s">
        <v>101</v>
      </c>
      <c r="T431" t="s">
        <v>104</v>
      </c>
      <c r="U431">
        <v>2</v>
      </c>
    </row>
    <row r="432" spans="1:21" x14ac:dyDescent="0.3">
      <c r="A432" t="s">
        <v>537</v>
      </c>
      <c r="B432" s="1">
        <v>46029</v>
      </c>
      <c r="C432" s="1">
        <v>46030</v>
      </c>
      <c r="D432" s="1">
        <v>46033</v>
      </c>
      <c r="E432" s="1">
        <v>46033</v>
      </c>
      <c r="F432" t="s">
        <v>34</v>
      </c>
      <c r="G432" t="s">
        <v>63</v>
      </c>
      <c r="H432" t="s">
        <v>21</v>
      </c>
      <c r="I432" t="s">
        <v>45</v>
      </c>
      <c r="J432">
        <v>300.5</v>
      </c>
      <c r="K432">
        <v>898</v>
      </c>
      <c r="L432">
        <v>2621000</v>
      </c>
      <c r="M432" t="b">
        <v>0</v>
      </c>
      <c r="N432" t="b">
        <v>0</v>
      </c>
      <c r="O432">
        <v>1000</v>
      </c>
      <c r="P432" t="b">
        <v>0</v>
      </c>
      <c r="Q432" t="b">
        <v>0</v>
      </c>
      <c r="R432" t="b">
        <v>0</v>
      </c>
      <c r="S432" t="s">
        <v>96</v>
      </c>
      <c r="T432" t="s">
        <v>104</v>
      </c>
    </row>
    <row r="433" spans="1:21" x14ac:dyDescent="0.3">
      <c r="A433" t="s">
        <v>538</v>
      </c>
      <c r="B433" s="1">
        <v>46195</v>
      </c>
      <c r="C433" s="1">
        <v>46196</v>
      </c>
      <c r="D433" s="1">
        <v>46198</v>
      </c>
      <c r="E433" s="1">
        <v>46200</v>
      </c>
      <c r="F433" t="s">
        <v>34</v>
      </c>
      <c r="G433" t="s">
        <v>58</v>
      </c>
      <c r="H433" t="s">
        <v>22</v>
      </c>
      <c r="I433" t="s">
        <v>44</v>
      </c>
      <c r="J433">
        <v>150.9</v>
      </c>
      <c r="K433">
        <v>694.3</v>
      </c>
      <c r="L433">
        <v>2100000</v>
      </c>
      <c r="M433" t="b">
        <v>0</v>
      </c>
      <c r="N433" t="b">
        <v>0</v>
      </c>
      <c r="O433">
        <v>1500</v>
      </c>
      <c r="P433" t="b">
        <v>0</v>
      </c>
      <c r="Q433" t="b">
        <v>0</v>
      </c>
      <c r="R433" t="b">
        <v>0</v>
      </c>
      <c r="S433" t="s">
        <v>101</v>
      </c>
      <c r="T433" t="s">
        <v>99</v>
      </c>
      <c r="U433">
        <v>2</v>
      </c>
    </row>
    <row r="434" spans="1:21" x14ac:dyDescent="0.3">
      <c r="A434" t="s">
        <v>539</v>
      </c>
      <c r="B434" s="1">
        <v>46116</v>
      </c>
      <c r="C434" s="1">
        <v>46117</v>
      </c>
      <c r="D434" s="1">
        <v>46121</v>
      </c>
      <c r="E434" s="1">
        <v>46121</v>
      </c>
      <c r="F434" t="s">
        <v>33</v>
      </c>
      <c r="G434" t="s">
        <v>56</v>
      </c>
      <c r="H434" t="s">
        <v>20</v>
      </c>
      <c r="I434" t="s">
        <v>44</v>
      </c>
      <c r="J434">
        <v>1411.3</v>
      </c>
      <c r="K434">
        <v>856.3</v>
      </c>
      <c r="L434">
        <v>15175000</v>
      </c>
      <c r="M434" t="b">
        <v>0</v>
      </c>
      <c r="N434" t="b">
        <v>0</v>
      </c>
      <c r="O434">
        <v>1500</v>
      </c>
      <c r="P434" t="b">
        <v>0</v>
      </c>
      <c r="Q434" t="b">
        <v>0</v>
      </c>
      <c r="R434" t="b">
        <v>0</v>
      </c>
      <c r="S434" t="s">
        <v>96</v>
      </c>
      <c r="T434" t="s">
        <v>112</v>
      </c>
    </row>
    <row r="435" spans="1:21" x14ac:dyDescent="0.3">
      <c r="A435" t="s">
        <v>540</v>
      </c>
      <c r="B435" s="1">
        <v>46038</v>
      </c>
      <c r="C435" s="1">
        <v>46039</v>
      </c>
      <c r="D435" s="1">
        <v>46042</v>
      </c>
      <c r="E435" s="1">
        <v>46042</v>
      </c>
      <c r="F435" t="s">
        <v>34</v>
      </c>
      <c r="G435" t="s">
        <v>52</v>
      </c>
      <c r="H435" t="s">
        <v>20</v>
      </c>
      <c r="I435" t="s">
        <v>45</v>
      </c>
      <c r="J435">
        <v>308.5</v>
      </c>
      <c r="K435">
        <v>535.20000000000005</v>
      </c>
      <c r="L435">
        <v>3081000</v>
      </c>
      <c r="M435" t="b">
        <v>0</v>
      </c>
      <c r="N435" t="b">
        <v>0</v>
      </c>
      <c r="O435">
        <v>1000</v>
      </c>
      <c r="P435" t="b">
        <v>0</v>
      </c>
      <c r="Q435" t="b">
        <v>0</v>
      </c>
      <c r="R435" t="b">
        <v>0</v>
      </c>
      <c r="S435" t="s">
        <v>96</v>
      </c>
      <c r="T435" t="s">
        <v>104</v>
      </c>
    </row>
    <row r="436" spans="1:21" x14ac:dyDescent="0.3">
      <c r="A436" t="s">
        <v>541</v>
      </c>
      <c r="B436" s="1">
        <v>46090</v>
      </c>
      <c r="C436" s="1">
        <v>46091</v>
      </c>
      <c r="D436" s="1">
        <v>46095</v>
      </c>
      <c r="E436" s="1">
        <v>46096</v>
      </c>
      <c r="F436" t="s">
        <v>34</v>
      </c>
      <c r="G436" t="s">
        <v>62</v>
      </c>
      <c r="H436" t="s">
        <v>23</v>
      </c>
      <c r="I436" t="s">
        <v>43</v>
      </c>
      <c r="J436">
        <v>732.2</v>
      </c>
      <c r="K436">
        <v>3498.3</v>
      </c>
      <c r="L436">
        <v>11768000</v>
      </c>
      <c r="M436" t="b">
        <v>0</v>
      </c>
      <c r="N436" t="b">
        <v>0</v>
      </c>
      <c r="O436">
        <v>5000</v>
      </c>
      <c r="P436" t="b">
        <v>0</v>
      </c>
      <c r="Q436" t="b">
        <v>0</v>
      </c>
      <c r="R436" t="b">
        <v>0</v>
      </c>
      <c r="S436" t="s">
        <v>101</v>
      </c>
      <c r="T436" t="s">
        <v>118</v>
      </c>
      <c r="U436">
        <v>1</v>
      </c>
    </row>
    <row r="437" spans="1:21" x14ac:dyDescent="0.3">
      <c r="A437" t="s">
        <v>542</v>
      </c>
      <c r="B437" s="1">
        <v>46202</v>
      </c>
      <c r="C437" s="1">
        <v>46202</v>
      </c>
      <c r="D437" s="1">
        <v>46203</v>
      </c>
      <c r="E437" s="1">
        <v>46203</v>
      </c>
      <c r="F437" t="s">
        <v>34</v>
      </c>
      <c r="G437" t="s">
        <v>55</v>
      </c>
      <c r="H437" t="s">
        <v>24</v>
      </c>
      <c r="I437" t="s">
        <v>44</v>
      </c>
      <c r="J437">
        <v>57.1</v>
      </c>
      <c r="K437">
        <v>590.29999999999995</v>
      </c>
      <c r="L437">
        <v>1312000</v>
      </c>
      <c r="M437" t="b">
        <v>0</v>
      </c>
      <c r="N437" t="b">
        <v>0</v>
      </c>
      <c r="O437">
        <v>1500</v>
      </c>
      <c r="P437" t="b">
        <v>0</v>
      </c>
      <c r="Q437" t="b">
        <v>0</v>
      </c>
      <c r="R437" t="b">
        <v>0</v>
      </c>
      <c r="S437" t="s">
        <v>96</v>
      </c>
      <c r="T437" t="s">
        <v>99</v>
      </c>
    </row>
    <row r="438" spans="1:21" x14ac:dyDescent="0.3">
      <c r="A438" t="s">
        <v>543</v>
      </c>
      <c r="B438" s="1">
        <v>46042</v>
      </c>
      <c r="C438" s="1">
        <v>46043</v>
      </c>
      <c r="D438" s="1">
        <v>46047</v>
      </c>
      <c r="E438" s="1">
        <v>46048</v>
      </c>
      <c r="F438" t="s">
        <v>33</v>
      </c>
      <c r="G438" t="s">
        <v>57</v>
      </c>
      <c r="H438" t="s">
        <v>23</v>
      </c>
      <c r="I438" t="s">
        <v>43</v>
      </c>
      <c r="J438">
        <v>465.4</v>
      </c>
      <c r="K438">
        <v>3344.4</v>
      </c>
      <c r="L438">
        <v>8149000</v>
      </c>
      <c r="M438" t="b">
        <v>0</v>
      </c>
      <c r="N438" t="b">
        <v>0</v>
      </c>
      <c r="O438">
        <v>5000</v>
      </c>
      <c r="P438" t="b">
        <v>0</v>
      </c>
      <c r="Q438" t="b">
        <v>0</v>
      </c>
      <c r="R438" t="b">
        <v>0</v>
      </c>
      <c r="S438" t="s">
        <v>101</v>
      </c>
      <c r="T438" t="s">
        <v>104</v>
      </c>
      <c r="U438">
        <v>1</v>
      </c>
    </row>
    <row r="439" spans="1:21" x14ac:dyDescent="0.3">
      <c r="A439" t="s">
        <v>544</v>
      </c>
      <c r="B439" s="1">
        <v>46131</v>
      </c>
      <c r="C439" s="1">
        <v>46132</v>
      </c>
      <c r="D439" s="1">
        <v>46133</v>
      </c>
      <c r="E439" s="1">
        <v>46134</v>
      </c>
      <c r="F439" t="s">
        <v>32</v>
      </c>
      <c r="G439" t="s">
        <v>57</v>
      </c>
      <c r="H439" t="s">
        <v>21</v>
      </c>
      <c r="I439" t="s">
        <v>44</v>
      </c>
      <c r="J439">
        <v>22.3</v>
      </c>
      <c r="K439">
        <v>1358.7</v>
      </c>
      <c r="L439">
        <v>1240000</v>
      </c>
      <c r="M439" t="b">
        <v>0</v>
      </c>
      <c r="N439" t="b">
        <v>0</v>
      </c>
      <c r="O439">
        <v>1500</v>
      </c>
      <c r="P439" t="b">
        <v>0</v>
      </c>
      <c r="Q439" t="b">
        <v>0</v>
      </c>
      <c r="R439" t="b">
        <v>0</v>
      </c>
      <c r="S439" t="s">
        <v>101</v>
      </c>
      <c r="T439" t="s">
        <v>112</v>
      </c>
      <c r="U439">
        <v>1</v>
      </c>
    </row>
    <row r="440" spans="1:21" x14ac:dyDescent="0.3">
      <c r="A440" t="s">
        <v>545</v>
      </c>
      <c r="B440" s="1">
        <v>46161</v>
      </c>
      <c r="C440" s="1">
        <v>46162</v>
      </c>
      <c r="D440" s="1">
        <v>46167</v>
      </c>
      <c r="F440" t="s">
        <v>31</v>
      </c>
      <c r="G440" t="s">
        <v>62</v>
      </c>
      <c r="H440" t="s">
        <v>20</v>
      </c>
      <c r="I440" t="s">
        <v>43</v>
      </c>
      <c r="J440">
        <v>738.7</v>
      </c>
      <c r="K440">
        <v>547.70000000000005</v>
      </c>
      <c r="L440">
        <v>10924000</v>
      </c>
      <c r="M440" t="b">
        <v>0</v>
      </c>
      <c r="N440" t="b">
        <v>0</v>
      </c>
      <c r="O440">
        <v>5000</v>
      </c>
      <c r="P440" t="b">
        <v>0</v>
      </c>
      <c r="Q440" t="b">
        <v>0</v>
      </c>
      <c r="R440" t="b">
        <v>0</v>
      </c>
      <c r="S440" t="s">
        <v>203</v>
      </c>
      <c r="T440" t="s">
        <v>102</v>
      </c>
    </row>
    <row r="441" spans="1:21" x14ac:dyDescent="0.3">
      <c r="A441" t="s">
        <v>546</v>
      </c>
      <c r="B441" s="1">
        <v>46141</v>
      </c>
      <c r="C441" s="1">
        <v>46143</v>
      </c>
      <c r="D441" s="1">
        <v>46147</v>
      </c>
      <c r="E441" s="1">
        <v>46147</v>
      </c>
      <c r="F441" t="s">
        <v>33</v>
      </c>
      <c r="G441" t="s">
        <v>52</v>
      </c>
      <c r="H441" t="s">
        <v>23</v>
      </c>
      <c r="I441" t="s">
        <v>45</v>
      </c>
      <c r="J441">
        <v>658.4</v>
      </c>
      <c r="K441">
        <v>254</v>
      </c>
      <c r="L441">
        <v>6622000</v>
      </c>
      <c r="M441" t="b">
        <v>0</v>
      </c>
      <c r="N441" t="b">
        <v>0</v>
      </c>
      <c r="O441">
        <v>1000</v>
      </c>
      <c r="P441" t="b">
        <v>0</v>
      </c>
      <c r="Q441" t="b">
        <v>0</v>
      </c>
      <c r="R441" t="b">
        <v>0</v>
      </c>
      <c r="S441" t="s">
        <v>96</v>
      </c>
      <c r="T441" t="s">
        <v>102</v>
      </c>
    </row>
    <row r="442" spans="1:21" x14ac:dyDescent="0.3">
      <c r="A442" t="s">
        <v>547</v>
      </c>
      <c r="B442" s="1">
        <v>46163</v>
      </c>
      <c r="C442" s="1">
        <v>46164</v>
      </c>
      <c r="D442" s="1">
        <v>46167</v>
      </c>
      <c r="E442" s="1">
        <v>46167</v>
      </c>
      <c r="F442" t="s">
        <v>31</v>
      </c>
      <c r="G442" t="s">
        <v>54</v>
      </c>
      <c r="H442" t="s">
        <v>20</v>
      </c>
      <c r="I442" t="s">
        <v>43</v>
      </c>
      <c r="J442">
        <v>461</v>
      </c>
      <c r="K442">
        <v>4479.7</v>
      </c>
      <c r="L442">
        <v>9029000</v>
      </c>
      <c r="M442" t="b">
        <v>0</v>
      </c>
      <c r="N442" t="b">
        <v>0</v>
      </c>
      <c r="O442">
        <v>5000</v>
      </c>
      <c r="P442" t="b">
        <v>0</v>
      </c>
      <c r="Q442" t="b">
        <v>0</v>
      </c>
      <c r="R442" t="b">
        <v>0</v>
      </c>
      <c r="S442" t="s">
        <v>96</v>
      </c>
      <c r="T442" t="s">
        <v>102</v>
      </c>
    </row>
    <row r="443" spans="1:21" x14ac:dyDescent="0.3">
      <c r="A443" t="s">
        <v>548</v>
      </c>
      <c r="B443" s="1">
        <v>46141</v>
      </c>
      <c r="C443" s="1">
        <v>46142</v>
      </c>
      <c r="D443" s="1">
        <v>46146</v>
      </c>
      <c r="E443" s="1">
        <v>46146</v>
      </c>
      <c r="F443" t="s">
        <v>32</v>
      </c>
      <c r="G443" t="s">
        <v>56</v>
      </c>
      <c r="H443" t="s">
        <v>20</v>
      </c>
      <c r="I443" t="s">
        <v>42</v>
      </c>
      <c r="J443">
        <v>1012.4</v>
      </c>
      <c r="K443">
        <v>12319.4</v>
      </c>
      <c r="L443">
        <v>22881000</v>
      </c>
      <c r="M443" t="b">
        <v>0</v>
      </c>
      <c r="N443" t="b">
        <v>0</v>
      </c>
      <c r="O443">
        <v>16000</v>
      </c>
      <c r="P443" t="b">
        <v>0</v>
      </c>
      <c r="Q443" t="b">
        <v>0</v>
      </c>
      <c r="R443" t="b">
        <v>0</v>
      </c>
      <c r="S443" t="s">
        <v>96</v>
      </c>
      <c r="T443" t="s">
        <v>112</v>
      </c>
    </row>
    <row r="444" spans="1:21" x14ac:dyDescent="0.3">
      <c r="A444" t="s">
        <v>549</v>
      </c>
      <c r="B444" s="1">
        <v>46200</v>
      </c>
      <c r="C444" s="1">
        <v>46202</v>
      </c>
      <c r="D444" s="1">
        <v>46204</v>
      </c>
      <c r="E444" s="1">
        <v>46205</v>
      </c>
      <c r="F444" t="s">
        <v>32</v>
      </c>
      <c r="G444" t="s">
        <v>61</v>
      </c>
      <c r="H444" t="s">
        <v>23</v>
      </c>
      <c r="I444" t="s">
        <v>45</v>
      </c>
      <c r="J444">
        <v>155.1</v>
      </c>
      <c r="K444">
        <v>106.2</v>
      </c>
      <c r="L444">
        <v>1800000</v>
      </c>
      <c r="M444" t="b">
        <v>0</v>
      </c>
      <c r="N444" t="b">
        <v>0</v>
      </c>
      <c r="O444">
        <v>1000</v>
      </c>
      <c r="P444" t="b">
        <v>0</v>
      </c>
      <c r="Q444" t="b">
        <v>0</v>
      </c>
      <c r="R444" t="b">
        <v>0</v>
      </c>
      <c r="S444" t="s">
        <v>101</v>
      </c>
      <c r="T444" t="s">
        <v>99</v>
      </c>
      <c r="U444">
        <v>1</v>
      </c>
    </row>
    <row r="445" spans="1:21" x14ac:dyDescent="0.3">
      <c r="A445" t="s">
        <v>550</v>
      </c>
      <c r="B445" s="1">
        <v>46123</v>
      </c>
      <c r="C445" s="1">
        <v>46124</v>
      </c>
      <c r="D445" s="1">
        <v>46126</v>
      </c>
      <c r="E445" s="1">
        <v>46126</v>
      </c>
      <c r="F445" t="s">
        <v>31</v>
      </c>
      <c r="G445" t="s">
        <v>57</v>
      </c>
      <c r="H445" t="s">
        <v>24</v>
      </c>
      <c r="I445" t="s">
        <v>44</v>
      </c>
      <c r="J445">
        <v>131</v>
      </c>
      <c r="K445">
        <v>1000.9</v>
      </c>
      <c r="L445">
        <v>2012000</v>
      </c>
      <c r="M445" t="b">
        <v>0</v>
      </c>
      <c r="N445" t="b">
        <v>0</v>
      </c>
      <c r="O445">
        <v>1500</v>
      </c>
      <c r="P445" t="b">
        <v>0</v>
      </c>
      <c r="Q445" t="b">
        <v>0</v>
      </c>
      <c r="R445" t="b">
        <v>0</v>
      </c>
      <c r="S445" t="s">
        <v>96</v>
      </c>
      <c r="T445" t="s">
        <v>112</v>
      </c>
    </row>
    <row r="446" spans="1:21" x14ac:dyDescent="0.3">
      <c r="A446" t="s">
        <v>551</v>
      </c>
      <c r="B446" s="1">
        <v>46085</v>
      </c>
      <c r="C446" s="1">
        <v>46086</v>
      </c>
      <c r="D446" s="1">
        <v>46089</v>
      </c>
      <c r="E446" s="1">
        <v>46089</v>
      </c>
      <c r="F446" t="s">
        <v>34</v>
      </c>
      <c r="G446" t="s">
        <v>54</v>
      </c>
      <c r="H446" t="s">
        <v>22</v>
      </c>
      <c r="I446" t="s">
        <v>43</v>
      </c>
      <c r="J446">
        <v>424</v>
      </c>
      <c r="K446">
        <v>3902.2</v>
      </c>
      <c r="L446">
        <v>7755000</v>
      </c>
      <c r="M446" t="b">
        <v>0</v>
      </c>
      <c r="N446" t="b">
        <v>0</v>
      </c>
      <c r="O446">
        <v>5000</v>
      </c>
      <c r="P446" t="b">
        <v>0</v>
      </c>
      <c r="Q446" t="b">
        <v>0</v>
      </c>
      <c r="R446" t="b">
        <v>0</v>
      </c>
      <c r="S446" t="s">
        <v>96</v>
      </c>
      <c r="T446" t="s">
        <v>118</v>
      </c>
    </row>
    <row r="447" spans="1:21" x14ac:dyDescent="0.3">
      <c r="A447" t="s">
        <v>552</v>
      </c>
      <c r="B447" s="1">
        <v>46111</v>
      </c>
      <c r="C447" s="1">
        <v>46112</v>
      </c>
      <c r="D447" s="1">
        <v>46114</v>
      </c>
      <c r="E447" s="1">
        <v>46114</v>
      </c>
      <c r="F447" t="s">
        <v>34</v>
      </c>
      <c r="G447" t="s">
        <v>58</v>
      </c>
      <c r="H447" t="s">
        <v>21</v>
      </c>
      <c r="I447" t="s">
        <v>45</v>
      </c>
      <c r="J447">
        <v>151.19999999999999</v>
      </c>
      <c r="K447">
        <v>881.1</v>
      </c>
      <c r="L447">
        <v>1991000</v>
      </c>
      <c r="M447" t="b">
        <v>0</v>
      </c>
      <c r="N447" t="b">
        <v>0</v>
      </c>
      <c r="O447">
        <v>1000</v>
      </c>
      <c r="P447" t="b">
        <v>0</v>
      </c>
      <c r="Q447" t="b">
        <v>0</v>
      </c>
      <c r="R447" t="b">
        <v>0</v>
      </c>
      <c r="S447" t="s">
        <v>96</v>
      </c>
      <c r="T447" t="s">
        <v>118</v>
      </c>
    </row>
    <row r="448" spans="1:21" x14ac:dyDescent="0.3">
      <c r="A448" t="s">
        <v>553</v>
      </c>
      <c r="B448" s="1">
        <v>46125</v>
      </c>
      <c r="C448" s="1">
        <v>46126</v>
      </c>
      <c r="D448" s="1">
        <v>46130</v>
      </c>
      <c r="E448" s="1">
        <v>46130</v>
      </c>
      <c r="F448" t="s">
        <v>34</v>
      </c>
      <c r="G448" t="s">
        <v>62</v>
      </c>
      <c r="H448" t="s">
        <v>107</v>
      </c>
      <c r="I448" t="s">
        <v>43</v>
      </c>
      <c r="J448">
        <v>728.7</v>
      </c>
      <c r="K448">
        <v>4086.4</v>
      </c>
      <c r="L448">
        <v>10845000</v>
      </c>
      <c r="M448" t="b">
        <v>0</v>
      </c>
      <c r="N448" t="b">
        <v>0</v>
      </c>
      <c r="O448">
        <v>5000</v>
      </c>
      <c r="P448" t="b">
        <v>0</v>
      </c>
      <c r="Q448" t="b">
        <v>0</v>
      </c>
      <c r="R448" t="b">
        <v>0</v>
      </c>
      <c r="S448" t="s">
        <v>96</v>
      </c>
      <c r="T448" t="s">
        <v>112</v>
      </c>
    </row>
    <row r="449" spans="1:21" x14ac:dyDescent="0.3">
      <c r="A449" t="s">
        <v>554</v>
      </c>
      <c r="B449" s="1">
        <v>46200</v>
      </c>
      <c r="C449" s="1">
        <v>46202</v>
      </c>
      <c r="D449" s="1">
        <v>46205</v>
      </c>
      <c r="E449" s="1">
        <v>46205</v>
      </c>
      <c r="F449" t="s">
        <v>34</v>
      </c>
      <c r="G449" t="s">
        <v>59</v>
      </c>
      <c r="H449" t="s">
        <v>22</v>
      </c>
      <c r="I449" t="s">
        <v>44</v>
      </c>
      <c r="J449">
        <v>314.7</v>
      </c>
      <c r="K449">
        <v>629.70000000000005</v>
      </c>
      <c r="L449">
        <v>3361000</v>
      </c>
      <c r="M449" t="b">
        <v>0</v>
      </c>
      <c r="N449" t="b">
        <v>0</v>
      </c>
      <c r="O449">
        <v>1500</v>
      </c>
      <c r="P449" t="b">
        <v>0</v>
      </c>
      <c r="Q449" t="b">
        <v>0</v>
      </c>
      <c r="R449" t="b">
        <v>0</v>
      </c>
      <c r="S449" t="s">
        <v>96</v>
      </c>
      <c r="T449" t="s">
        <v>99</v>
      </c>
    </row>
    <row r="450" spans="1:21" x14ac:dyDescent="0.3">
      <c r="A450" t="s">
        <v>555</v>
      </c>
      <c r="B450" s="1">
        <v>46065</v>
      </c>
      <c r="C450" s="1">
        <v>46066</v>
      </c>
      <c r="D450" s="1">
        <v>46069</v>
      </c>
      <c r="E450" s="1">
        <v>46069</v>
      </c>
      <c r="F450" t="s">
        <v>34</v>
      </c>
      <c r="G450" t="s">
        <v>63</v>
      </c>
      <c r="H450" t="s">
        <v>22</v>
      </c>
      <c r="I450" t="s">
        <v>43</v>
      </c>
      <c r="J450">
        <v>323.2</v>
      </c>
      <c r="K450">
        <v>2951.4</v>
      </c>
      <c r="L450">
        <v>5071000</v>
      </c>
      <c r="M450" t="b">
        <v>0</v>
      </c>
      <c r="N450" t="b">
        <v>0</v>
      </c>
      <c r="O450">
        <v>5000</v>
      </c>
      <c r="P450" t="b">
        <v>0</v>
      </c>
      <c r="Q450" t="b">
        <v>0</v>
      </c>
      <c r="R450" t="b">
        <v>0</v>
      </c>
      <c r="S450" t="s">
        <v>96</v>
      </c>
      <c r="T450" t="s">
        <v>115</v>
      </c>
    </row>
    <row r="451" spans="1:21" x14ac:dyDescent="0.3">
      <c r="A451" t="s">
        <v>556</v>
      </c>
      <c r="B451" s="1">
        <v>46049</v>
      </c>
      <c r="C451" s="1">
        <v>46050</v>
      </c>
      <c r="D451" s="1">
        <v>46053</v>
      </c>
      <c r="E451" s="1">
        <v>46053</v>
      </c>
      <c r="F451" t="s">
        <v>34</v>
      </c>
      <c r="G451" t="s">
        <v>52</v>
      </c>
      <c r="H451" t="s">
        <v>23</v>
      </c>
      <c r="I451" t="s">
        <v>43</v>
      </c>
      <c r="J451">
        <v>289.10000000000002</v>
      </c>
      <c r="K451">
        <v>1369.3</v>
      </c>
      <c r="L451">
        <v>4551000</v>
      </c>
      <c r="M451" t="b">
        <v>0</v>
      </c>
      <c r="N451" t="b">
        <v>0</v>
      </c>
      <c r="O451">
        <v>5000</v>
      </c>
      <c r="P451" t="b">
        <v>0</v>
      </c>
      <c r="Q451" t="b">
        <v>0</v>
      </c>
      <c r="R451" t="b">
        <v>0</v>
      </c>
      <c r="S451" t="s">
        <v>96</v>
      </c>
      <c r="T451" t="s">
        <v>104</v>
      </c>
    </row>
    <row r="452" spans="1:21" x14ac:dyDescent="0.3">
      <c r="A452" t="s">
        <v>557</v>
      </c>
      <c r="B452" s="1">
        <v>46197</v>
      </c>
      <c r="C452" s="1">
        <v>46199</v>
      </c>
      <c r="D452" s="1">
        <v>46202</v>
      </c>
      <c r="E452" s="1">
        <v>46202</v>
      </c>
      <c r="F452" t="s">
        <v>33</v>
      </c>
      <c r="G452" t="s">
        <v>59</v>
      </c>
      <c r="H452" t="s">
        <v>23</v>
      </c>
      <c r="I452" t="s">
        <v>42</v>
      </c>
      <c r="J452">
        <v>504.9</v>
      </c>
      <c r="K452">
        <v>7608.5</v>
      </c>
      <c r="L452">
        <v>13784000</v>
      </c>
      <c r="M452" t="b">
        <v>0</v>
      </c>
      <c r="N452" t="b">
        <v>0</v>
      </c>
      <c r="O452">
        <v>16000</v>
      </c>
      <c r="P452" t="b">
        <v>0</v>
      </c>
      <c r="Q452" t="b">
        <v>0</v>
      </c>
      <c r="R452" t="b">
        <v>0</v>
      </c>
      <c r="S452" t="s">
        <v>96</v>
      </c>
      <c r="T452" t="s">
        <v>99</v>
      </c>
    </row>
    <row r="453" spans="1:21" x14ac:dyDescent="0.3">
      <c r="A453" t="s">
        <v>558</v>
      </c>
      <c r="B453" s="1">
        <v>46072</v>
      </c>
      <c r="C453" s="1">
        <v>46073</v>
      </c>
      <c r="D453" s="1">
        <v>46076</v>
      </c>
      <c r="E453" s="1">
        <v>46077</v>
      </c>
      <c r="F453" t="s">
        <v>31</v>
      </c>
      <c r="G453" t="s">
        <v>54</v>
      </c>
      <c r="H453" t="s">
        <v>22</v>
      </c>
      <c r="I453" t="s">
        <v>45</v>
      </c>
      <c r="J453">
        <v>457.1</v>
      </c>
      <c r="K453">
        <v>228</v>
      </c>
      <c r="L453">
        <v>4174000</v>
      </c>
      <c r="M453" t="b">
        <v>0</v>
      </c>
      <c r="N453" t="b">
        <v>0</v>
      </c>
      <c r="O453">
        <v>1000</v>
      </c>
      <c r="P453" t="b">
        <v>0</v>
      </c>
      <c r="Q453" t="b">
        <v>0</v>
      </c>
      <c r="R453" t="b">
        <v>0</v>
      </c>
      <c r="S453" t="s">
        <v>101</v>
      </c>
      <c r="T453" t="s">
        <v>115</v>
      </c>
      <c r="U453">
        <v>1</v>
      </c>
    </row>
    <row r="454" spans="1:21" x14ac:dyDescent="0.3">
      <c r="A454" t="s">
        <v>559</v>
      </c>
      <c r="B454" s="1">
        <v>46023</v>
      </c>
      <c r="C454" s="1">
        <v>46024</v>
      </c>
      <c r="D454" s="1">
        <v>46026</v>
      </c>
      <c r="E454" s="1">
        <v>46028</v>
      </c>
      <c r="F454" t="s">
        <v>32</v>
      </c>
      <c r="G454" t="s">
        <v>63</v>
      </c>
      <c r="H454" t="s">
        <v>22</v>
      </c>
      <c r="I454" t="s">
        <v>43</v>
      </c>
      <c r="J454">
        <v>185.3</v>
      </c>
      <c r="K454">
        <v>3443.3</v>
      </c>
      <c r="L454">
        <v>4551000</v>
      </c>
      <c r="M454" t="b">
        <v>0</v>
      </c>
      <c r="N454" t="b">
        <v>0</v>
      </c>
      <c r="O454">
        <v>5000</v>
      </c>
      <c r="P454" t="b">
        <v>0</v>
      </c>
      <c r="Q454" t="b">
        <v>0</v>
      </c>
      <c r="R454" t="b">
        <v>0</v>
      </c>
      <c r="S454" t="s">
        <v>101</v>
      </c>
      <c r="T454" t="s">
        <v>104</v>
      </c>
      <c r="U454">
        <v>2</v>
      </c>
    </row>
    <row r="455" spans="1:21" x14ac:dyDescent="0.3">
      <c r="A455" t="s">
        <v>560</v>
      </c>
      <c r="B455" s="1">
        <v>46083</v>
      </c>
      <c r="C455" s="1">
        <v>46084</v>
      </c>
      <c r="D455" s="1">
        <v>46087</v>
      </c>
      <c r="F455" t="s">
        <v>33</v>
      </c>
      <c r="G455" t="s">
        <v>55</v>
      </c>
      <c r="H455" t="s">
        <v>20</v>
      </c>
      <c r="I455" t="s">
        <v>43</v>
      </c>
      <c r="J455">
        <v>555.20000000000005</v>
      </c>
      <c r="K455">
        <v>2757.1</v>
      </c>
      <c r="L455">
        <v>8386000</v>
      </c>
      <c r="M455" t="b">
        <v>0</v>
      </c>
      <c r="N455" t="b">
        <v>0</v>
      </c>
      <c r="O455">
        <v>5000</v>
      </c>
      <c r="P455" t="b">
        <v>0</v>
      </c>
      <c r="Q455" t="b">
        <v>0</v>
      </c>
      <c r="R455" t="b">
        <v>0</v>
      </c>
      <c r="S455" t="s">
        <v>203</v>
      </c>
      <c r="T455" t="s">
        <v>118</v>
      </c>
    </row>
    <row r="456" spans="1:21" x14ac:dyDescent="0.3">
      <c r="A456" t="s">
        <v>561</v>
      </c>
      <c r="B456" s="1">
        <v>46186</v>
      </c>
      <c r="C456" s="1">
        <v>46187</v>
      </c>
      <c r="D456" s="1">
        <v>46190</v>
      </c>
      <c r="E456" s="1">
        <v>46190</v>
      </c>
      <c r="F456" t="s">
        <v>34</v>
      </c>
      <c r="G456" t="s">
        <v>53</v>
      </c>
      <c r="H456" t="s">
        <v>23</v>
      </c>
      <c r="I456" t="s">
        <v>44</v>
      </c>
      <c r="J456">
        <v>312.5</v>
      </c>
      <c r="K456">
        <v>665.8</v>
      </c>
      <c r="L456">
        <v>4339000</v>
      </c>
      <c r="M456" t="b">
        <v>0</v>
      </c>
      <c r="N456" t="b">
        <v>0</v>
      </c>
      <c r="O456">
        <v>1500</v>
      </c>
      <c r="P456" t="b">
        <v>0</v>
      </c>
      <c r="Q456" t="b">
        <v>0</v>
      </c>
      <c r="R456" t="b">
        <v>0</v>
      </c>
      <c r="S456" t="s">
        <v>96</v>
      </c>
      <c r="T456" t="s">
        <v>99</v>
      </c>
    </row>
    <row r="457" spans="1:21" x14ac:dyDescent="0.3">
      <c r="A457" t="s">
        <v>562</v>
      </c>
      <c r="B457" s="1">
        <v>46036</v>
      </c>
      <c r="C457" s="1">
        <v>46037</v>
      </c>
      <c r="D457" s="1">
        <v>46039</v>
      </c>
      <c r="E457" s="1">
        <v>46041</v>
      </c>
      <c r="F457" t="s">
        <v>34</v>
      </c>
      <c r="G457" t="s">
        <v>57</v>
      </c>
      <c r="H457" t="s">
        <v>23</v>
      </c>
      <c r="I457" t="s">
        <v>45</v>
      </c>
      <c r="J457">
        <v>159.5</v>
      </c>
      <c r="K457">
        <v>664.3</v>
      </c>
      <c r="L457">
        <v>2070000</v>
      </c>
      <c r="M457" t="b">
        <v>0</v>
      </c>
      <c r="N457" t="b">
        <v>0</v>
      </c>
      <c r="O457">
        <v>1000</v>
      </c>
      <c r="P457" t="b">
        <v>0</v>
      </c>
      <c r="Q457" t="b">
        <v>0</v>
      </c>
      <c r="R457" t="b">
        <v>0</v>
      </c>
      <c r="S457" t="s">
        <v>101</v>
      </c>
      <c r="T457" t="s">
        <v>104</v>
      </c>
      <c r="U457">
        <v>2</v>
      </c>
    </row>
    <row r="458" spans="1:21" x14ac:dyDescent="0.3">
      <c r="A458" t="s">
        <v>563</v>
      </c>
      <c r="B458" s="1">
        <v>46118</v>
      </c>
      <c r="C458" s="1">
        <v>46120</v>
      </c>
      <c r="D458" s="1">
        <v>46123</v>
      </c>
      <c r="E458" s="1">
        <v>46123</v>
      </c>
      <c r="F458" t="s">
        <v>31</v>
      </c>
      <c r="G458" t="s">
        <v>53</v>
      </c>
      <c r="H458" t="s">
        <v>107</v>
      </c>
      <c r="I458" t="s">
        <v>44</v>
      </c>
      <c r="J458">
        <v>308.10000000000002</v>
      </c>
      <c r="K458">
        <v>466.5</v>
      </c>
      <c r="L458">
        <v>3417000</v>
      </c>
      <c r="M458" t="b">
        <v>0</v>
      </c>
      <c r="N458" t="b">
        <v>0</v>
      </c>
      <c r="O458">
        <v>1500</v>
      </c>
      <c r="P458" t="b">
        <v>0</v>
      </c>
      <c r="Q458" t="b">
        <v>0</v>
      </c>
      <c r="R458" t="b">
        <v>0</v>
      </c>
      <c r="S458" t="s">
        <v>96</v>
      </c>
      <c r="T458" t="s">
        <v>112</v>
      </c>
    </row>
    <row r="459" spans="1:21" x14ac:dyDescent="0.3">
      <c r="A459" t="s">
        <v>564</v>
      </c>
      <c r="B459" s="1">
        <v>46065</v>
      </c>
      <c r="C459" s="1">
        <v>46065</v>
      </c>
      <c r="D459" s="1">
        <v>46068</v>
      </c>
      <c r="E459" s="1">
        <v>46069</v>
      </c>
      <c r="F459" t="s">
        <v>32</v>
      </c>
      <c r="G459" t="s">
        <v>54</v>
      </c>
      <c r="H459" t="s">
        <v>22</v>
      </c>
      <c r="I459" t="s">
        <v>43</v>
      </c>
      <c r="J459">
        <v>562.1</v>
      </c>
      <c r="K459">
        <v>4233.6000000000004</v>
      </c>
      <c r="L459">
        <v>8519000</v>
      </c>
      <c r="M459" t="b">
        <v>0</v>
      </c>
      <c r="N459" t="b">
        <v>0</v>
      </c>
      <c r="O459">
        <v>5000</v>
      </c>
      <c r="P459" t="b">
        <v>0</v>
      </c>
      <c r="Q459" t="b">
        <v>0</v>
      </c>
      <c r="R459" t="b">
        <v>0</v>
      </c>
      <c r="S459" t="s">
        <v>101</v>
      </c>
      <c r="T459" t="s">
        <v>115</v>
      </c>
      <c r="U459">
        <v>1</v>
      </c>
    </row>
    <row r="460" spans="1:21" x14ac:dyDescent="0.3">
      <c r="A460" t="s">
        <v>565</v>
      </c>
      <c r="B460" s="1">
        <v>46191</v>
      </c>
      <c r="C460" s="1">
        <v>46191</v>
      </c>
      <c r="D460" s="1">
        <v>46194</v>
      </c>
      <c r="E460" s="1">
        <v>46195</v>
      </c>
      <c r="F460" t="s">
        <v>34</v>
      </c>
      <c r="G460" t="s">
        <v>63</v>
      </c>
      <c r="H460" t="s">
        <v>24</v>
      </c>
      <c r="I460" t="s">
        <v>45</v>
      </c>
      <c r="J460">
        <v>320.10000000000002</v>
      </c>
      <c r="K460">
        <v>598.5</v>
      </c>
      <c r="L460">
        <v>3546000</v>
      </c>
      <c r="M460" t="b">
        <v>0</v>
      </c>
      <c r="N460" t="b">
        <v>0</v>
      </c>
      <c r="O460">
        <v>1000</v>
      </c>
      <c r="P460" t="b">
        <v>0</v>
      </c>
      <c r="Q460" t="b">
        <v>0</v>
      </c>
      <c r="R460" t="b">
        <v>0</v>
      </c>
      <c r="S460" t="s">
        <v>101</v>
      </c>
      <c r="T460" t="s">
        <v>99</v>
      </c>
      <c r="U460">
        <v>1</v>
      </c>
    </row>
    <row r="461" spans="1:21" x14ac:dyDescent="0.3">
      <c r="A461" t="s">
        <v>566</v>
      </c>
      <c r="B461" s="1">
        <v>46144</v>
      </c>
      <c r="C461" s="1">
        <v>46145</v>
      </c>
      <c r="D461" s="1">
        <v>46149</v>
      </c>
      <c r="E461" s="1">
        <v>46149</v>
      </c>
      <c r="F461" t="s">
        <v>32</v>
      </c>
      <c r="G461" t="s">
        <v>56</v>
      </c>
      <c r="H461" t="s">
        <v>21</v>
      </c>
      <c r="I461" t="s">
        <v>43</v>
      </c>
      <c r="J461">
        <v>1032.8</v>
      </c>
      <c r="K461">
        <v>874.6</v>
      </c>
      <c r="L461">
        <v>14898000</v>
      </c>
      <c r="M461" t="b">
        <v>0</v>
      </c>
      <c r="N461" t="b">
        <v>0</v>
      </c>
      <c r="O461">
        <v>5000</v>
      </c>
      <c r="P461" t="b">
        <v>0</v>
      </c>
      <c r="Q461" t="b">
        <v>0</v>
      </c>
      <c r="R461" t="b">
        <v>0</v>
      </c>
      <c r="S461" t="s">
        <v>96</v>
      </c>
      <c r="T461" t="s">
        <v>102</v>
      </c>
    </row>
    <row r="462" spans="1:21" x14ac:dyDescent="0.3">
      <c r="A462" t="s">
        <v>567</v>
      </c>
      <c r="B462" s="1">
        <v>46074</v>
      </c>
      <c r="C462" s="1">
        <v>46075</v>
      </c>
      <c r="D462" s="1">
        <v>46079</v>
      </c>
      <c r="E462" s="1">
        <v>46079</v>
      </c>
      <c r="F462" t="s">
        <v>32</v>
      </c>
      <c r="G462" t="s">
        <v>62</v>
      </c>
      <c r="H462" t="s">
        <v>23</v>
      </c>
      <c r="I462" t="s">
        <v>45</v>
      </c>
      <c r="J462">
        <v>605.79999999999995</v>
      </c>
      <c r="K462">
        <v>275.5</v>
      </c>
      <c r="L462">
        <v>5590000</v>
      </c>
      <c r="M462" t="b">
        <v>0</v>
      </c>
      <c r="N462" t="b">
        <v>0</v>
      </c>
      <c r="O462">
        <v>1000</v>
      </c>
      <c r="P462" t="b">
        <v>0</v>
      </c>
      <c r="Q462" t="b">
        <v>0</v>
      </c>
      <c r="R462" t="b">
        <v>0</v>
      </c>
      <c r="S462" t="s">
        <v>96</v>
      </c>
      <c r="T462" t="s">
        <v>115</v>
      </c>
    </row>
    <row r="463" spans="1:21" x14ac:dyDescent="0.3">
      <c r="A463" t="s">
        <v>568</v>
      </c>
      <c r="B463" s="1">
        <v>46092</v>
      </c>
      <c r="C463" s="1">
        <v>46092</v>
      </c>
      <c r="D463" s="1">
        <v>46095</v>
      </c>
      <c r="E463" s="1">
        <v>46096</v>
      </c>
      <c r="F463" t="s">
        <v>31</v>
      </c>
      <c r="G463" t="s">
        <v>59</v>
      </c>
      <c r="H463" t="s">
        <v>22</v>
      </c>
      <c r="I463" t="s">
        <v>43</v>
      </c>
      <c r="J463">
        <v>332.3</v>
      </c>
      <c r="K463">
        <v>601</v>
      </c>
      <c r="L463">
        <v>5057000</v>
      </c>
      <c r="M463" t="b">
        <v>0</v>
      </c>
      <c r="N463" t="b">
        <v>0</v>
      </c>
      <c r="O463">
        <v>5000</v>
      </c>
      <c r="P463" t="b">
        <v>0</v>
      </c>
      <c r="Q463" t="b">
        <v>0</v>
      </c>
      <c r="R463" t="b">
        <v>0</v>
      </c>
      <c r="S463" t="s">
        <v>101</v>
      </c>
      <c r="T463" t="s">
        <v>118</v>
      </c>
      <c r="U463">
        <v>1</v>
      </c>
    </row>
    <row r="464" spans="1:21" x14ac:dyDescent="0.3">
      <c r="A464" t="s">
        <v>569</v>
      </c>
      <c r="B464" s="1">
        <v>46071</v>
      </c>
      <c r="C464" s="1">
        <v>46072</v>
      </c>
      <c r="D464" s="1">
        <v>46074</v>
      </c>
      <c r="E464" s="1">
        <v>46074</v>
      </c>
      <c r="F464" t="s">
        <v>32</v>
      </c>
      <c r="G464" t="s">
        <v>61</v>
      </c>
      <c r="H464" t="s">
        <v>20</v>
      </c>
      <c r="I464" t="s">
        <v>43</v>
      </c>
      <c r="J464">
        <v>148.80000000000001</v>
      </c>
      <c r="K464">
        <v>1083.3</v>
      </c>
      <c r="L464">
        <v>2668000</v>
      </c>
      <c r="M464" t="b">
        <v>0</v>
      </c>
      <c r="N464" t="b">
        <v>0</v>
      </c>
      <c r="O464">
        <v>5000</v>
      </c>
      <c r="P464" t="b">
        <v>0</v>
      </c>
      <c r="Q464" t="b">
        <v>0</v>
      </c>
      <c r="R464" t="b">
        <v>0</v>
      </c>
      <c r="S464" t="s">
        <v>96</v>
      </c>
      <c r="T464" t="s">
        <v>115</v>
      </c>
    </row>
    <row r="465" spans="1:21" x14ac:dyDescent="0.3">
      <c r="A465" t="s">
        <v>570</v>
      </c>
      <c r="B465" s="1">
        <v>46176</v>
      </c>
      <c r="C465" s="1">
        <v>46176</v>
      </c>
      <c r="D465" s="1">
        <v>46180</v>
      </c>
      <c r="E465" s="1">
        <v>46179</v>
      </c>
      <c r="F465" t="s">
        <v>32</v>
      </c>
      <c r="G465" t="s">
        <v>52</v>
      </c>
      <c r="H465" t="s">
        <v>23</v>
      </c>
      <c r="I465" t="s">
        <v>45</v>
      </c>
      <c r="J465">
        <v>346.4</v>
      </c>
      <c r="K465">
        <v>168.6</v>
      </c>
      <c r="L465">
        <v>3838000</v>
      </c>
      <c r="M465" t="b">
        <v>0</v>
      </c>
      <c r="N465" t="b">
        <v>0</v>
      </c>
      <c r="O465">
        <v>1000</v>
      </c>
      <c r="P465" t="b">
        <v>0</v>
      </c>
      <c r="Q465" t="b">
        <v>0</v>
      </c>
      <c r="R465" t="b">
        <v>0</v>
      </c>
      <c r="S465" t="s">
        <v>96</v>
      </c>
      <c r="T465" t="s">
        <v>99</v>
      </c>
    </row>
    <row r="466" spans="1:21" x14ac:dyDescent="0.3">
      <c r="A466" t="s">
        <v>571</v>
      </c>
      <c r="B466" s="1">
        <v>46136</v>
      </c>
      <c r="C466" s="1">
        <v>46137</v>
      </c>
      <c r="D466" s="1">
        <v>46139</v>
      </c>
      <c r="E466" s="1">
        <v>46139</v>
      </c>
      <c r="F466" t="s">
        <v>32</v>
      </c>
      <c r="G466" t="s">
        <v>53</v>
      </c>
      <c r="H466" t="s">
        <v>20</v>
      </c>
      <c r="I466" t="s">
        <v>43</v>
      </c>
      <c r="J466">
        <v>286.60000000000002</v>
      </c>
      <c r="K466">
        <v>2670.8</v>
      </c>
      <c r="L466">
        <v>5072000</v>
      </c>
      <c r="M466" t="b">
        <v>0</v>
      </c>
      <c r="N466" t="b">
        <v>0</v>
      </c>
      <c r="O466">
        <v>5000</v>
      </c>
      <c r="P466" t="b">
        <v>0</v>
      </c>
      <c r="Q466" t="b">
        <v>0</v>
      </c>
      <c r="R466" t="b">
        <v>0</v>
      </c>
      <c r="S466" t="s">
        <v>96</v>
      </c>
      <c r="T466" t="s">
        <v>112</v>
      </c>
    </row>
    <row r="467" spans="1:21" x14ac:dyDescent="0.3">
      <c r="A467" t="s">
        <v>572</v>
      </c>
      <c r="B467" s="1">
        <v>46090</v>
      </c>
      <c r="C467" s="1">
        <v>46091</v>
      </c>
      <c r="D467" s="1">
        <v>46095</v>
      </c>
      <c r="E467" s="1">
        <v>46095</v>
      </c>
      <c r="F467" t="s">
        <v>34</v>
      </c>
      <c r="G467" t="s">
        <v>62</v>
      </c>
      <c r="H467" t="s">
        <v>23</v>
      </c>
      <c r="I467" t="s">
        <v>45</v>
      </c>
      <c r="J467">
        <v>775.5</v>
      </c>
      <c r="K467">
        <v>493.1</v>
      </c>
      <c r="L467">
        <v>6630000</v>
      </c>
      <c r="M467" t="b">
        <v>0</v>
      </c>
      <c r="N467" t="b">
        <v>0</v>
      </c>
      <c r="O467">
        <v>1000</v>
      </c>
      <c r="P467" t="b">
        <v>0</v>
      </c>
      <c r="Q467" t="b">
        <v>0</v>
      </c>
      <c r="R467" t="b">
        <v>0</v>
      </c>
      <c r="S467" t="s">
        <v>96</v>
      </c>
      <c r="T467" t="s">
        <v>118</v>
      </c>
    </row>
    <row r="468" spans="1:21" x14ac:dyDescent="0.3">
      <c r="A468" t="s">
        <v>573</v>
      </c>
      <c r="B468" s="1">
        <v>46172</v>
      </c>
      <c r="C468" s="1">
        <v>46172</v>
      </c>
      <c r="D468" s="1">
        <v>46176</v>
      </c>
      <c r="E468" s="1">
        <v>46176</v>
      </c>
      <c r="F468" t="s">
        <v>34</v>
      </c>
      <c r="G468" t="s">
        <v>56</v>
      </c>
      <c r="H468" t="s">
        <v>24</v>
      </c>
      <c r="I468" t="s">
        <v>43</v>
      </c>
      <c r="J468">
        <v>885.5</v>
      </c>
      <c r="K468">
        <v>3159</v>
      </c>
      <c r="L468">
        <v>13214000</v>
      </c>
      <c r="M468" t="b">
        <v>0</v>
      </c>
      <c r="N468" t="b">
        <v>0</v>
      </c>
      <c r="O468">
        <v>5000</v>
      </c>
      <c r="P468" t="b">
        <v>0</v>
      </c>
      <c r="Q468" t="b">
        <v>0</v>
      </c>
      <c r="R468" t="b">
        <v>0</v>
      </c>
      <c r="S468" t="s">
        <v>96</v>
      </c>
      <c r="T468" t="s">
        <v>102</v>
      </c>
    </row>
    <row r="469" spans="1:21" x14ac:dyDescent="0.3">
      <c r="A469" t="s">
        <v>574</v>
      </c>
      <c r="B469" s="1">
        <v>46119</v>
      </c>
      <c r="C469" s="1">
        <v>46121</v>
      </c>
      <c r="D469" s="1">
        <v>46123</v>
      </c>
      <c r="E469" s="1">
        <v>46123</v>
      </c>
      <c r="F469" t="s">
        <v>31</v>
      </c>
      <c r="G469" t="s">
        <v>58</v>
      </c>
      <c r="H469" t="s">
        <v>22</v>
      </c>
      <c r="I469" t="s">
        <v>45</v>
      </c>
      <c r="J469">
        <v>193.8</v>
      </c>
      <c r="K469">
        <v>87</v>
      </c>
      <c r="L469">
        <v>2087000</v>
      </c>
      <c r="M469" t="b">
        <v>0</v>
      </c>
      <c r="N469" t="b">
        <v>0</v>
      </c>
      <c r="O469">
        <v>1000</v>
      </c>
      <c r="P469" t="b">
        <v>0</v>
      </c>
      <c r="Q469" t="b">
        <v>0</v>
      </c>
      <c r="R469" t="b">
        <v>0</v>
      </c>
      <c r="S469" t="s">
        <v>96</v>
      </c>
      <c r="T469" t="s">
        <v>112</v>
      </c>
    </row>
    <row r="470" spans="1:21" x14ac:dyDescent="0.3">
      <c r="A470" t="s">
        <v>575</v>
      </c>
      <c r="B470" s="1">
        <v>46137</v>
      </c>
      <c r="C470" s="1">
        <v>46139</v>
      </c>
      <c r="D470" s="1">
        <v>46142</v>
      </c>
      <c r="E470" s="1">
        <v>46143</v>
      </c>
      <c r="F470" t="s">
        <v>34</v>
      </c>
      <c r="G470" t="s">
        <v>54</v>
      </c>
      <c r="H470" t="s">
        <v>22</v>
      </c>
      <c r="I470" t="s">
        <v>44</v>
      </c>
      <c r="J470">
        <v>436.5</v>
      </c>
      <c r="K470">
        <v>1298.5999999999999</v>
      </c>
      <c r="L470">
        <v>5317000</v>
      </c>
      <c r="M470" t="b">
        <v>0</v>
      </c>
      <c r="N470" t="b">
        <v>0</v>
      </c>
      <c r="O470">
        <v>1500</v>
      </c>
      <c r="P470" t="b">
        <v>0</v>
      </c>
      <c r="Q470" t="b">
        <v>0</v>
      </c>
      <c r="R470" t="b">
        <v>0</v>
      </c>
      <c r="S470" t="s">
        <v>101</v>
      </c>
      <c r="T470" t="s">
        <v>112</v>
      </c>
      <c r="U470">
        <v>1</v>
      </c>
    </row>
    <row r="471" spans="1:21" x14ac:dyDescent="0.3">
      <c r="A471" t="s">
        <v>576</v>
      </c>
      <c r="B471" s="1">
        <v>46147</v>
      </c>
      <c r="C471" s="1">
        <v>46148</v>
      </c>
      <c r="D471" s="1">
        <v>46151</v>
      </c>
      <c r="E471" s="1">
        <v>46151</v>
      </c>
      <c r="F471" t="s">
        <v>31</v>
      </c>
      <c r="G471" t="s">
        <v>59</v>
      </c>
      <c r="H471" t="s">
        <v>23</v>
      </c>
      <c r="I471" t="s">
        <v>45</v>
      </c>
      <c r="J471">
        <v>301.2</v>
      </c>
      <c r="K471">
        <v>784.4</v>
      </c>
      <c r="L471">
        <v>3347000</v>
      </c>
      <c r="M471" t="b">
        <v>0</v>
      </c>
      <c r="N471" t="b">
        <v>0</v>
      </c>
      <c r="O471">
        <v>1000</v>
      </c>
      <c r="P471" t="b">
        <v>0</v>
      </c>
      <c r="Q471" t="b">
        <v>0</v>
      </c>
      <c r="R471" t="b">
        <v>0</v>
      </c>
      <c r="S471" t="s">
        <v>96</v>
      </c>
      <c r="T471" t="s">
        <v>102</v>
      </c>
    </row>
    <row r="472" spans="1:21" x14ac:dyDescent="0.3">
      <c r="A472" t="s">
        <v>577</v>
      </c>
      <c r="B472" s="1">
        <v>46090</v>
      </c>
      <c r="C472" s="1">
        <v>46091</v>
      </c>
      <c r="D472" s="1">
        <v>46093</v>
      </c>
      <c r="E472" s="1">
        <v>46093</v>
      </c>
      <c r="F472" t="s">
        <v>31</v>
      </c>
      <c r="G472" t="s">
        <v>59</v>
      </c>
      <c r="H472" t="s">
        <v>22</v>
      </c>
      <c r="I472" t="s">
        <v>44</v>
      </c>
      <c r="J472">
        <v>299.2</v>
      </c>
      <c r="K472">
        <v>195.2</v>
      </c>
      <c r="L472">
        <v>3002000</v>
      </c>
      <c r="M472" t="b">
        <v>0</v>
      </c>
      <c r="N472" t="b">
        <v>0</v>
      </c>
      <c r="O472">
        <v>1500</v>
      </c>
      <c r="P472" t="b">
        <v>0</v>
      </c>
      <c r="Q472" t="b">
        <v>0</v>
      </c>
      <c r="R472" t="b">
        <v>0</v>
      </c>
      <c r="S472" t="s">
        <v>96</v>
      </c>
      <c r="T472" t="s">
        <v>118</v>
      </c>
    </row>
    <row r="473" spans="1:21" x14ac:dyDescent="0.3">
      <c r="A473" t="s">
        <v>578</v>
      </c>
      <c r="B473" s="1">
        <v>46188</v>
      </c>
      <c r="C473" s="1">
        <v>46189</v>
      </c>
      <c r="D473" s="1">
        <v>46193</v>
      </c>
      <c r="E473" s="1">
        <v>46193</v>
      </c>
      <c r="F473" t="s">
        <v>31</v>
      </c>
      <c r="G473" t="s">
        <v>60</v>
      </c>
      <c r="H473" t="s">
        <v>22</v>
      </c>
      <c r="I473" t="s">
        <v>44</v>
      </c>
      <c r="J473">
        <v>634.5</v>
      </c>
      <c r="K473">
        <v>996.4</v>
      </c>
      <c r="L473">
        <v>8393000</v>
      </c>
      <c r="M473" t="b">
        <v>0</v>
      </c>
      <c r="N473" t="b">
        <v>0</v>
      </c>
      <c r="O473">
        <v>1500</v>
      </c>
      <c r="P473" t="b">
        <v>0</v>
      </c>
      <c r="Q473" t="b">
        <v>0</v>
      </c>
      <c r="R473" t="b">
        <v>0</v>
      </c>
      <c r="S473" t="s">
        <v>96</v>
      </c>
      <c r="T473" t="s">
        <v>99</v>
      </c>
    </row>
    <row r="474" spans="1:21" x14ac:dyDescent="0.3">
      <c r="A474" t="s">
        <v>579</v>
      </c>
      <c r="B474" s="1">
        <v>46153</v>
      </c>
      <c r="C474" s="1">
        <v>46154</v>
      </c>
      <c r="D474" s="1">
        <v>46158</v>
      </c>
      <c r="E474" s="1">
        <v>46158</v>
      </c>
      <c r="F474" t="s">
        <v>33</v>
      </c>
      <c r="G474" t="s">
        <v>54</v>
      </c>
      <c r="H474" t="s">
        <v>22</v>
      </c>
      <c r="I474" t="s">
        <v>43</v>
      </c>
      <c r="J474">
        <v>995.3</v>
      </c>
      <c r="K474">
        <v>3763.4</v>
      </c>
      <c r="L474">
        <v>13747000</v>
      </c>
      <c r="M474" t="b">
        <v>0</v>
      </c>
      <c r="N474" t="b">
        <v>0</v>
      </c>
      <c r="O474">
        <v>5000</v>
      </c>
      <c r="P474" t="b">
        <v>0</v>
      </c>
      <c r="Q474" t="b">
        <v>0</v>
      </c>
      <c r="R474" t="b">
        <v>0</v>
      </c>
      <c r="S474" t="s">
        <v>96</v>
      </c>
      <c r="T474" t="s">
        <v>102</v>
      </c>
    </row>
    <row r="475" spans="1:21" x14ac:dyDescent="0.3">
      <c r="A475" t="s">
        <v>580</v>
      </c>
      <c r="B475" s="1">
        <v>46143</v>
      </c>
      <c r="C475" s="1">
        <v>46144</v>
      </c>
      <c r="D475" s="1">
        <v>46146</v>
      </c>
      <c r="E475" s="1">
        <v>46146</v>
      </c>
      <c r="F475" t="s">
        <v>31</v>
      </c>
      <c r="G475" t="s">
        <v>63</v>
      </c>
      <c r="H475" t="s">
        <v>20</v>
      </c>
      <c r="I475" t="s">
        <v>44</v>
      </c>
      <c r="J475">
        <v>250.7</v>
      </c>
      <c r="K475">
        <v>800.7</v>
      </c>
      <c r="L475">
        <v>3674000</v>
      </c>
      <c r="M475" t="b">
        <v>0</v>
      </c>
      <c r="N475" t="b">
        <v>0</v>
      </c>
      <c r="O475">
        <v>1500</v>
      </c>
      <c r="P475" t="b">
        <v>0</v>
      </c>
      <c r="Q475" t="b">
        <v>0</v>
      </c>
      <c r="R475" t="b">
        <v>0</v>
      </c>
      <c r="S475" t="s">
        <v>96</v>
      </c>
      <c r="T475" t="s">
        <v>102</v>
      </c>
    </row>
    <row r="476" spans="1:21" x14ac:dyDescent="0.3">
      <c r="A476" t="s">
        <v>581</v>
      </c>
      <c r="B476" s="1">
        <v>46030</v>
      </c>
      <c r="C476" s="1">
        <v>46032</v>
      </c>
      <c r="D476" s="1">
        <v>46035</v>
      </c>
      <c r="E476" s="1">
        <v>46035</v>
      </c>
      <c r="F476" t="s">
        <v>34</v>
      </c>
      <c r="G476" t="s">
        <v>63</v>
      </c>
      <c r="H476" t="s">
        <v>22</v>
      </c>
      <c r="I476" t="s">
        <v>45</v>
      </c>
      <c r="J476">
        <v>314</v>
      </c>
      <c r="K476">
        <v>609.70000000000005</v>
      </c>
      <c r="L476">
        <v>3228000</v>
      </c>
      <c r="M476" t="b">
        <v>0</v>
      </c>
      <c r="N476" t="b">
        <v>0</v>
      </c>
      <c r="O476">
        <v>1000</v>
      </c>
      <c r="P476" t="b">
        <v>0</v>
      </c>
      <c r="Q476" t="b">
        <v>0</v>
      </c>
      <c r="R476" t="b">
        <v>0</v>
      </c>
      <c r="S476" t="s">
        <v>96</v>
      </c>
      <c r="T476" t="s">
        <v>104</v>
      </c>
    </row>
    <row r="477" spans="1:21" x14ac:dyDescent="0.3">
      <c r="A477" t="s">
        <v>582</v>
      </c>
      <c r="B477" s="1">
        <v>46078</v>
      </c>
      <c r="C477" s="1">
        <v>46078</v>
      </c>
      <c r="D477" s="1">
        <v>46080</v>
      </c>
      <c r="F477" t="s">
        <v>33</v>
      </c>
      <c r="G477" t="s">
        <v>62</v>
      </c>
      <c r="H477" t="s">
        <v>24</v>
      </c>
      <c r="I477" t="s">
        <v>44</v>
      </c>
      <c r="J477">
        <v>136.4</v>
      </c>
      <c r="K477">
        <v>1183.2</v>
      </c>
      <c r="L477">
        <v>2031000</v>
      </c>
      <c r="M477" t="b">
        <v>0</v>
      </c>
      <c r="N477" t="b">
        <v>0</v>
      </c>
      <c r="O477">
        <v>1500</v>
      </c>
      <c r="P477" t="b">
        <v>0</v>
      </c>
      <c r="Q477" t="b">
        <v>0</v>
      </c>
      <c r="R477" t="b">
        <v>0</v>
      </c>
      <c r="S477" t="s">
        <v>203</v>
      </c>
      <c r="T477" t="s">
        <v>115</v>
      </c>
    </row>
    <row r="478" spans="1:21" x14ac:dyDescent="0.3">
      <c r="A478" t="s">
        <v>583</v>
      </c>
      <c r="B478" s="1">
        <v>46119</v>
      </c>
      <c r="C478" s="1">
        <v>46120</v>
      </c>
      <c r="D478" s="1">
        <v>46121</v>
      </c>
      <c r="E478" s="1">
        <v>46121</v>
      </c>
      <c r="F478" t="s">
        <v>34</v>
      </c>
      <c r="G478" t="s">
        <v>55</v>
      </c>
      <c r="H478" t="s">
        <v>107</v>
      </c>
      <c r="I478" t="s">
        <v>43</v>
      </c>
      <c r="J478">
        <v>53</v>
      </c>
      <c r="K478">
        <v>3244.3</v>
      </c>
      <c r="L478">
        <v>2513000</v>
      </c>
      <c r="M478" t="b">
        <v>0</v>
      </c>
      <c r="N478" t="b">
        <v>0</v>
      </c>
      <c r="O478">
        <v>5000</v>
      </c>
      <c r="P478" t="b">
        <v>0</v>
      </c>
      <c r="Q478" t="b">
        <v>0</v>
      </c>
      <c r="R478" t="b">
        <v>0</v>
      </c>
      <c r="S478" t="s">
        <v>96</v>
      </c>
      <c r="T478" t="s">
        <v>112</v>
      </c>
    </row>
    <row r="479" spans="1:21" x14ac:dyDescent="0.3">
      <c r="A479" t="s">
        <v>584</v>
      </c>
      <c r="B479" s="1">
        <v>46170</v>
      </c>
      <c r="C479" s="1">
        <v>46170</v>
      </c>
      <c r="D479" s="1">
        <v>46172</v>
      </c>
      <c r="E479" s="1">
        <v>46172</v>
      </c>
      <c r="F479" t="s">
        <v>32</v>
      </c>
      <c r="G479" t="s">
        <v>53</v>
      </c>
      <c r="H479" t="s">
        <v>20</v>
      </c>
      <c r="I479" t="s">
        <v>42</v>
      </c>
      <c r="J479">
        <v>249.5</v>
      </c>
      <c r="K479">
        <v>8087.2</v>
      </c>
      <c r="L479">
        <v>7928000</v>
      </c>
      <c r="M479" t="b">
        <v>0</v>
      </c>
      <c r="N479" t="b">
        <v>0</v>
      </c>
      <c r="O479">
        <v>16000</v>
      </c>
      <c r="P479" t="b">
        <v>0</v>
      </c>
      <c r="Q479" t="b">
        <v>0</v>
      </c>
      <c r="R479" t="b">
        <v>0</v>
      </c>
      <c r="S479" t="s">
        <v>96</v>
      </c>
      <c r="T479" t="s">
        <v>102</v>
      </c>
    </row>
    <row r="480" spans="1:21" x14ac:dyDescent="0.3">
      <c r="A480" t="s">
        <v>585</v>
      </c>
      <c r="B480" s="1">
        <v>46085</v>
      </c>
      <c r="C480" s="1">
        <v>46086</v>
      </c>
      <c r="D480" s="1">
        <v>46090</v>
      </c>
      <c r="E480" s="1">
        <v>46089</v>
      </c>
      <c r="F480" t="s">
        <v>33</v>
      </c>
      <c r="G480" t="s">
        <v>55</v>
      </c>
      <c r="H480" t="s">
        <v>21</v>
      </c>
      <c r="I480" t="s">
        <v>42</v>
      </c>
      <c r="J480">
        <v>618</v>
      </c>
      <c r="K480">
        <v>11230.8</v>
      </c>
      <c r="L480">
        <v>15964000</v>
      </c>
      <c r="M480" t="b">
        <v>0</v>
      </c>
      <c r="N480" t="b">
        <v>0</v>
      </c>
      <c r="O480">
        <v>16000</v>
      </c>
      <c r="P480" t="b">
        <v>0</v>
      </c>
      <c r="Q480" t="b">
        <v>0</v>
      </c>
      <c r="R480" t="b">
        <v>0</v>
      </c>
      <c r="S480" t="s">
        <v>96</v>
      </c>
      <c r="T480" t="s">
        <v>118</v>
      </c>
    </row>
    <row r="481" spans="1:21" x14ac:dyDescent="0.3">
      <c r="A481" t="s">
        <v>586</v>
      </c>
      <c r="B481" s="1">
        <v>46045</v>
      </c>
      <c r="C481" s="1">
        <v>46046</v>
      </c>
      <c r="D481" s="1">
        <v>46050</v>
      </c>
      <c r="E481" s="1">
        <v>46051</v>
      </c>
      <c r="F481" t="s">
        <v>31</v>
      </c>
      <c r="G481" t="s">
        <v>62</v>
      </c>
      <c r="H481" t="s">
        <v>23</v>
      </c>
      <c r="I481" t="s">
        <v>44</v>
      </c>
      <c r="J481">
        <v>678</v>
      </c>
      <c r="K481">
        <v>371.8</v>
      </c>
      <c r="L481">
        <v>7387000</v>
      </c>
      <c r="M481" t="b">
        <v>0</v>
      </c>
      <c r="N481" t="b">
        <v>0</v>
      </c>
      <c r="O481">
        <v>1500</v>
      </c>
      <c r="P481" t="b">
        <v>0</v>
      </c>
      <c r="Q481" t="b">
        <v>0</v>
      </c>
      <c r="R481" t="b">
        <v>0</v>
      </c>
      <c r="S481" t="s">
        <v>101</v>
      </c>
      <c r="T481" t="s">
        <v>104</v>
      </c>
      <c r="U481">
        <v>1</v>
      </c>
    </row>
    <row r="482" spans="1:21" x14ac:dyDescent="0.3">
      <c r="A482" t="s">
        <v>587</v>
      </c>
      <c r="B482" s="1">
        <v>46045</v>
      </c>
      <c r="C482" s="1">
        <v>46047</v>
      </c>
      <c r="D482" s="1">
        <v>46051</v>
      </c>
      <c r="E482" s="1">
        <v>46051</v>
      </c>
      <c r="F482" t="s">
        <v>31</v>
      </c>
      <c r="G482" t="s">
        <v>62</v>
      </c>
      <c r="H482" t="s">
        <v>20</v>
      </c>
      <c r="I482" t="s">
        <v>44</v>
      </c>
      <c r="J482">
        <v>733.1</v>
      </c>
      <c r="K482">
        <v>1385.2</v>
      </c>
      <c r="L482">
        <v>9072000</v>
      </c>
      <c r="M482" t="b">
        <v>0</v>
      </c>
      <c r="N482" t="b">
        <v>0</v>
      </c>
      <c r="O482">
        <v>1500</v>
      </c>
      <c r="P482" t="b">
        <v>0</v>
      </c>
      <c r="Q482" t="b">
        <v>0</v>
      </c>
      <c r="R482" t="b">
        <v>0</v>
      </c>
      <c r="S482" t="s">
        <v>96</v>
      </c>
      <c r="T482" t="s">
        <v>104</v>
      </c>
    </row>
    <row r="483" spans="1:21" x14ac:dyDescent="0.3">
      <c r="A483" t="s">
        <v>588</v>
      </c>
      <c r="B483" s="1">
        <v>46031</v>
      </c>
      <c r="C483" s="1">
        <v>46033</v>
      </c>
      <c r="D483" s="1">
        <v>46036</v>
      </c>
      <c r="E483" s="1">
        <v>46037</v>
      </c>
      <c r="F483" t="s">
        <v>31</v>
      </c>
      <c r="G483" t="s">
        <v>53</v>
      </c>
      <c r="H483" t="s">
        <v>20</v>
      </c>
      <c r="I483" t="s">
        <v>45</v>
      </c>
      <c r="J483">
        <v>304.7</v>
      </c>
      <c r="K483">
        <v>101.8</v>
      </c>
      <c r="L483">
        <v>3196000</v>
      </c>
      <c r="M483" t="b">
        <v>0</v>
      </c>
      <c r="N483" t="b">
        <v>0</v>
      </c>
      <c r="O483">
        <v>1000</v>
      </c>
      <c r="P483" t="b">
        <v>0</v>
      </c>
      <c r="Q483" t="b">
        <v>0</v>
      </c>
      <c r="R483" t="b">
        <v>0</v>
      </c>
      <c r="S483" t="s">
        <v>101</v>
      </c>
      <c r="T483" t="s">
        <v>104</v>
      </c>
      <c r="U483">
        <v>1</v>
      </c>
    </row>
    <row r="484" spans="1:21" x14ac:dyDescent="0.3">
      <c r="A484" t="s">
        <v>589</v>
      </c>
      <c r="B484" s="1">
        <v>46038</v>
      </c>
      <c r="C484" s="1">
        <v>46040</v>
      </c>
      <c r="D484" s="1">
        <v>46044</v>
      </c>
      <c r="E484" s="1">
        <v>46044</v>
      </c>
      <c r="F484" t="s">
        <v>31</v>
      </c>
      <c r="G484" t="s">
        <v>60</v>
      </c>
      <c r="H484" t="s">
        <v>20</v>
      </c>
      <c r="I484" t="s">
        <v>45</v>
      </c>
      <c r="J484">
        <v>579.6</v>
      </c>
      <c r="K484">
        <v>514</v>
      </c>
      <c r="L484">
        <v>6151000</v>
      </c>
      <c r="M484" t="b">
        <v>0</v>
      </c>
      <c r="N484" t="b">
        <v>0</v>
      </c>
      <c r="O484">
        <v>1000</v>
      </c>
      <c r="P484" t="b">
        <v>0</v>
      </c>
      <c r="Q484" t="b">
        <v>0</v>
      </c>
      <c r="R484" t="b">
        <v>0</v>
      </c>
      <c r="S484" t="s">
        <v>96</v>
      </c>
      <c r="T484" t="s">
        <v>104</v>
      </c>
    </row>
    <row r="485" spans="1:21" x14ac:dyDescent="0.3">
      <c r="A485" t="s">
        <v>590</v>
      </c>
      <c r="B485" s="1">
        <v>46148</v>
      </c>
      <c r="C485" s="1">
        <v>46149</v>
      </c>
      <c r="D485" s="1">
        <v>46152</v>
      </c>
      <c r="E485" s="1">
        <v>46152</v>
      </c>
      <c r="F485" t="s">
        <v>31</v>
      </c>
      <c r="G485" t="s">
        <v>63</v>
      </c>
      <c r="H485" t="s">
        <v>20</v>
      </c>
      <c r="I485" t="s">
        <v>44</v>
      </c>
      <c r="J485">
        <v>313.5</v>
      </c>
      <c r="K485">
        <v>1159.2</v>
      </c>
      <c r="L485">
        <v>4269000</v>
      </c>
      <c r="M485" t="b">
        <v>0</v>
      </c>
      <c r="N485" t="b">
        <v>0</v>
      </c>
      <c r="O485">
        <v>1500</v>
      </c>
      <c r="P485" t="b">
        <v>0</v>
      </c>
      <c r="Q485" t="b">
        <v>0</v>
      </c>
      <c r="R485" t="b">
        <v>0</v>
      </c>
      <c r="S485" t="s">
        <v>96</v>
      </c>
      <c r="T485" t="s">
        <v>102</v>
      </c>
    </row>
    <row r="486" spans="1:21" x14ac:dyDescent="0.3">
      <c r="A486" t="s">
        <v>591</v>
      </c>
      <c r="B486" s="1">
        <v>46114</v>
      </c>
      <c r="C486" s="1">
        <v>46115</v>
      </c>
      <c r="D486" s="1">
        <v>46119</v>
      </c>
      <c r="E486" s="1">
        <v>46119</v>
      </c>
      <c r="F486" t="s">
        <v>34</v>
      </c>
      <c r="G486" t="s">
        <v>60</v>
      </c>
      <c r="H486" t="s">
        <v>23</v>
      </c>
      <c r="I486" t="s">
        <v>43</v>
      </c>
      <c r="J486">
        <v>632</v>
      </c>
      <c r="K486">
        <v>973.2</v>
      </c>
      <c r="L486">
        <v>7674000</v>
      </c>
      <c r="M486" t="b">
        <v>0</v>
      </c>
      <c r="N486" t="b">
        <v>0</v>
      </c>
      <c r="O486">
        <v>5000</v>
      </c>
      <c r="P486" t="b">
        <v>0</v>
      </c>
      <c r="Q486" t="b">
        <v>0</v>
      </c>
      <c r="R486" t="b">
        <v>0</v>
      </c>
      <c r="S486" t="s">
        <v>96</v>
      </c>
      <c r="T486" t="s">
        <v>112</v>
      </c>
    </row>
    <row r="487" spans="1:21" x14ac:dyDescent="0.3">
      <c r="A487" t="s">
        <v>592</v>
      </c>
      <c r="B487" s="1">
        <v>46166</v>
      </c>
      <c r="C487" s="1">
        <v>46167</v>
      </c>
      <c r="D487" s="1">
        <v>46170</v>
      </c>
      <c r="E487" s="1">
        <v>46170</v>
      </c>
      <c r="F487" t="s">
        <v>32</v>
      </c>
      <c r="G487" t="s">
        <v>59</v>
      </c>
      <c r="H487" t="s">
        <v>24</v>
      </c>
      <c r="I487" t="s">
        <v>45</v>
      </c>
      <c r="J487">
        <v>179.6</v>
      </c>
      <c r="K487">
        <v>712.2</v>
      </c>
      <c r="L487">
        <v>2140000</v>
      </c>
      <c r="M487" t="b">
        <v>0</v>
      </c>
      <c r="N487" t="b">
        <v>0</v>
      </c>
      <c r="O487">
        <v>1000</v>
      </c>
      <c r="P487" t="b">
        <v>0</v>
      </c>
      <c r="Q487" t="b">
        <v>0</v>
      </c>
      <c r="R487" t="b">
        <v>0</v>
      </c>
      <c r="S487" t="s">
        <v>96</v>
      </c>
      <c r="T487" t="s">
        <v>102</v>
      </c>
    </row>
    <row r="488" spans="1:21" x14ac:dyDescent="0.3">
      <c r="A488" t="s">
        <v>593</v>
      </c>
      <c r="B488" s="1">
        <v>46103</v>
      </c>
      <c r="C488" s="1">
        <v>46104</v>
      </c>
      <c r="D488" s="1">
        <v>46108</v>
      </c>
      <c r="E488" s="1">
        <v>46108</v>
      </c>
      <c r="F488" t="s">
        <v>34</v>
      </c>
      <c r="G488" t="s">
        <v>60</v>
      </c>
      <c r="H488" t="s">
        <v>21</v>
      </c>
      <c r="I488" t="s">
        <v>45</v>
      </c>
      <c r="J488">
        <v>652.5</v>
      </c>
      <c r="K488">
        <v>86.4</v>
      </c>
      <c r="L488">
        <v>5847000</v>
      </c>
      <c r="M488" t="b">
        <v>0</v>
      </c>
      <c r="N488" t="b">
        <v>0</v>
      </c>
      <c r="O488">
        <v>1000</v>
      </c>
      <c r="P488" t="b">
        <v>0</v>
      </c>
      <c r="Q488" t="b">
        <v>0</v>
      </c>
      <c r="R488" t="b">
        <v>0</v>
      </c>
      <c r="S488" t="s">
        <v>96</v>
      </c>
      <c r="T488" t="s">
        <v>118</v>
      </c>
    </row>
    <row r="489" spans="1:21" x14ac:dyDescent="0.3">
      <c r="A489" t="s">
        <v>594</v>
      </c>
      <c r="B489" s="1">
        <v>46090</v>
      </c>
      <c r="C489" s="1">
        <v>46091</v>
      </c>
      <c r="D489" s="1">
        <v>46092</v>
      </c>
      <c r="E489" s="1">
        <v>46092</v>
      </c>
      <c r="F489" t="s">
        <v>31</v>
      </c>
      <c r="G489" t="s">
        <v>61</v>
      </c>
      <c r="H489" t="s">
        <v>21</v>
      </c>
      <c r="I489" t="s">
        <v>44</v>
      </c>
      <c r="J489">
        <v>58.1</v>
      </c>
      <c r="K489">
        <v>404.1</v>
      </c>
      <c r="L489">
        <v>976000</v>
      </c>
      <c r="M489" t="b">
        <v>0</v>
      </c>
      <c r="N489" t="b">
        <v>0</v>
      </c>
      <c r="O489">
        <v>1500</v>
      </c>
      <c r="P489" t="b">
        <v>0</v>
      </c>
      <c r="Q489" t="b">
        <v>0</v>
      </c>
      <c r="R489" t="b">
        <v>0</v>
      </c>
      <c r="S489" t="s">
        <v>96</v>
      </c>
      <c r="T489" t="s">
        <v>118</v>
      </c>
    </row>
    <row r="490" spans="1:21" x14ac:dyDescent="0.3">
      <c r="A490" t="s">
        <v>595</v>
      </c>
      <c r="B490" s="1">
        <v>46077</v>
      </c>
      <c r="C490" s="1">
        <v>46078</v>
      </c>
      <c r="D490" s="1">
        <v>46081</v>
      </c>
      <c r="E490" s="1">
        <v>46081</v>
      </c>
      <c r="F490" t="s">
        <v>33</v>
      </c>
      <c r="G490" t="s">
        <v>55</v>
      </c>
      <c r="H490" t="s">
        <v>22</v>
      </c>
      <c r="I490" t="s">
        <v>42</v>
      </c>
      <c r="J490">
        <v>574.5</v>
      </c>
      <c r="K490">
        <v>4531.6000000000004</v>
      </c>
      <c r="L490">
        <v>14573000</v>
      </c>
      <c r="M490" t="b">
        <v>0</v>
      </c>
      <c r="N490" t="b">
        <v>0</v>
      </c>
      <c r="O490">
        <v>16000</v>
      </c>
      <c r="P490" t="b">
        <v>0</v>
      </c>
      <c r="Q490" t="b">
        <v>0</v>
      </c>
      <c r="R490" t="b">
        <v>0</v>
      </c>
      <c r="S490" t="s">
        <v>96</v>
      </c>
      <c r="T490" t="s">
        <v>115</v>
      </c>
    </row>
    <row r="491" spans="1:21" x14ac:dyDescent="0.3">
      <c r="A491" t="s">
        <v>596</v>
      </c>
      <c r="B491" s="1">
        <v>46116</v>
      </c>
      <c r="C491" s="1">
        <v>46116</v>
      </c>
      <c r="D491" s="1">
        <v>46120</v>
      </c>
      <c r="E491" s="1">
        <v>46120</v>
      </c>
      <c r="F491" t="s">
        <v>34</v>
      </c>
      <c r="G491" t="s">
        <v>62</v>
      </c>
      <c r="H491" t="s">
        <v>20</v>
      </c>
      <c r="I491" t="s">
        <v>43</v>
      </c>
      <c r="J491">
        <v>715.6</v>
      </c>
      <c r="K491">
        <v>1051.0999999999999</v>
      </c>
      <c r="L491">
        <v>10420000</v>
      </c>
      <c r="M491" t="b">
        <v>0</v>
      </c>
      <c r="N491" t="b">
        <v>0</v>
      </c>
      <c r="O491">
        <v>5000</v>
      </c>
      <c r="P491" t="b">
        <v>0</v>
      </c>
      <c r="Q491" t="b">
        <v>0</v>
      </c>
      <c r="R491" t="b">
        <v>0</v>
      </c>
      <c r="S491" t="s">
        <v>96</v>
      </c>
      <c r="T491" t="s">
        <v>112</v>
      </c>
    </row>
    <row r="492" spans="1:21" x14ac:dyDescent="0.3">
      <c r="A492" t="s">
        <v>597</v>
      </c>
      <c r="B492" s="1">
        <v>46201</v>
      </c>
      <c r="C492" s="1">
        <v>46201</v>
      </c>
      <c r="D492" s="1">
        <v>46204</v>
      </c>
      <c r="E492" s="1">
        <v>46204</v>
      </c>
      <c r="F492" t="s">
        <v>34</v>
      </c>
      <c r="G492" t="s">
        <v>59</v>
      </c>
      <c r="H492" t="s">
        <v>20</v>
      </c>
      <c r="I492" t="s">
        <v>43</v>
      </c>
      <c r="J492">
        <v>305.39999999999998</v>
      </c>
      <c r="K492">
        <v>1698</v>
      </c>
      <c r="L492">
        <v>5122000</v>
      </c>
      <c r="M492" t="b">
        <v>0</v>
      </c>
      <c r="N492" t="b">
        <v>0</v>
      </c>
      <c r="O492">
        <v>5000</v>
      </c>
      <c r="P492" t="b">
        <v>0</v>
      </c>
      <c r="Q492" t="b">
        <v>0</v>
      </c>
      <c r="R492" t="b">
        <v>0</v>
      </c>
      <c r="S492" t="s">
        <v>96</v>
      </c>
      <c r="T492" t="s">
        <v>99</v>
      </c>
    </row>
    <row r="493" spans="1:21" x14ac:dyDescent="0.3">
      <c r="A493" t="s">
        <v>598</v>
      </c>
      <c r="B493" s="1">
        <v>46160</v>
      </c>
      <c r="C493" s="1">
        <v>46161</v>
      </c>
      <c r="D493" s="1">
        <v>46162</v>
      </c>
      <c r="F493" t="s">
        <v>33</v>
      </c>
      <c r="G493" t="s">
        <v>60</v>
      </c>
      <c r="H493" t="s">
        <v>21</v>
      </c>
      <c r="I493" t="s">
        <v>43</v>
      </c>
      <c r="J493">
        <v>26.5</v>
      </c>
      <c r="K493">
        <v>2168.1999999999998</v>
      </c>
      <c r="L493">
        <v>2146000</v>
      </c>
      <c r="M493" t="b">
        <v>0</v>
      </c>
      <c r="N493" t="b">
        <v>0</v>
      </c>
      <c r="O493">
        <v>5000</v>
      </c>
      <c r="P493" t="b">
        <v>0</v>
      </c>
      <c r="Q493" t="b">
        <v>0</v>
      </c>
      <c r="R493" t="b">
        <v>0</v>
      </c>
      <c r="S493" t="s">
        <v>203</v>
      </c>
      <c r="T493" t="s">
        <v>102</v>
      </c>
    </row>
    <row r="494" spans="1:21" x14ac:dyDescent="0.3">
      <c r="A494" t="s">
        <v>599</v>
      </c>
      <c r="B494" s="1">
        <v>46186</v>
      </c>
      <c r="C494" s="1">
        <v>46187</v>
      </c>
      <c r="D494" s="1">
        <v>46189</v>
      </c>
      <c r="E494" s="1">
        <v>46189</v>
      </c>
      <c r="F494" t="s">
        <v>34</v>
      </c>
      <c r="G494" t="s">
        <v>61</v>
      </c>
      <c r="H494" t="s">
        <v>20</v>
      </c>
      <c r="I494" t="s">
        <v>43</v>
      </c>
      <c r="J494">
        <v>27.4</v>
      </c>
      <c r="K494">
        <v>1210.2</v>
      </c>
      <c r="L494">
        <v>1555000</v>
      </c>
      <c r="M494" t="b">
        <v>0</v>
      </c>
      <c r="N494" t="b">
        <v>0</v>
      </c>
      <c r="O494">
        <v>5000</v>
      </c>
      <c r="P494" t="b">
        <v>0</v>
      </c>
      <c r="Q494" t="b">
        <v>0</v>
      </c>
      <c r="R494" t="b">
        <v>0</v>
      </c>
      <c r="S494" t="s">
        <v>96</v>
      </c>
      <c r="T494" t="s">
        <v>99</v>
      </c>
    </row>
    <row r="495" spans="1:21" x14ac:dyDescent="0.3">
      <c r="A495" t="s">
        <v>600</v>
      </c>
      <c r="B495" s="1">
        <v>46131</v>
      </c>
      <c r="C495" s="1">
        <v>46132</v>
      </c>
      <c r="D495" s="1">
        <v>46133</v>
      </c>
      <c r="E495" s="1">
        <v>46134</v>
      </c>
      <c r="F495" t="s">
        <v>31</v>
      </c>
      <c r="G495" t="s">
        <v>55</v>
      </c>
      <c r="H495" t="s">
        <v>24</v>
      </c>
      <c r="I495" t="s">
        <v>42</v>
      </c>
      <c r="J495">
        <v>13.4</v>
      </c>
      <c r="K495">
        <v>5628.6</v>
      </c>
      <c r="L495">
        <v>2700000</v>
      </c>
      <c r="M495" t="b">
        <v>0</v>
      </c>
      <c r="N495" t="b">
        <v>0</v>
      </c>
      <c r="O495">
        <v>16000</v>
      </c>
      <c r="P495" t="b">
        <v>0</v>
      </c>
      <c r="Q495" t="b">
        <v>0</v>
      </c>
      <c r="R495" t="b">
        <v>0</v>
      </c>
      <c r="S495" t="s">
        <v>101</v>
      </c>
      <c r="T495" t="s">
        <v>112</v>
      </c>
      <c r="U495">
        <v>1</v>
      </c>
    </row>
    <row r="496" spans="1:21" x14ac:dyDescent="0.3">
      <c r="A496" t="s">
        <v>601</v>
      </c>
      <c r="B496" s="1">
        <v>46038</v>
      </c>
      <c r="C496" s="1">
        <v>46039</v>
      </c>
      <c r="D496" s="1">
        <v>46042</v>
      </c>
      <c r="E496" s="1">
        <v>46042</v>
      </c>
      <c r="F496" t="s">
        <v>34</v>
      </c>
      <c r="G496" t="s">
        <v>59</v>
      </c>
      <c r="H496" t="s">
        <v>21</v>
      </c>
      <c r="I496" t="s">
        <v>44</v>
      </c>
      <c r="J496">
        <v>332.5</v>
      </c>
      <c r="K496">
        <v>909.2</v>
      </c>
      <c r="L496">
        <v>4413000</v>
      </c>
      <c r="M496" t="b">
        <v>0</v>
      </c>
      <c r="N496" t="b">
        <v>0</v>
      </c>
      <c r="O496">
        <v>1500</v>
      </c>
      <c r="P496" t="b">
        <v>0</v>
      </c>
      <c r="Q496" t="b">
        <v>0</v>
      </c>
      <c r="R496" t="b">
        <v>0</v>
      </c>
      <c r="S496" t="s">
        <v>96</v>
      </c>
      <c r="T496" t="s">
        <v>104</v>
      </c>
    </row>
    <row r="497" spans="1:21" x14ac:dyDescent="0.3">
      <c r="A497" t="s">
        <v>602</v>
      </c>
      <c r="B497" s="1">
        <v>46114</v>
      </c>
      <c r="C497" s="1">
        <v>46115</v>
      </c>
      <c r="D497" s="1">
        <v>46119</v>
      </c>
      <c r="F497" t="s">
        <v>34</v>
      </c>
      <c r="G497" t="s">
        <v>56</v>
      </c>
      <c r="H497" t="s">
        <v>21</v>
      </c>
      <c r="I497" t="s">
        <v>42</v>
      </c>
      <c r="J497">
        <v>865.2</v>
      </c>
      <c r="K497">
        <v>4531.1000000000004</v>
      </c>
      <c r="L497">
        <v>17094000</v>
      </c>
      <c r="M497" t="b">
        <v>0</v>
      </c>
      <c r="N497" t="b">
        <v>0</v>
      </c>
      <c r="O497">
        <v>16000</v>
      </c>
      <c r="P497" t="b">
        <v>0</v>
      </c>
      <c r="Q497" t="b">
        <v>0</v>
      </c>
      <c r="R497" t="b">
        <v>0</v>
      </c>
      <c r="S497" t="s">
        <v>203</v>
      </c>
      <c r="T497" t="s">
        <v>112</v>
      </c>
    </row>
    <row r="498" spans="1:21" x14ac:dyDescent="0.3">
      <c r="A498" t="s">
        <v>603</v>
      </c>
      <c r="B498" s="1">
        <v>46143</v>
      </c>
      <c r="C498" s="1">
        <v>46144</v>
      </c>
      <c r="D498" s="1">
        <v>46146</v>
      </c>
      <c r="E498" s="1">
        <v>46148</v>
      </c>
      <c r="F498" t="s">
        <v>34</v>
      </c>
      <c r="G498" t="s">
        <v>58</v>
      </c>
      <c r="H498" t="s">
        <v>24</v>
      </c>
      <c r="I498" t="s">
        <v>44</v>
      </c>
      <c r="J498">
        <v>140.6</v>
      </c>
      <c r="K498">
        <v>969.4</v>
      </c>
      <c r="L498">
        <v>2250000</v>
      </c>
      <c r="M498" t="b">
        <v>0</v>
      </c>
      <c r="N498" t="b">
        <v>0</v>
      </c>
      <c r="O498">
        <v>1500</v>
      </c>
      <c r="P498" t="b">
        <v>0</v>
      </c>
      <c r="Q498" t="b">
        <v>0</v>
      </c>
      <c r="R498" t="b">
        <v>0</v>
      </c>
      <c r="S498" t="s">
        <v>101</v>
      </c>
      <c r="T498" t="s">
        <v>102</v>
      </c>
      <c r="U498">
        <v>2</v>
      </c>
    </row>
    <row r="499" spans="1:21" x14ac:dyDescent="0.3">
      <c r="A499" t="s">
        <v>604</v>
      </c>
      <c r="B499" s="1">
        <v>46037</v>
      </c>
      <c r="C499" s="1">
        <v>46038</v>
      </c>
      <c r="D499" s="1">
        <v>46041</v>
      </c>
      <c r="E499" s="1">
        <v>46040</v>
      </c>
      <c r="F499" t="s">
        <v>33</v>
      </c>
      <c r="G499" t="s">
        <v>55</v>
      </c>
      <c r="H499" t="s">
        <v>22</v>
      </c>
      <c r="I499" t="s">
        <v>45</v>
      </c>
      <c r="J499">
        <v>587.6</v>
      </c>
      <c r="K499">
        <v>795.5</v>
      </c>
      <c r="L499">
        <v>6217000</v>
      </c>
      <c r="M499" t="b">
        <v>0</v>
      </c>
      <c r="N499" t="b">
        <v>0</v>
      </c>
      <c r="O499">
        <v>1000</v>
      </c>
      <c r="P499" t="b">
        <v>0</v>
      </c>
      <c r="Q499" t="b">
        <v>0</v>
      </c>
      <c r="R499" t="b">
        <v>0</v>
      </c>
      <c r="S499" t="s">
        <v>96</v>
      </c>
      <c r="T499" t="s">
        <v>104</v>
      </c>
    </row>
    <row r="500" spans="1:21" x14ac:dyDescent="0.3">
      <c r="A500" t="s">
        <v>605</v>
      </c>
      <c r="B500" s="1">
        <v>46041</v>
      </c>
      <c r="C500" s="1">
        <v>46041</v>
      </c>
      <c r="D500" s="1">
        <v>46042</v>
      </c>
      <c r="E500" s="1">
        <v>46042</v>
      </c>
      <c r="F500" t="s">
        <v>31</v>
      </c>
      <c r="G500" t="s">
        <v>55</v>
      </c>
      <c r="H500" t="s">
        <v>20</v>
      </c>
      <c r="I500" t="s">
        <v>42</v>
      </c>
      <c r="J500">
        <v>13.3</v>
      </c>
      <c r="K500">
        <v>14443</v>
      </c>
      <c r="L500">
        <v>5388000</v>
      </c>
      <c r="M500" t="b">
        <v>0</v>
      </c>
      <c r="N500" t="b">
        <v>0</v>
      </c>
      <c r="O500">
        <v>16000</v>
      </c>
      <c r="P500" t="b">
        <v>0</v>
      </c>
      <c r="Q500" t="b">
        <v>0</v>
      </c>
      <c r="R500" t="b">
        <v>0</v>
      </c>
      <c r="S500" t="s">
        <v>96</v>
      </c>
      <c r="T500" t="s">
        <v>104</v>
      </c>
    </row>
    <row r="501" spans="1:21" x14ac:dyDescent="0.3">
      <c r="A501" t="s">
        <v>606</v>
      </c>
      <c r="B501" s="1">
        <v>46110</v>
      </c>
      <c r="C501" s="1">
        <v>46111</v>
      </c>
      <c r="D501" s="1">
        <v>46115</v>
      </c>
      <c r="E501" s="1">
        <v>46116</v>
      </c>
      <c r="F501" t="s">
        <v>33</v>
      </c>
      <c r="G501" t="s">
        <v>54</v>
      </c>
      <c r="H501" t="s">
        <v>21</v>
      </c>
      <c r="I501" t="s">
        <v>45</v>
      </c>
      <c r="J501">
        <v>776.2</v>
      </c>
      <c r="K501">
        <v>856.4</v>
      </c>
      <c r="L501">
        <v>8598000</v>
      </c>
      <c r="M501" t="b">
        <v>0</v>
      </c>
      <c r="N501" t="b">
        <v>0</v>
      </c>
      <c r="O501">
        <v>1000</v>
      </c>
      <c r="P501" t="b">
        <v>0</v>
      </c>
      <c r="Q501" t="b">
        <v>0</v>
      </c>
      <c r="R501" t="b">
        <v>0</v>
      </c>
      <c r="S501" t="s">
        <v>101</v>
      </c>
      <c r="T501" t="s">
        <v>118</v>
      </c>
      <c r="U501">
        <v>1</v>
      </c>
    </row>
    <row r="502" spans="1:21" x14ac:dyDescent="0.3">
      <c r="A502" t="s">
        <v>607</v>
      </c>
      <c r="B502" s="1">
        <v>46066</v>
      </c>
      <c r="C502" s="1">
        <v>46067</v>
      </c>
      <c r="D502" s="1">
        <v>46071</v>
      </c>
      <c r="E502" s="1">
        <v>46071</v>
      </c>
      <c r="F502" t="s">
        <v>31</v>
      </c>
      <c r="G502" t="s">
        <v>60</v>
      </c>
      <c r="H502" t="s">
        <v>22</v>
      </c>
      <c r="I502" t="s">
        <v>43</v>
      </c>
      <c r="J502">
        <v>644.9</v>
      </c>
      <c r="K502">
        <v>3643.7</v>
      </c>
      <c r="L502">
        <v>11398000</v>
      </c>
      <c r="M502" t="b">
        <v>0</v>
      </c>
      <c r="N502" t="b">
        <v>0</v>
      </c>
      <c r="O502">
        <v>5000</v>
      </c>
      <c r="P502" t="b">
        <v>0</v>
      </c>
      <c r="Q502" t="b">
        <v>0</v>
      </c>
      <c r="R502" t="b">
        <v>0</v>
      </c>
      <c r="S502" t="s">
        <v>96</v>
      </c>
      <c r="T502" t="s">
        <v>115</v>
      </c>
    </row>
    <row r="503" spans="1:21" x14ac:dyDescent="0.3">
      <c r="A503" t="s">
        <v>608</v>
      </c>
      <c r="B503" s="1">
        <v>46096</v>
      </c>
      <c r="C503" s="1">
        <v>46097</v>
      </c>
      <c r="D503" s="1">
        <v>46100</v>
      </c>
      <c r="E503" s="1">
        <v>46100</v>
      </c>
      <c r="F503" t="s">
        <v>32</v>
      </c>
      <c r="G503" t="s">
        <v>52</v>
      </c>
      <c r="H503" t="s">
        <v>22</v>
      </c>
      <c r="I503" t="s">
        <v>43</v>
      </c>
      <c r="J503">
        <v>338.7</v>
      </c>
      <c r="K503">
        <v>2843.2</v>
      </c>
      <c r="L503">
        <v>5792000</v>
      </c>
      <c r="M503" t="b">
        <v>0</v>
      </c>
      <c r="N503" t="b">
        <v>0</v>
      </c>
      <c r="O503">
        <v>5000</v>
      </c>
      <c r="P503" t="b">
        <v>0</v>
      </c>
      <c r="Q503" t="b">
        <v>0</v>
      </c>
      <c r="R503" t="b">
        <v>0</v>
      </c>
      <c r="S503" t="s">
        <v>96</v>
      </c>
      <c r="T503" t="s">
        <v>118</v>
      </c>
    </row>
    <row r="504" spans="1:21" x14ac:dyDescent="0.3">
      <c r="A504" t="s">
        <v>609</v>
      </c>
      <c r="B504" s="1">
        <v>46036</v>
      </c>
      <c r="C504" s="1">
        <v>46037</v>
      </c>
      <c r="D504" s="1">
        <v>46038</v>
      </c>
      <c r="E504" s="1">
        <v>46039</v>
      </c>
      <c r="F504" t="s">
        <v>32</v>
      </c>
      <c r="G504" t="s">
        <v>57</v>
      </c>
      <c r="H504" t="s">
        <v>22</v>
      </c>
      <c r="I504" t="s">
        <v>45</v>
      </c>
      <c r="J504">
        <v>20.9</v>
      </c>
      <c r="K504">
        <v>746.5</v>
      </c>
      <c r="L504">
        <v>928000</v>
      </c>
      <c r="M504" t="b">
        <v>0</v>
      </c>
      <c r="N504" t="b">
        <v>0</v>
      </c>
      <c r="O504">
        <v>1000</v>
      </c>
      <c r="P504" t="b">
        <v>0</v>
      </c>
      <c r="Q504" t="b">
        <v>0</v>
      </c>
      <c r="R504" t="b">
        <v>0</v>
      </c>
      <c r="S504" t="s">
        <v>101</v>
      </c>
      <c r="T504" t="s">
        <v>104</v>
      </c>
      <c r="U504">
        <v>1</v>
      </c>
    </row>
    <row r="505" spans="1:21" x14ac:dyDescent="0.3">
      <c r="A505" t="s">
        <v>610</v>
      </c>
      <c r="B505" s="1">
        <v>46045</v>
      </c>
      <c r="C505" s="1">
        <v>46047</v>
      </c>
      <c r="D505" s="1">
        <v>46049</v>
      </c>
      <c r="E505" s="1">
        <v>46049</v>
      </c>
      <c r="F505" t="s">
        <v>32</v>
      </c>
      <c r="G505" t="s">
        <v>53</v>
      </c>
      <c r="H505" t="s">
        <v>20</v>
      </c>
      <c r="I505" t="s">
        <v>43</v>
      </c>
      <c r="J505">
        <v>256</v>
      </c>
      <c r="K505">
        <v>535.5</v>
      </c>
      <c r="L505">
        <v>4170000</v>
      </c>
      <c r="M505" t="b">
        <v>0</v>
      </c>
      <c r="N505" t="b">
        <v>0</v>
      </c>
      <c r="O505">
        <v>5000</v>
      </c>
      <c r="P505" t="b">
        <v>0</v>
      </c>
      <c r="Q505" t="b">
        <v>0</v>
      </c>
      <c r="R505" t="b">
        <v>0</v>
      </c>
      <c r="S505" t="s">
        <v>96</v>
      </c>
      <c r="T505" t="s">
        <v>104</v>
      </c>
    </row>
    <row r="506" spans="1:21" x14ac:dyDescent="0.3">
      <c r="A506" t="s">
        <v>611</v>
      </c>
      <c r="B506" s="1">
        <v>46114</v>
      </c>
      <c r="C506" s="1">
        <v>46116</v>
      </c>
      <c r="D506" s="1">
        <v>46119</v>
      </c>
      <c r="E506" s="1">
        <v>46119</v>
      </c>
      <c r="F506" t="s">
        <v>31</v>
      </c>
      <c r="G506" t="s">
        <v>59</v>
      </c>
      <c r="H506" t="s">
        <v>21</v>
      </c>
      <c r="I506" t="s">
        <v>42</v>
      </c>
      <c r="J506">
        <v>317.2</v>
      </c>
      <c r="K506">
        <v>13161.1</v>
      </c>
      <c r="L506">
        <v>8577000</v>
      </c>
      <c r="M506" t="b">
        <v>0</v>
      </c>
      <c r="N506" t="b">
        <v>0</v>
      </c>
      <c r="O506">
        <v>16000</v>
      </c>
      <c r="P506" t="b">
        <v>0</v>
      </c>
      <c r="Q506" t="b">
        <v>0</v>
      </c>
      <c r="R506" t="b">
        <v>0</v>
      </c>
      <c r="S506" t="s">
        <v>96</v>
      </c>
      <c r="T506" t="s">
        <v>112</v>
      </c>
    </row>
    <row r="507" spans="1:21" x14ac:dyDescent="0.3">
      <c r="A507" t="s">
        <v>612</v>
      </c>
      <c r="B507" s="1">
        <v>46054</v>
      </c>
      <c r="C507" s="1">
        <v>46055</v>
      </c>
      <c r="D507" s="1">
        <v>46057</v>
      </c>
      <c r="E507" s="1">
        <v>46057</v>
      </c>
      <c r="F507" t="s">
        <v>34</v>
      </c>
      <c r="G507" t="s">
        <v>58</v>
      </c>
      <c r="H507" t="s">
        <v>20</v>
      </c>
      <c r="I507" t="s">
        <v>43</v>
      </c>
      <c r="J507">
        <v>155</v>
      </c>
      <c r="K507">
        <v>2067.8000000000002</v>
      </c>
      <c r="L507">
        <v>4056000</v>
      </c>
      <c r="M507" t="b">
        <v>0</v>
      </c>
      <c r="N507" t="b">
        <v>0</v>
      </c>
      <c r="O507">
        <v>5000</v>
      </c>
      <c r="P507" t="b">
        <v>0</v>
      </c>
      <c r="Q507" t="b">
        <v>0</v>
      </c>
      <c r="R507" t="b">
        <v>0</v>
      </c>
      <c r="S507" t="s">
        <v>96</v>
      </c>
      <c r="T507" t="s">
        <v>115</v>
      </c>
    </row>
    <row r="508" spans="1:21" x14ac:dyDescent="0.3">
      <c r="A508" t="s">
        <v>613</v>
      </c>
      <c r="B508" s="1">
        <v>46197</v>
      </c>
      <c r="C508" s="1">
        <v>46198</v>
      </c>
      <c r="D508" s="1">
        <v>46200</v>
      </c>
      <c r="E508" s="1">
        <v>46200</v>
      </c>
      <c r="F508" t="s">
        <v>34</v>
      </c>
      <c r="G508" t="s">
        <v>58</v>
      </c>
      <c r="H508" t="s">
        <v>24</v>
      </c>
      <c r="I508" t="s">
        <v>43</v>
      </c>
      <c r="J508">
        <v>153.6</v>
      </c>
      <c r="K508">
        <v>2599</v>
      </c>
      <c r="L508">
        <v>3352000</v>
      </c>
      <c r="M508" t="b">
        <v>0</v>
      </c>
      <c r="N508" t="b">
        <v>0</v>
      </c>
      <c r="O508">
        <v>5000</v>
      </c>
      <c r="P508" t="b">
        <v>0</v>
      </c>
      <c r="Q508" t="b">
        <v>0</v>
      </c>
      <c r="R508" t="b">
        <v>0</v>
      </c>
      <c r="S508" t="s">
        <v>96</v>
      </c>
      <c r="T508" t="s">
        <v>99</v>
      </c>
    </row>
    <row r="509" spans="1:21" x14ac:dyDescent="0.3">
      <c r="A509" t="s">
        <v>614</v>
      </c>
      <c r="B509" s="1">
        <v>46026</v>
      </c>
      <c r="C509" s="1">
        <v>46028</v>
      </c>
      <c r="D509" s="1">
        <v>46030</v>
      </c>
      <c r="E509" s="1">
        <v>46030</v>
      </c>
      <c r="F509" t="s">
        <v>31</v>
      </c>
      <c r="G509" t="s">
        <v>58</v>
      </c>
      <c r="H509" t="s">
        <v>21</v>
      </c>
      <c r="I509" t="s">
        <v>43</v>
      </c>
      <c r="J509">
        <v>172.1</v>
      </c>
      <c r="K509">
        <v>2620.6</v>
      </c>
      <c r="L509">
        <v>3780000</v>
      </c>
      <c r="M509" t="b">
        <v>0</v>
      </c>
      <c r="N509" t="b">
        <v>0</v>
      </c>
      <c r="O509">
        <v>5000</v>
      </c>
      <c r="P509" t="b">
        <v>0</v>
      </c>
      <c r="Q509" t="b">
        <v>0</v>
      </c>
      <c r="R509" t="b">
        <v>0</v>
      </c>
      <c r="S509" t="s">
        <v>96</v>
      </c>
      <c r="T509" t="s">
        <v>104</v>
      </c>
    </row>
    <row r="510" spans="1:21" x14ac:dyDescent="0.3">
      <c r="A510" t="s">
        <v>615</v>
      </c>
      <c r="B510" s="1">
        <v>46196</v>
      </c>
      <c r="C510" s="1">
        <v>46197</v>
      </c>
      <c r="D510" s="1">
        <v>46200</v>
      </c>
      <c r="E510" s="1">
        <v>46202</v>
      </c>
      <c r="F510" t="s">
        <v>32</v>
      </c>
      <c r="G510" t="s">
        <v>60</v>
      </c>
      <c r="H510" t="s">
        <v>24</v>
      </c>
      <c r="I510" t="s">
        <v>43</v>
      </c>
      <c r="J510">
        <v>475.7</v>
      </c>
      <c r="K510">
        <v>3022.5</v>
      </c>
      <c r="L510">
        <v>7803000</v>
      </c>
      <c r="M510" t="b">
        <v>0</v>
      </c>
      <c r="N510" t="b">
        <v>0</v>
      </c>
      <c r="O510">
        <v>5000</v>
      </c>
      <c r="P510" t="b">
        <v>0</v>
      </c>
      <c r="Q510" t="b">
        <v>0</v>
      </c>
      <c r="R510" t="b">
        <v>0</v>
      </c>
      <c r="S510" t="s">
        <v>101</v>
      </c>
      <c r="T510" t="s">
        <v>99</v>
      </c>
      <c r="U510">
        <v>2</v>
      </c>
    </row>
    <row r="511" spans="1:21" x14ac:dyDescent="0.3">
      <c r="A511" t="s">
        <v>616</v>
      </c>
      <c r="B511" s="1">
        <v>46031</v>
      </c>
      <c r="C511" s="1">
        <v>46032</v>
      </c>
      <c r="D511" s="1">
        <v>46037</v>
      </c>
      <c r="E511" s="1">
        <v>46037</v>
      </c>
      <c r="F511" t="s">
        <v>33</v>
      </c>
      <c r="G511" t="s">
        <v>61</v>
      </c>
      <c r="H511" t="s">
        <v>24</v>
      </c>
      <c r="I511" t="s">
        <v>44</v>
      </c>
      <c r="J511">
        <v>612.20000000000005</v>
      </c>
      <c r="K511">
        <v>1206</v>
      </c>
      <c r="L511">
        <v>7164000</v>
      </c>
      <c r="M511" t="b">
        <v>0</v>
      </c>
      <c r="N511" t="b">
        <v>0</v>
      </c>
      <c r="O511">
        <v>1500</v>
      </c>
      <c r="P511" t="b">
        <v>0</v>
      </c>
      <c r="Q511" t="b">
        <v>0</v>
      </c>
      <c r="R511" t="b">
        <v>0</v>
      </c>
      <c r="S511" t="s">
        <v>96</v>
      </c>
      <c r="T511" t="s">
        <v>104</v>
      </c>
    </row>
    <row r="512" spans="1:21" x14ac:dyDescent="0.3">
      <c r="A512" t="s">
        <v>617</v>
      </c>
      <c r="B512" s="1">
        <v>46067</v>
      </c>
      <c r="C512" s="1">
        <v>46068</v>
      </c>
      <c r="D512" s="1">
        <v>46070</v>
      </c>
      <c r="E512" s="1">
        <v>46070</v>
      </c>
      <c r="F512" t="s">
        <v>34</v>
      </c>
      <c r="G512" t="s">
        <v>57</v>
      </c>
      <c r="H512" t="s">
        <v>21</v>
      </c>
      <c r="I512" t="s">
        <v>43</v>
      </c>
      <c r="J512">
        <v>160.9</v>
      </c>
      <c r="K512">
        <v>2791.9</v>
      </c>
      <c r="L512">
        <v>3919000</v>
      </c>
      <c r="M512" t="b">
        <v>0</v>
      </c>
      <c r="N512" t="b">
        <v>0</v>
      </c>
      <c r="O512">
        <v>5000</v>
      </c>
      <c r="P512" t="b">
        <v>0</v>
      </c>
      <c r="Q512" t="b">
        <v>0</v>
      </c>
      <c r="R512" t="b">
        <v>0</v>
      </c>
      <c r="S512" t="s">
        <v>96</v>
      </c>
      <c r="T512" t="s">
        <v>115</v>
      </c>
    </row>
    <row r="513" spans="1:21" x14ac:dyDescent="0.3">
      <c r="A513" t="s">
        <v>618</v>
      </c>
      <c r="B513" s="1">
        <v>46153</v>
      </c>
      <c r="C513" s="1">
        <v>46155</v>
      </c>
      <c r="D513" s="1">
        <v>46159</v>
      </c>
      <c r="E513" s="1">
        <v>46160</v>
      </c>
      <c r="F513" t="s">
        <v>33</v>
      </c>
      <c r="G513" t="s">
        <v>61</v>
      </c>
      <c r="H513" t="s">
        <v>23</v>
      </c>
      <c r="I513" t="s">
        <v>42</v>
      </c>
      <c r="J513">
        <v>624</v>
      </c>
      <c r="K513">
        <v>7168</v>
      </c>
      <c r="L513">
        <v>12156000</v>
      </c>
      <c r="M513" t="b">
        <v>0</v>
      </c>
      <c r="N513" t="b">
        <v>0</v>
      </c>
      <c r="O513">
        <v>16000</v>
      </c>
      <c r="P513" t="b">
        <v>0</v>
      </c>
      <c r="Q513" t="b">
        <v>0</v>
      </c>
      <c r="R513" t="b">
        <v>0</v>
      </c>
      <c r="S513" t="s">
        <v>101</v>
      </c>
      <c r="T513" t="s">
        <v>102</v>
      </c>
      <c r="U513">
        <v>1</v>
      </c>
    </row>
    <row r="514" spans="1:21" x14ac:dyDescent="0.3">
      <c r="A514" t="s">
        <v>619</v>
      </c>
      <c r="B514" s="1">
        <v>46195</v>
      </c>
      <c r="C514" s="1">
        <v>46196</v>
      </c>
      <c r="D514" s="1">
        <v>46198</v>
      </c>
      <c r="E514" s="1">
        <v>46200</v>
      </c>
      <c r="F514" t="s">
        <v>34</v>
      </c>
      <c r="G514" t="s">
        <v>52</v>
      </c>
      <c r="H514" t="s">
        <v>24</v>
      </c>
      <c r="I514" t="s">
        <v>43</v>
      </c>
      <c r="J514">
        <v>299.2</v>
      </c>
      <c r="K514">
        <v>2069.1999999999998</v>
      </c>
      <c r="L514">
        <v>5347000</v>
      </c>
      <c r="M514" t="b">
        <v>0</v>
      </c>
      <c r="N514" t="b">
        <v>0</v>
      </c>
      <c r="O514">
        <v>5000</v>
      </c>
      <c r="P514" t="b">
        <v>0</v>
      </c>
      <c r="Q514" t="b">
        <v>0</v>
      </c>
      <c r="R514" t="b">
        <v>0</v>
      </c>
      <c r="S514" t="s">
        <v>101</v>
      </c>
      <c r="T514" t="s">
        <v>99</v>
      </c>
      <c r="U514">
        <v>2</v>
      </c>
    </row>
    <row r="515" spans="1:21" x14ac:dyDescent="0.3">
      <c r="A515" t="s">
        <v>620</v>
      </c>
      <c r="B515" s="1">
        <v>46186</v>
      </c>
      <c r="C515" s="1">
        <v>46187</v>
      </c>
      <c r="D515" s="1">
        <v>46190</v>
      </c>
      <c r="E515" s="1">
        <v>46191</v>
      </c>
      <c r="F515" t="s">
        <v>32</v>
      </c>
      <c r="G515" t="s">
        <v>52</v>
      </c>
      <c r="H515" t="s">
        <v>23</v>
      </c>
      <c r="I515" t="s">
        <v>43</v>
      </c>
      <c r="J515">
        <v>352.6</v>
      </c>
      <c r="K515">
        <v>3543.7</v>
      </c>
      <c r="L515">
        <v>5940000</v>
      </c>
      <c r="M515" t="b">
        <v>0</v>
      </c>
      <c r="N515" t="b">
        <v>0</v>
      </c>
      <c r="O515">
        <v>5000</v>
      </c>
      <c r="P515" t="b">
        <v>0</v>
      </c>
      <c r="Q515" t="b">
        <v>0</v>
      </c>
      <c r="R515" t="b">
        <v>0</v>
      </c>
      <c r="S515" t="s">
        <v>101</v>
      </c>
      <c r="T515" t="s">
        <v>99</v>
      </c>
      <c r="U515">
        <v>1</v>
      </c>
    </row>
    <row r="516" spans="1:21" x14ac:dyDescent="0.3">
      <c r="A516" t="s">
        <v>621</v>
      </c>
      <c r="B516" s="1">
        <v>46158</v>
      </c>
      <c r="C516" s="1">
        <v>46159</v>
      </c>
      <c r="D516" s="1">
        <v>46161</v>
      </c>
      <c r="E516" s="1">
        <v>46161</v>
      </c>
      <c r="F516" t="s">
        <v>31</v>
      </c>
      <c r="G516" t="s">
        <v>52</v>
      </c>
      <c r="H516" t="s">
        <v>24</v>
      </c>
      <c r="I516" t="s">
        <v>43</v>
      </c>
      <c r="J516">
        <v>287.89999999999998</v>
      </c>
      <c r="K516">
        <v>3651</v>
      </c>
      <c r="L516">
        <v>5499000</v>
      </c>
      <c r="M516" t="b">
        <v>0</v>
      </c>
      <c r="N516" t="b">
        <v>0</v>
      </c>
      <c r="O516">
        <v>5000</v>
      </c>
      <c r="P516" t="b">
        <v>0</v>
      </c>
      <c r="Q516" t="b">
        <v>0</v>
      </c>
      <c r="R516" t="b">
        <v>0</v>
      </c>
      <c r="S516" t="s">
        <v>96</v>
      </c>
      <c r="T516" t="s">
        <v>102</v>
      </c>
    </row>
    <row r="517" spans="1:21" x14ac:dyDescent="0.3">
      <c r="A517" t="s">
        <v>622</v>
      </c>
      <c r="B517" s="1">
        <v>46135</v>
      </c>
      <c r="C517" s="1">
        <v>46135</v>
      </c>
      <c r="D517" s="1">
        <v>46137</v>
      </c>
      <c r="E517" s="1">
        <v>46138</v>
      </c>
      <c r="F517" t="s">
        <v>31</v>
      </c>
      <c r="G517" t="s">
        <v>63</v>
      </c>
      <c r="H517" t="s">
        <v>22</v>
      </c>
      <c r="I517" t="s">
        <v>45</v>
      </c>
      <c r="J517">
        <v>297.2</v>
      </c>
      <c r="K517">
        <v>638.70000000000005</v>
      </c>
      <c r="L517">
        <v>3062000</v>
      </c>
      <c r="M517" t="b">
        <v>0</v>
      </c>
      <c r="N517" t="b">
        <v>0</v>
      </c>
      <c r="O517">
        <v>1000</v>
      </c>
      <c r="P517" t="b">
        <v>0</v>
      </c>
      <c r="Q517" t="b">
        <v>0</v>
      </c>
      <c r="R517" t="b">
        <v>0</v>
      </c>
      <c r="S517" t="s">
        <v>101</v>
      </c>
      <c r="T517" t="s">
        <v>112</v>
      </c>
      <c r="U517">
        <v>1</v>
      </c>
    </row>
    <row r="518" spans="1:21" x14ac:dyDescent="0.3">
      <c r="A518" t="s">
        <v>623</v>
      </c>
      <c r="B518" s="1">
        <v>46066</v>
      </c>
      <c r="C518" s="1">
        <v>46067</v>
      </c>
      <c r="D518" s="1">
        <v>46070</v>
      </c>
      <c r="E518" s="1">
        <v>46070</v>
      </c>
      <c r="F518" t="s">
        <v>33</v>
      </c>
      <c r="G518" t="s">
        <v>53</v>
      </c>
      <c r="H518" t="s">
        <v>20</v>
      </c>
      <c r="I518" t="s">
        <v>42</v>
      </c>
      <c r="J518">
        <v>560.79999999999995</v>
      </c>
      <c r="K518">
        <v>6751.6</v>
      </c>
      <c r="L518">
        <v>12373000</v>
      </c>
      <c r="M518" t="b">
        <v>0</v>
      </c>
      <c r="N518" t="b">
        <v>0</v>
      </c>
      <c r="O518">
        <v>16000</v>
      </c>
      <c r="P518" t="b">
        <v>0</v>
      </c>
      <c r="Q518" t="b">
        <v>0</v>
      </c>
      <c r="R518" t="b">
        <v>0</v>
      </c>
      <c r="S518" t="s">
        <v>96</v>
      </c>
      <c r="T518" t="s">
        <v>115</v>
      </c>
    </row>
    <row r="519" spans="1:21" x14ac:dyDescent="0.3">
      <c r="A519" t="s">
        <v>624</v>
      </c>
      <c r="B519" s="1">
        <v>46077</v>
      </c>
      <c r="C519" s="1">
        <v>46079</v>
      </c>
      <c r="D519" s="1">
        <v>46082</v>
      </c>
      <c r="E519" s="1">
        <v>46084</v>
      </c>
      <c r="F519" t="s">
        <v>34</v>
      </c>
      <c r="G519" t="s">
        <v>63</v>
      </c>
      <c r="H519" t="s">
        <v>22</v>
      </c>
      <c r="I519" t="s">
        <v>43</v>
      </c>
      <c r="J519">
        <v>350</v>
      </c>
      <c r="K519">
        <v>3316.1</v>
      </c>
      <c r="L519">
        <v>6304000</v>
      </c>
      <c r="M519" t="b">
        <v>0</v>
      </c>
      <c r="N519" t="b">
        <v>0</v>
      </c>
      <c r="O519">
        <v>5000</v>
      </c>
      <c r="P519" t="b">
        <v>0</v>
      </c>
      <c r="Q519" t="b">
        <v>0</v>
      </c>
      <c r="R519" t="b">
        <v>0</v>
      </c>
      <c r="S519" t="s">
        <v>101</v>
      </c>
      <c r="T519" t="s">
        <v>115</v>
      </c>
      <c r="U519">
        <v>2</v>
      </c>
    </row>
    <row r="520" spans="1:21" x14ac:dyDescent="0.3">
      <c r="A520" t="s">
        <v>625</v>
      </c>
      <c r="B520" s="1">
        <v>46131</v>
      </c>
      <c r="C520" s="1">
        <v>46133</v>
      </c>
      <c r="D520" s="1">
        <v>46137</v>
      </c>
      <c r="E520" s="1">
        <v>46137</v>
      </c>
      <c r="F520" t="s">
        <v>34</v>
      </c>
      <c r="G520" t="s">
        <v>63</v>
      </c>
      <c r="H520" t="s">
        <v>22</v>
      </c>
      <c r="I520" t="s">
        <v>43</v>
      </c>
      <c r="J520">
        <v>338.7</v>
      </c>
      <c r="K520">
        <v>3800.6</v>
      </c>
      <c r="L520">
        <v>6558000</v>
      </c>
      <c r="M520" t="b">
        <v>0</v>
      </c>
      <c r="N520" t="b">
        <v>0</v>
      </c>
      <c r="O520">
        <v>5000</v>
      </c>
      <c r="P520" t="b">
        <v>0</v>
      </c>
      <c r="Q520" t="b">
        <v>0</v>
      </c>
      <c r="R520" t="b">
        <v>0</v>
      </c>
      <c r="S520" t="s">
        <v>96</v>
      </c>
      <c r="T520" t="s">
        <v>112</v>
      </c>
    </row>
    <row r="521" spans="1:21" x14ac:dyDescent="0.3">
      <c r="A521" t="s">
        <v>626</v>
      </c>
      <c r="B521" s="1">
        <v>46191</v>
      </c>
      <c r="C521" s="1">
        <v>46192</v>
      </c>
      <c r="D521" s="1">
        <v>46194</v>
      </c>
      <c r="E521" s="1">
        <v>46194</v>
      </c>
      <c r="F521" t="s">
        <v>34</v>
      </c>
      <c r="G521" t="s">
        <v>52</v>
      </c>
      <c r="H521" t="s">
        <v>21</v>
      </c>
      <c r="I521" t="s">
        <v>44</v>
      </c>
      <c r="J521">
        <v>271.5</v>
      </c>
      <c r="K521">
        <v>514.70000000000005</v>
      </c>
      <c r="L521">
        <v>3172000</v>
      </c>
      <c r="M521" t="b">
        <v>0</v>
      </c>
      <c r="N521" t="b">
        <v>0</v>
      </c>
      <c r="O521">
        <v>1500</v>
      </c>
      <c r="P521" t="b">
        <v>0</v>
      </c>
      <c r="Q521" t="b">
        <v>0</v>
      </c>
      <c r="R521" t="b">
        <v>0</v>
      </c>
      <c r="S521" t="s">
        <v>96</v>
      </c>
      <c r="T521" t="s">
        <v>99</v>
      </c>
    </row>
    <row r="522" spans="1:21" x14ac:dyDescent="0.3">
      <c r="A522" t="s">
        <v>627</v>
      </c>
      <c r="B522" s="1">
        <v>46056</v>
      </c>
      <c r="C522" s="1">
        <v>46056</v>
      </c>
      <c r="D522" s="1">
        <v>46060</v>
      </c>
      <c r="E522" s="1">
        <v>46060</v>
      </c>
      <c r="F522" t="s">
        <v>34</v>
      </c>
      <c r="G522" t="s">
        <v>62</v>
      </c>
      <c r="H522" t="s">
        <v>23</v>
      </c>
      <c r="I522" t="s">
        <v>44</v>
      </c>
      <c r="J522">
        <v>712.1</v>
      </c>
      <c r="K522">
        <v>1398.8</v>
      </c>
      <c r="L522">
        <v>6708000</v>
      </c>
      <c r="M522" t="b">
        <v>0</v>
      </c>
      <c r="N522" t="b">
        <v>0</v>
      </c>
      <c r="O522">
        <v>1500</v>
      </c>
      <c r="P522" t="b">
        <v>0</v>
      </c>
      <c r="Q522" t="b">
        <v>0</v>
      </c>
      <c r="R522" t="b">
        <v>0</v>
      </c>
      <c r="S522" t="s">
        <v>96</v>
      </c>
      <c r="T522" t="s">
        <v>115</v>
      </c>
    </row>
    <row r="523" spans="1:21" x14ac:dyDescent="0.3">
      <c r="A523" t="s">
        <v>628</v>
      </c>
      <c r="B523" s="1">
        <v>46149</v>
      </c>
      <c r="C523" s="1">
        <v>46149</v>
      </c>
      <c r="D523" s="1">
        <v>46150</v>
      </c>
      <c r="E523" s="1">
        <v>46150</v>
      </c>
      <c r="F523" t="s">
        <v>32</v>
      </c>
      <c r="G523" t="s">
        <v>57</v>
      </c>
      <c r="H523" t="s">
        <v>20</v>
      </c>
      <c r="I523" t="s">
        <v>43</v>
      </c>
      <c r="J523">
        <v>13.1</v>
      </c>
      <c r="K523">
        <v>3694.1</v>
      </c>
      <c r="L523">
        <v>2135000</v>
      </c>
      <c r="M523" t="b">
        <v>0</v>
      </c>
      <c r="N523" t="b">
        <v>0</v>
      </c>
      <c r="O523">
        <v>5000</v>
      </c>
      <c r="P523" t="b">
        <v>0</v>
      </c>
      <c r="Q523" t="b">
        <v>0</v>
      </c>
      <c r="R523" t="b">
        <v>0</v>
      </c>
      <c r="S523" t="s">
        <v>96</v>
      </c>
      <c r="T523" t="s">
        <v>102</v>
      </c>
    </row>
    <row r="524" spans="1:21" x14ac:dyDescent="0.3">
      <c r="A524" t="s">
        <v>629</v>
      </c>
      <c r="B524" s="1">
        <v>46147</v>
      </c>
      <c r="C524" s="1">
        <v>46148</v>
      </c>
      <c r="D524" s="1">
        <v>46152</v>
      </c>
      <c r="E524" s="1">
        <v>46152</v>
      </c>
      <c r="F524" t="s">
        <v>32</v>
      </c>
      <c r="G524" t="s">
        <v>56</v>
      </c>
      <c r="H524" t="s">
        <v>23</v>
      </c>
      <c r="I524" t="s">
        <v>44</v>
      </c>
      <c r="J524">
        <v>1039.5999999999999</v>
      </c>
      <c r="K524">
        <v>180.4</v>
      </c>
      <c r="L524">
        <v>9664000</v>
      </c>
      <c r="M524" t="b">
        <v>0</v>
      </c>
      <c r="N524" t="b">
        <v>0</v>
      </c>
      <c r="O524">
        <v>1500</v>
      </c>
      <c r="P524" t="b">
        <v>0</v>
      </c>
      <c r="Q524" t="b">
        <v>0</v>
      </c>
      <c r="R524" t="b">
        <v>0</v>
      </c>
      <c r="S524" t="s">
        <v>96</v>
      </c>
      <c r="T524" t="s">
        <v>102</v>
      </c>
    </row>
    <row r="525" spans="1:21" x14ac:dyDescent="0.3">
      <c r="A525" t="s">
        <v>630</v>
      </c>
      <c r="B525" s="1">
        <v>46166</v>
      </c>
      <c r="C525" s="1">
        <v>46166</v>
      </c>
      <c r="D525" s="1">
        <v>46170</v>
      </c>
      <c r="E525" s="1">
        <v>46170</v>
      </c>
      <c r="F525" t="s">
        <v>31</v>
      </c>
      <c r="G525" t="s">
        <v>62</v>
      </c>
      <c r="H525" t="s">
        <v>20</v>
      </c>
      <c r="I525" t="s">
        <v>45</v>
      </c>
      <c r="J525">
        <v>695.8</v>
      </c>
      <c r="K525">
        <v>828.9</v>
      </c>
      <c r="L525">
        <v>7712000</v>
      </c>
      <c r="M525" t="b">
        <v>0</v>
      </c>
      <c r="N525" t="b">
        <v>0</v>
      </c>
      <c r="O525">
        <v>1000</v>
      </c>
      <c r="P525" t="b">
        <v>0</v>
      </c>
      <c r="Q525" t="b">
        <v>0</v>
      </c>
      <c r="R525" t="b">
        <v>0</v>
      </c>
      <c r="S525" t="s">
        <v>96</v>
      </c>
      <c r="T525" t="s">
        <v>102</v>
      </c>
    </row>
    <row r="526" spans="1:21" x14ac:dyDescent="0.3">
      <c r="A526" t="s">
        <v>631</v>
      </c>
      <c r="B526" s="1">
        <v>46167</v>
      </c>
      <c r="C526" s="1">
        <v>46168</v>
      </c>
      <c r="D526" s="1">
        <v>46171</v>
      </c>
      <c r="E526" s="1">
        <v>46171</v>
      </c>
      <c r="F526" t="s">
        <v>32</v>
      </c>
      <c r="G526" t="s">
        <v>58</v>
      </c>
      <c r="H526" t="s">
        <v>23</v>
      </c>
      <c r="I526" t="s">
        <v>43</v>
      </c>
      <c r="J526">
        <v>304.60000000000002</v>
      </c>
      <c r="K526">
        <v>4196.6000000000004</v>
      </c>
      <c r="L526">
        <v>6559000</v>
      </c>
      <c r="M526" t="b">
        <v>0</v>
      </c>
      <c r="N526" t="b">
        <v>0</v>
      </c>
      <c r="O526">
        <v>5000</v>
      </c>
      <c r="P526" t="b">
        <v>0</v>
      </c>
      <c r="Q526" t="b">
        <v>0</v>
      </c>
      <c r="R526" t="b">
        <v>0</v>
      </c>
      <c r="S526" t="s">
        <v>96</v>
      </c>
      <c r="T526" t="s">
        <v>102</v>
      </c>
    </row>
    <row r="527" spans="1:21" x14ac:dyDescent="0.3">
      <c r="A527" t="s">
        <v>632</v>
      </c>
      <c r="B527" s="1">
        <v>46173</v>
      </c>
      <c r="C527" s="1">
        <v>46173</v>
      </c>
      <c r="D527" s="1">
        <v>46176</v>
      </c>
      <c r="E527" s="1">
        <v>46176</v>
      </c>
      <c r="F527" t="s">
        <v>31</v>
      </c>
      <c r="G527" t="s">
        <v>63</v>
      </c>
      <c r="H527" t="s">
        <v>21</v>
      </c>
      <c r="I527" t="s">
        <v>44</v>
      </c>
      <c r="J527">
        <v>314.3</v>
      </c>
      <c r="K527">
        <v>841.1</v>
      </c>
      <c r="L527">
        <v>3752000</v>
      </c>
      <c r="M527" t="b">
        <v>0</v>
      </c>
      <c r="N527" t="b">
        <v>0</v>
      </c>
      <c r="O527">
        <v>1500</v>
      </c>
      <c r="P527" t="b">
        <v>0</v>
      </c>
      <c r="Q527" t="b">
        <v>0</v>
      </c>
      <c r="R527" t="b">
        <v>0</v>
      </c>
      <c r="S527" t="s">
        <v>96</v>
      </c>
      <c r="T527" t="s">
        <v>102</v>
      </c>
    </row>
    <row r="528" spans="1:21" x14ac:dyDescent="0.3">
      <c r="A528" t="s">
        <v>633</v>
      </c>
      <c r="B528" s="1">
        <v>46086</v>
      </c>
      <c r="C528" s="1">
        <v>46087</v>
      </c>
      <c r="D528" s="1">
        <v>46089</v>
      </c>
      <c r="E528" s="1">
        <v>46090</v>
      </c>
      <c r="F528" t="s">
        <v>31</v>
      </c>
      <c r="G528" t="s">
        <v>63</v>
      </c>
      <c r="H528" t="s">
        <v>24</v>
      </c>
      <c r="I528" t="s">
        <v>44</v>
      </c>
      <c r="J528">
        <v>296.5</v>
      </c>
      <c r="K528">
        <v>161.6</v>
      </c>
      <c r="L528">
        <v>3441000</v>
      </c>
      <c r="M528" t="b">
        <v>0</v>
      </c>
      <c r="N528" t="b">
        <v>0</v>
      </c>
      <c r="O528">
        <v>1500</v>
      </c>
      <c r="P528" t="b">
        <v>0</v>
      </c>
      <c r="Q528" t="b">
        <v>0</v>
      </c>
      <c r="R528" t="b">
        <v>0</v>
      </c>
      <c r="S528" t="s">
        <v>101</v>
      </c>
      <c r="T528" t="s">
        <v>118</v>
      </c>
      <c r="U528">
        <v>1</v>
      </c>
    </row>
    <row r="529" spans="1:21" x14ac:dyDescent="0.3">
      <c r="A529" t="s">
        <v>634</v>
      </c>
      <c r="B529" s="1">
        <v>46161</v>
      </c>
      <c r="C529" s="1">
        <v>46162</v>
      </c>
      <c r="D529" s="1">
        <v>46165</v>
      </c>
      <c r="E529" s="1">
        <v>46166</v>
      </c>
      <c r="F529" t="s">
        <v>33</v>
      </c>
      <c r="G529" t="s">
        <v>57</v>
      </c>
      <c r="H529" t="s">
        <v>22</v>
      </c>
      <c r="I529" t="s">
        <v>42</v>
      </c>
      <c r="J529">
        <v>471.7</v>
      </c>
      <c r="K529">
        <v>5222.8999999999996</v>
      </c>
      <c r="L529">
        <v>10645000</v>
      </c>
      <c r="M529" t="b">
        <v>0</v>
      </c>
      <c r="N529" t="b">
        <v>0</v>
      </c>
      <c r="O529">
        <v>16000</v>
      </c>
      <c r="P529" t="b">
        <v>0</v>
      </c>
      <c r="Q529" t="b">
        <v>0</v>
      </c>
      <c r="R529" t="b">
        <v>0</v>
      </c>
      <c r="S529" t="s">
        <v>101</v>
      </c>
      <c r="T529" t="s">
        <v>102</v>
      </c>
      <c r="U529">
        <v>1</v>
      </c>
    </row>
    <row r="530" spans="1:21" x14ac:dyDescent="0.3">
      <c r="A530" t="s">
        <v>635</v>
      </c>
      <c r="B530" s="1">
        <v>46054</v>
      </c>
      <c r="C530" s="1">
        <v>46055</v>
      </c>
      <c r="D530" s="1">
        <v>46058</v>
      </c>
      <c r="E530" s="1">
        <v>46058</v>
      </c>
      <c r="F530" t="s">
        <v>32</v>
      </c>
      <c r="G530" t="s">
        <v>58</v>
      </c>
      <c r="H530" t="s">
        <v>20</v>
      </c>
      <c r="I530" t="s">
        <v>42</v>
      </c>
      <c r="J530">
        <v>287.7</v>
      </c>
      <c r="K530">
        <v>6918.1</v>
      </c>
      <c r="L530">
        <v>8953000</v>
      </c>
      <c r="M530" t="b">
        <v>0</v>
      </c>
      <c r="N530" t="b">
        <v>0</v>
      </c>
      <c r="O530">
        <v>16000</v>
      </c>
      <c r="P530" t="b">
        <v>0</v>
      </c>
      <c r="Q530" t="b">
        <v>0</v>
      </c>
      <c r="R530" t="b">
        <v>0</v>
      </c>
      <c r="S530" t="s">
        <v>96</v>
      </c>
      <c r="T530" t="s">
        <v>115</v>
      </c>
    </row>
    <row r="531" spans="1:21" x14ac:dyDescent="0.3">
      <c r="A531" t="s">
        <v>636</v>
      </c>
      <c r="B531" s="1">
        <v>46120</v>
      </c>
      <c r="C531" s="1">
        <v>46120</v>
      </c>
      <c r="D531" s="1">
        <v>46124</v>
      </c>
      <c r="E531" s="1">
        <v>46124</v>
      </c>
      <c r="F531" t="s">
        <v>34</v>
      </c>
      <c r="G531" t="s">
        <v>56</v>
      </c>
      <c r="H531" t="s">
        <v>23</v>
      </c>
      <c r="I531" t="s">
        <v>43</v>
      </c>
      <c r="J531">
        <v>911.1</v>
      </c>
      <c r="K531">
        <v>796.1</v>
      </c>
      <c r="L531">
        <v>12285000</v>
      </c>
      <c r="M531" t="b">
        <v>0</v>
      </c>
      <c r="N531" t="b">
        <v>0</v>
      </c>
      <c r="O531">
        <v>5000</v>
      </c>
      <c r="P531" t="b">
        <v>0</v>
      </c>
      <c r="Q531" t="b">
        <v>0</v>
      </c>
      <c r="R531" t="b">
        <v>0</v>
      </c>
      <c r="S531" t="s">
        <v>96</v>
      </c>
      <c r="T531" t="s">
        <v>112</v>
      </c>
    </row>
    <row r="532" spans="1:21" x14ac:dyDescent="0.3">
      <c r="A532" t="s">
        <v>637</v>
      </c>
      <c r="B532" s="1">
        <v>46190</v>
      </c>
      <c r="C532" s="1">
        <v>46191</v>
      </c>
      <c r="D532" s="1">
        <v>46195</v>
      </c>
      <c r="E532" s="1">
        <v>46198</v>
      </c>
      <c r="F532" t="s">
        <v>32</v>
      </c>
      <c r="G532" t="s">
        <v>56</v>
      </c>
      <c r="H532" t="s">
        <v>22</v>
      </c>
      <c r="I532" t="s">
        <v>43</v>
      </c>
      <c r="J532">
        <v>981.8</v>
      </c>
      <c r="K532">
        <v>2917.2</v>
      </c>
      <c r="L532">
        <v>14020000</v>
      </c>
      <c r="M532" t="b">
        <v>0</v>
      </c>
      <c r="N532" t="b">
        <v>0</v>
      </c>
      <c r="O532">
        <v>5000</v>
      </c>
      <c r="P532" t="b">
        <v>0</v>
      </c>
      <c r="Q532" t="b">
        <v>0</v>
      </c>
      <c r="R532" t="b">
        <v>0</v>
      </c>
      <c r="S532" t="s">
        <v>101</v>
      </c>
      <c r="T532" t="s">
        <v>99</v>
      </c>
      <c r="U532">
        <v>3</v>
      </c>
    </row>
    <row r="533" spans="1:21" x14ac:dyDescent="0.3">
      <c r="A533" t="s">
        <v>638</v>
      </c>
      <c r="B533" s="1">
        <v>46097</v>
      </c>
      <c r="C533" s="1">
        <v>46098</v>
      </c>
      <c r="D533" s="1">
        <v>46100</v>
      </c>
      <c r="E533" s="1">
        <v>46100</v>
      </c>
      <c r="F533" t="s">
        <v>34</v>
      </c>
      <c r="G533" t="s">
        <v>58</v>
      </c>
      <c r="H533" t="s">
        <v>21</v>
      </c>
      <c r="I533" t="s">
        <v>45</v>
      </c>
      <c r="J533">
        <v>154.6</v>
      </c>
      <c r="K533">
        <v>575.29999999999995</v>
      </c>
      <c r="L533">
        <v>2059000</v>
      </c>
      <c r="M533" t="b">
        <v>0</v>
      </c>
      <c r="N533" t="b">
        <v>0</v>
      </c>
      <c r="O533">
        <v>1000</v>
      </c>
      <c r="P533" t="b">
        <v>0</v>
      </c>
      <c r="Q533" t="b">
        <v>0</v>
      </c>
      <c r="R533" t="b">
        <v>0</v>
      </c>
      <c r="S533" t="s">
        <v>96</v>
      </c>
      <c r="T533" t="s">
        <v>118</v>
      </c>
    </row>
    <row r="534" spans="1:21" x14ac:dyDescent="0.3">
      <c r="A534" t="s">
        <v>639</v>
      </c>
      <c r="B534" s="1">
        <v>46081</v>
      </c>
      <c r="C534" s="1">
        <v>46082</v>
      </c>
      <c r="D534" s="1">
        <v>46084</v>
      </c>
      <c r="E534" s="1">
        <v>46084</v>
      </c>
      <c r="F534" t="s">
        <v>34</v>
      </c>
      <c r="G534" t="s">
        <v>52</v>
      </c>
      <c r="H534" t="s">
        <v>21</v>
      </c>
      <c r="I534" t="s">
        <v>42</v>
      </c>
      <c r="J534">
        <v>273.10000000000002</v>
      </c>
      <c r="K534">
        <v>5616.7</v>
      </c>
      <c r="L534">
        <v>8171000</v>
      </c>
      <c r="M534" t="b">
        <v>0</v>
      </c>
      <c r="N534" t="b">
        <v>0</v>
      </c>
      <c r="O534">
        <v>16000</v>
      </c>
      <c r="P534" t="b">
        <v>0</v>
      </c>
      <c r="Q534" t="b">
        <v>0</v>
      </c>
      <c r="R534" t="b">
        <v>0</v>
      </c>
      <c r="S534" t="s">
        <v>96</v>
      </c>
      <c r="T534" t="s">
        <v>118</v>
      </c>
    </row>
    <row r="535" spans="1:21" x14ac:dyDescent="0.3">
      <c r="A535" t="s">
        <v>640</v>
      </c>
      <c r="B535" s="1">
        <v>46104</v>
      </c>
      <c r="C535" s="1">
        <v>46105</v>
      </c>
      <c r="D535" s="1">
        <v>46107</v>
      </c>
      <c r="E535" s="1">
        <v>46107</v>
      </c>
      <c r="F535" t="s">
        <v>31</v>
      </c>
      <c r="G535" t="s">
        <v>57</v>
      </c>
      <c r="H535" t="s">
        <v>23</v>
      </c>
      <c r="I535" t="s">
        <v>43</v>
      </c>
      <c r="J535">
        <v>130.80000000000001</v>
      </c>
      <c r="K535">
        <v>3324.5</v>
      </c>
      <c r="L535">
        <v>3204000</v>
      </c>
      <c r="M535" t="b">
        <v>0</v>
      </c>
      <c r="N535" t="b">
        <v>0</v>
      </c>
      <c r="O535">
        <v>5000</v>
      </c>
      <c r="P535" t="b">
        <v>0</v>
      </c>
      <c r="Q535" t="b">
        <v>0</v>
      </c>
      <c r="R535" t="b">
        <v>0</v>
      </c>
      <c r="S535" t="s">
        <v>96</v>
      </c>
      <c r="T535" t="s">
        <v>118</v>
      </c>
    </row>
    <row r="536" spans="1:21" x14ac:dyDescent="0.3">
      <c r="A536" t="s">
        <v>641</v>
      </c>
      <c r="B536" s="1">
        <v>46108</v>
      </c>
      <c r="C536" s="1">
        <v>46108</v>
      </c>
      <c r="D536" s="1">
        <v>46110</v>
      </c>
      <c r="E536" s="1">
        <v>46110</v>
      </c>
      <c r="F536" t="s">
        <v>32</v>
      </c>
      <c r="G536" t="s">
        <v>59</v>
      </c>
      <c r="H536" t="s">
        <v>22</v>
      </c>
      <c r="I536" t="s">
        <v>43</v>
      </c>
      <c r="J536">
        <v>170.9</v>
      </c>
      <c r="K536">
        <v>983.3</v>
      </c>
      <c r="L536">
        <v>3043000</v>
      </c>
      <c r="M536" t="b">
        <v>0</v>
      </c>
      <c r="N536" t="b">
        <v>0</v>
      </c>
      <c r="O536">
        <v>5000</v>
      </c>
      <c r="P536" t="b">
        <v>0</v>
      </c>
      <c r="Q536" t="b">
        <v>0</v>
      </c>
      <c r="R536" t="b">
        <v>0</v>
      </c>
      <c r="S536" t="s">
        <v>96</v>
      </c>
      <c r="T536" t="s">
        <v>118</v>
      </c>
    </row>
    <row r="537" spans="1:21" x14ac:dyDescent="0.3">
      <c r="A537" t="s">
        <v>642</v>
      </c>
      <c r="B537" s="1">
        <v>46169</v>
      </c>
      <c r="C537" s="1">
        <v>46171</v>
      </c>
      <c r="D537" s="1">
        <v>46175</v>
      </c>
      <c r="E537" s="1">
        <v>46175</v>
      </c>
      <c r="F537" t="s">
        <v>34</v>
      </c>
      <c r="G537" t="s">
        <v>54</v>
      </c>
      <c r="H537" t="s">
        <v>22</v>
      </c>
      <c r="I537" t="s">
        <v>42</v>
      </c>
      <c r="J537">
        <v>473.6</v>
      </c>
      <c r="K537">
        <v>6445.8</v>
      </c>
      <c r="L537">
        <v>10931000</v>
      </c>
      <c r="M537" t="b">
        <v>0</v>
      </c>
      <c r="N537" t="b">
        <v>0</v>
      </c>
      <c r="O537">
        <v>16000</v>
      </c>
      <c r="P537" t="b">
        <v>0</v>
      </c>
      <c r="Q537" t="b">
        <v>0</v>
      </c>
      <c r="R537" t="b">
        <v>0</v>
      </c>
      <c r="S537" t="s">
        <v>96</v>
      </c>
      <c r="T537" t="s">
        <v>102</v>
      </c>
    </row>
    <row r="538" spans="1:21" x14ac:dyDescent="0.3">
      <c r="A538" t="s">
        <v>643</v>
      </c>
      <c r="B538" s="1">
        <v>46178</v>
      </c>
      <c r="C538" s="1">
        <v>46180</v>
      </c>
      <c r="D538" s="1">
        <v>46183</v>
      </c>
      <c r="E538" s="1">
        <v>46183</v>
      </c>
      <c r="F538" t="s">
        <v>33</v>
      </c>
      <c r="G538" t="s">
        <v>55</v>
      </c>
      <c r="H538" t="s">
        <v>22</v>
      </c>
      <c r="I538" t="s">
        <v>43</v>
      </c>
      <c r="J538">
        <v>567.79999999999995</v>
      </c>
      <c r="K538">
        <v>2392.5</v>
      </c>
      <c r="L538">
        <v>8684000</v>
      </c>
      <c r="M538" t="b">
        <v>0</v>
      </c>
      <c r="N538" t="b">
        <v>0</v>
      </c>
      <c r="O538">
        <v>5000</v>
      </c>
      <c r="P538" t="b">
        <v>0</v>
      </c>
      <c r="Q538" t="b">
        <v>0</v>
      </c>
      <c r="R538" t="b">
        <v>0</v>
      </c>
      <c r="S538" t="s">
        <v>96</v>
      </c>
      <c r="T538" t="s">
        <v>99</v>
      </c>
    </row>
    <row r="539" spans="1:21" x14ac:dyDescent="0.3">
      <c r="A539" t="s">
        <v>644</v>
      </c>
      <c r="B539" s="1">
        <v>46030</v>
      </c>
      <c r="C539" s="1">
        <v>46031</v>
      </c>
      <c r="D539" s="1">
        <v>46035</v>
      </c>
      <c r="E539" s="1">
        <v>46036</v>
      </c>
      <c r="F539" t="s">
        <v>33</v>
      </c>
      <c r="G539" t="s">
        <v>61</v>
      </c>
      <c r="H539" t="s">
        <v>20</v>
      </c>
      <c r="I539" t="s">
        <v>42</v>
      </c>
      <c r="J539">
        <v>648.9</v>
      </c>
      <c r="K539">
        <v>2507.1</v>
      </c>
      <c r="L539">
        <v>12468000</v>
      </c>
      <c r="M539" t="b">
        <v>0</v>
      </c>
      <c r="N539" t="b">
        <v>0</v>
      </c>
      <c r="O539">
        <v>16000</v>
      </c>
      <c r="P539" t="b">
        <v>0</v>
      </c>
      <c r="Q539" t="b">
        <v>0</v>
      </c>
      <c r="R539" t="b">
        <v>0</v>
      </c>
      <c r="S539" t="s">
        <v>101</v>
      </c>
      <c r="T539" t="s">
        <v>104</v>
      </c>
      <c r="U539">
        <v>1</v>
      </c>
    </row>
    <row r="540" spans="1:21" x14ac:dyDescent="0.3">
      <c r="A540" t="s">
        <v>645</v>
      </c>
      <c r="B540" s="1">
        <v>46055</v>
      </c>
      <c r="C540" s="1">
        <v>46056</v>
      </c>
      <c r="D540" s="1">
        <v>46058</v>
      </c>
      <c r="E540" s="1">
        <v>46058</v>
      </c>
      <c r="F540" t="s">
        <v>32</v>
      </c>
      <c r="G540" t="s">
        <v>59</v>
      </c>
      <c r="H540" t="s">
        <v>20</v>
      </c>
      <c r="I540" t="s">
        <v>45</v>
      </c>
      <c r="J540">
        <v>151.9</v>
      </c>
      <c r="K540">
        <v>543.6</v>
      </c>
      <c r="L540">
        <v>2074000</v>
      </c>
      <c r="M540" t="b">
        <v>0</v>
      </c>
      <c r="N540" t="b">
        <v>0</v>
      </c>
      <c r="O540">
        <v>1000</v>
      </c>
      <c r="P540" t="b">
        <v>0</v>
      </c>
      <c r="Q540" t="b">
        <v>0</v>
      </c>
      <c r="R540" t="b">
        <v>0</v>
      </c>
      <c r="S540" t="s">
        <v>96</v>
      </c>
      <c r="T540" t="s">
        <v>115</v>
      </c>
    </row>
    <row r="541" spans="1:21" x14ac:dyDescent="0.3">
      <c r="A541" t="s">
        <v>646</v>
      </c>
      <c r="B541" s="1">
        <v>46068</v>
      </c>
      <c r="C541" s="1">
        <v>46069</v>
      </c>
      <c r="D541" s="1">
        <v>46073</v>
      </c>
      <c r="E541" s="1">
        <v>46073</v>
      </c>
      <c r="F541" t="s">
        <v>33</v>
      </c>
      <c r="G541" t="s">
        <v>55</v>
      </c>
      <c r="H541" t="s">
        <v>21</v>
      </c>
      <c r="I541" t="s">
        <v>44</v>
      </c>
      <c r="J541">
        <v>606.6</v>
      </c>
      <c r="K541">
        <v>851.3</v>
      </c>
      <c r="L541">
        <v>5516000</v>
      </c>
      <c r="M541" t="b">
        <v>0</v>
      </c>
      <c r="N541" t="b">
        <v>0</v>
      </c>
      <c r="O541">
        <v>1500</v>
      </c>
      <c r="P541" t="b">
        <v>0</v>
      </c>
      <c r="Q541" t="b">
        <v>0</v>
      </c>
      <c r="R541" t="b">
        <v>0</v>
      </c>
      <c r="S541" t="s">
        <v>96</v>
      </c>
      <c r="T541" t="s">
        <v>115</v>
      </c>
    </row>
    <row r="542" spans="1:21" x14ac:dyDescent="0.3">
      <c r="A542" t="s">
        <v>647</v>
      </c>
      <c r="B542" s="1">
        <v>46068</v>
      </c>
      <c r="C542" s="1">
        <v>46069</v>
      </c>
      <c r="D542" s="1">
        <v>46072</v>
      </c>
      <c r="E542" s="1">
        <v>46072</v>
      </c>
      <c r="F542" t="s">
        <v>32</v>
      </c>
      <c r="G542" t="s">
        <v>54</v>
      </c>
      <c r="H542" t="s">
        <v>21</v>
      </c>
      <c r="I542" t="s">
        <v>43</v>
      </c>
      <c r="J542">
        <v>566.79999999999995</v>
      </c>
      <c r="K542">
        <v>3847</v>
      </c>
      <c r="L542">
        <v>9635000</v>
      </c>
      <c r="M542" t="b">
        <v>0</v>
      </c>
      <c r="N542" t="b">
        <v>0</v>
      </c>
      <c r="O542">
        <v>5000</v>
      </c>
      <c r="P542" t="b">
        <v>0</v>
      </c>
      <c r="Q542" t="b">
        <v>0</v>
      </c>
      <c r="R542" t="b">
        <v>0</v>
      </c>
      <c r="S542" t="s">
        <v>96</v>
      </c>
      <c r="T542" t="s">
        <v>115</v>
      </c>
    </row>
    <row r="543" spans="1:21" x14ac:dyDescent="0.3">
      <c r="A543" t="s">
        <v>648</v>
      </c>
      <c r="B543" s="1">
        <v>46099</v>
      </c>
      <c r="C543" s="1">
        <v>46099</v>
      </c>
      <c r="D543" s="1">
        <v>46104</v>
      </c>
      <c r="E543" s="1">
        <v>46104</v>
      </c>
      <c r="F543" t="s">
        <v>33</v>
      </c>
      <c r="G543" t="s">
        <v>58</v>
      </c>
      <c r="H543" t="s">
        <v>23</v>
      </c>
      <c r="I543" t="s">
        <v>43</v>
      </c>
      <c r="J543">
        <v>705.6</v>
      </c>
      <c r="K543">
        <v>2689.7</v>
      </c>
      <c r="L543">
        <v>10942000</v>
      </c>
      <c r="M543" t="b">
        <v>0</v>
      </c>
      <c r="N543" t="b">
        <v>0</v>
      </c>
      <c r="O543">
        <v>5000</v>
      </c>
      <c r="P543" t="b">
        <v>0</v>
      </c>
      <c r="Q543" t="b">
        <v>0</v>
      </c>
      <c r="R543" t="b">
        <v>0</v>
      </c>
      <c r="S543" t="s">
        <v>96</v>
      </c>
      <c r="T543" t="s">
        <v>118</v>
      </c>
    </row>
    <row r="544" spans="1:21" x14ac:dyDescent="0.3">
      <c r="A544" t="s">
        <v>649</v>
      </c>
      <c r="B544" s="1">
        <v>46139</v>
      </c>
      <c r="C544" s="1">
        <v>46140</v>
      </c>
      <c r="D544" s="1">
        <v>46143</v>
      </c>
      <c r="E544" s="1">
        <v>46143</v>
      </c>
      <c r="F544" t="s">
        <v>32</v>
      </c>
      <c r="G544" t="s">
        <v>60</v>
      </c>
      <c r="H544" t="s">
        <v>23</v>
      </c>
      <c r="I544" t="s">
        <v>43</v>
      </c>
      <c r="J544">
        <v>457.3</v>
      </c>
      <c r="K544">
        <v>2606.4</v>
      </c>
      <c r="L544">
        <v>7289000</v>
      </c>
      <c r="M544" t="b">
        <v>0</v>
      </c>
      <c r="N544" t="b">
        <v>0</v>
      </c>
      <c r="O544">
        <v>5000</v>
      </c>
      <c r="P544" t="b">
        <v>0</v>
      </c>
      <c r="Q544" t="b">
        <v>0</v>
      </c>
      <c r="R544" t="b">
        <v>0</v>
      </c>
      <c r="S544" t="s">
        <v>96</v>
      </c>
      <c r="T544" t="s">
        <v>112</v>
      </c>
    </row>
    <row r="545" spans="1:21" x14ac:dyDescent="0.3">
      <c r="A545" t="s">
        <v>650</v>
      </c>
      <c r="B545" s="1">
        <v>46175</v>
      </c>
      <c r="C545" s="1">
        <v>46175</v>
      </c>
      <c r="D545" s="1">
        <v>46180</v>
      </c>
      <c r="E545" s="1">
        <v>46180</v>
      </c>
      <c r="F545" t="s">
        <v>32</v>
      </c>
      <c r="G545" t="s">
        <v>56</v>
      </c>
      <c r="H545" t="s">
        <v>21</v>
      </c>
      <c r="I545" t="s">
        <v>43</v>
      </c>
      <c r="J545">
        <v>1104</v>
      </c>
      <c r="K545">
        <v>3875.2</v>
      </c>
      <c r="L545">
        <v>15945000</v>
      </c>
      <c r="M545" t="b">
        <v>0</v>
      </c>
      <c r="N545" t="b">
        <v>0</v>
      </c>
      <c r="O545">
        <v>5000</v>
      </c>
      <c r="P545" t="b">
        <v>0</v>
      </c>
      <c r="Q545" t="b">
        <v>0</v>
      </c>
      <c r="R545" t="b">
        <v>0</v>
      </c>
      <c r="S545" t="s">
        <v>96</v>
      </c>
      <c r="T545" t="s">
        <v>99</v>
      </c>
    </row>
    <row r="546" spans="1:21" x14ac:dyDescent="0.3">
      <c r="A546" t="s">
        <v>651</v>
      </c>
      <c r="B546" s="1">
        <v>46040</v>
      </c>
      <c r="C546" s="1">
        <v>46042</v>
      </c>
      <c r="D546" s="1">
        <v>46045</v>
      </c>
      <c r="E546" s="1">
        <v>46045</v>
      </c>
      <c r="F546" t="s">
        <v>34</v>
      </c>
      <c r="G546" t="s">
        <v>63</v>
      </c>
      <c r="H546" t="s">
        <v>20</v>
      </c>
      <c r="I546" t="s">
        <v>42</v>
      </c>
      <c r="J546">
        <v>326.3</v>
      </c>
      <c r="K546">
        <v>11091.7</v>
      </c>
      <c r="L546">
        <v>8472000</v>
      </c>
      <c r="M546" t="b">
        <v>0</v>
      </c>
      <c r="N546" t="b">
        <v>0</v>
      </c>
      <c r="O546">
        <v>16000</v>
      </c>
      <c r="P546" t="b">
        <v>0</v>
      </c>
      <c r="Q546" t="b">
        <v>0</v>
      </c>
      <c r="R546" t="b">
        <v>0</v>
      </c>
      <c r="S546" t="s">
        <v>96</v>
      </c>
      <c r="T546" t="s">
        <v>104</v>
      </c>
    </row>
    <row r="547" spans="1:21" x14ac:dyDescent="0.3">
      <c r="A547" t="s">
        <v>652</v>
      </c>
      <c r="B547" s="1">
        <v>46173</v>
      </c>
      <c r="C547" s="1">
        <v>46174</v>
      </c>
      <c r="D547" s="1">
        <v>46178</v>
      </c>
      <c r="E547" s="1">
        <v>46178</v>
      </c>
      <c r="F547" t="s">
        <v>34</v>
      </c>
      <c r="G547" t="s">
        <v>60</v>
      </c>
      <c r="H547" t="s">
        <v>21</v>
      </c>
      <c r="I547" t="s">
        <v>44</v>
      </c>
      <c r="J547">
        <v>607.1</v>
      </c>
      <c r="K547">
        <v>274.8</v>
      </c>
      <c r="L547">
        <v>6581000</v>
      </c>
      <c r="M547" t="b">
        <v>0</v>
      </c>
      <c r="N547" t="b">
        <v>0</v>
      </c>
      <c r="O547">
        <v>1500</v>
      </c>
      <c r="P547" t="b">
        <v>0</v>
      </c>
      <c r="Q547" t="b">
        <v>0</v>
      </c>
      <c r="R547" t="b">
        <v>0</v>
      </c>
      <c r="S547" t="s">
        <v>96</v>
      </c>
      <c r="T547" t="s">
        <v>99</v>
      </c>
    </row>
    <row r="548" spans="1:21" x14ac:dyDescent="0.3">
      <c r="A548" t="s">
        <v>653</v>
      </c>
      <c r="B548" s="1">
        <v>46156</v>
      </c>
      <c r="C548" s="1">
        <v>46156</v>
      </c>
      <c r="D548" s="1">
        <v>46159</v>
      </c>
      <c r="E548" s="1">
        <v>46159</v>
      </c>
      <c r="F548" t="s">
        <v>32</v>
      </c>
      <c r="G548" t="s">
        <v>53</v>
      </c>
      <c r="H548" t="s">
        <v>23</v>
      </c>
      <c r="I548" t="s">
        <v>44</v>
      </c>
      <c r="J548">
        <v>243.6</v>
      </c>
      <c r="K548">
        <v>378.4</v>
      </c>
      <c r="L548">
        <v>2780000</v>
      </c>
      <c r="M548" t="b">
        <v>0</v>
      </c>
      <c r="N548" t="b">
        <v>0</v>
      </c>
      <c r="O548">
        <v>1500</v>
      </c>
      <c r="P548" t="b">
        <v>0</v>
      </c>
      <c r="Q548" t="b">
        <v>0</v>
      </c>
      <c r="R548" t="b">
        <v>0</v>
      </c>
      <c r="S548" t="s">
        <v>96</v>
      </c>
      <c r="T548" t="s">
        <v>102</v>
      </c>
    </row>
    <row r="549" spans="1:21" x14ac:dyDescent="0.3">
      <c r="A549" t="s">
        <v>654</v>
      </c>
      <c r="B549" s="1">
        <v>46183</v>
      </c>
      <c r="C549" s="1">
        <v>46185</v>
      </c>
      <c r="D549" s="1">
        <v>46188</v>
      </c>
      <c r="E549" s="1">
        <v>46187</v>
      </c>
      <c r="F549" t="s">
        <v>34</v>
      </c>
      <c r="G549" t="s">
        <v>63</v>
      </c>
      <c r="H549" t="s">
        <v>21</v>
      </c>
      <c r="I549" t="s">
        <v>42</v>
      </c>
      <c r="J549">
        <v>326</v>
      </c>
      <c r="K549">
        <v>6473.9</v>
      </c>
      <c r="L549">
        <v>7036000</v>
      </c>
      <c r="M549" t="b">
        <v>0</v>
      </c>
      <c r="N549" t="b">
        <v>0</v>
      </c>
      <c r="O549">
        <v>16000</v>
      </c>
      <c r="P549" t="b">
        <v>0</v>
      </c>
      <c r="Q549" t="b">
        <v>0</v>
      </c>
      <c r="R549" t="b">
        <v>0</v>
      </c>
      <c r="S549" t="s">
        <v>96</v>
      </c>
      <c r="T549" t="s">
        <v>99</v>
      </c>
    </row>
    <row r="550" spans="1:21" x14ac:dyDescent="0.3">
      <c r="A550" t="s">
        <v>655</v>
      </c>
      <c r="B550" s="1">
        <v>46117</v>
      </c>
      <c r="C550" s="1">
        <v>46118</v>
      </c>
      <c r="D550" s="1">
        <v>46122</v>
      </c>
      <c r="E550" s="1">
        <v>46122</v>
      </c>
      <c r="F550" t="s">
        <v>32</v>
      </c>
      <c r="G550" t="s">
        <v>52</v>
      </c>
      <c r="H550" t="s">
        <v>20</v>
      </c>
      <c r="I550" t="s">
        <v>44</v>
      </c>
      <c r="J550">
        <v>355.1</v>
      </c>
      <c r="K550">
        <v>993.2</v>
      </c>
      <c r="L550">
        <v>4705000</v>
      </c>
      <c r="M550" t="b">
        <v>0</v>
      </c>
      <c r="N550" t="b">
        <v>0</v>
      </c>
      <c r="O550">
        <v>1500</v>
      </c>
      <c r="P550" t="b">
        <v>0</v>
      </c>
      <c r="Q550" t="b">
        <v>0</v>
      </c>
      <c r="R550" t="b">
        <v>0</v>
      </c>
      <c r="S550" t="s">
        <v>96</v>
      </c>
      <c r="T550" t="s">
        <v>112</v>
      </c>
    </row>
    <row r="551" spans="1:21" x14ac:dyDescent="0.3">
      <c r="A551" t="s">
        <v>656</v>
      </c>
      <c r="B551" s="1">
        <v>46187</v>
      </c>
      <c r="C551" s="1">
        <v>46188</v>
      </c>
      <c r="D551" s="1">
        <v>46191</v>
      </c>
      <c r="E551" s="1">
        <v>46191</v>
      </c>
      <c r="F551" t="s">
        <v>34</v>
      </c>
      <c r="G551" t="s">
        <v>59</v>
      </c>
      <c r="H551" t="s">
        <v>24</v>
      </c>
      <c r="I551" t="s">
        <v>44</v>
      </c>
      <c r="J551">
        <v>342.9</v>
      </c>
      <c r="K551">
        <v>371.4</v>
      </c>
      <c r="L551">
        <v>4347000</v>
      </c>
      <c r="M551" t="b">
        <v>0</v>
      </c>
      <c r="N551" t="b">
        <v>0</v>
      </c>
      <c r="O551">
        <v>1500</v>
      </c>
      <c r="P551" t="b">
        <v>0</v>
      </c>
      <c r="Q551" t="b">
        <v>0</v>
      </c>
      <c r="R551" t="b">
        <v>0</v>
      </c>
      <c r="S551" t="s">
        <v>96</v>
      </c>
      <c r="T551" t="s">
        <v>99</v>
      </c>
    </row>
    <row r="552" spans="1:21" x14ac:dyDescent="0.3">
      <c r="A552" t="s">
        <v>657</v>
      </c>
      <c r="B552" s="1">
        <v>46064</v>
      </c>
      <c r="C552" s="1">
        <v>46065</v>
      </c>
      <c r="D552" s="1">
        <v>46068</v>
      </c>
      <c r="E552" s="1">
        <v>46068</v>
      </c>
      <c r="F552" t="s">
        <v>31</v>
      </c>
      <c r="G552" t="s">
        <v>58</v>
      </c>
      <c r="H552" t="s">
        <v>22</v>
      </c>
      <c r="I552" t="s">
        <v>43</v>
      </c>
      <c r="J552">
        <v>189.8</v>
      </c>
      <c r="K552">
        <v>3940.8</v>
      </c>
      <c r="L552">
        <v>4778000</v>
      </c>
      <c r="M552" t="b">
        <v>0</v>
      </c>
      <c r="N552" t="b">
        <v>0</v>
      </c>
      <c r="O552">
        <v>5000</v>
      </c>
      <c r="P552" t="b">
        <v>0</v>
      </c>
      <c r="Q552" t="b">
        <v>0</v>
      </c>
      <c r="R552" t="b">
        <v>0</v>
      </c>
      <c r="S552" t="s">
        <v>96</v>
      </c>
      <c r="T552" t="s">
        <v>115</v>
      </c>
    </row>
    <row r="553" spans="1:21" x14ac:dyDescent="0.3">
      <c r="A553" t="s">
        <v>658</v>
      </c>
      <c r="B553" s="1">
        <v>46048</v>
      </c>
      <c r="C553" s="1">
        <v>46048</v>
      </c>
      <c r="D553" s="1">
        <v>46051</v>
      </c>
      <c r="E553" s="1">
        <v>46051</v>
      </c>
      <c r="F553" t="s">
        <v>33</v>
      </c>
      <c r="G553" t="s">
        <v>63</v>
      </c>
      <c r="H553" t="s">
        <v>24</v>
      </c>
      <c r="I553" t="s">
        <v>45</v>
      </c>
      <c r="J553">
        <v>314</v>
      </c>
      <c r="K553">
        <v>479.8</v>
      </c>
      <c r="L553">
        <v>3564000</v>
      </c>
      <c r="M553" t="b">
        <v>0</v>
      </c>
      <c r="N553" t="b">
        <v>0</v>
      </c>
      <c r="O553">
        <v>1000</v>
      </c>
      <c r="P553" t="b">
        <v>0</v>
      </c>
      <c r="Q553" t="b">
        <v>0</v>
      </c>
      <c r="R553" t="b">
        <v>0</v>
      </c>
      <c r="S553" t="s">
        <v>96</v>
      </c>
      <c r="T553" t="s">
        <v>104</v>
      </c>
    </row>
    <row r="554" spans="1:21" x14ac:dyDescent="0.3">
      <c r="A554" t="s">
        <v>659</v>
      </c>
      <c r="B554" s="1">
        <v>46192</v>
      </c>
      <c r="C554" s="1">
        <v>46193</v>
      </c>
      <c r="D554" s="1">
        <v>46195</v>
      </c>
      <c r="E554" s="1">
        <v>46196</v>
      </c>
      <c r="F554" t="s">
        <v>34</v>
      </c>
      <c r="G554" t="s">
        <v>55</v>
      </c>
      <c r="H554" t="s">
        <v>22</v>
      </c>
      <c r="I554" t="s">
        <v>43</v>
      </c>
      <c r="J554">
        <v>48.3</v>
      </c>
      <c r="K554">
        <v>2948.8</v>
      </c>
      <c r="L554">
        <v>2510000</v>
      </c>
      <c r="M554" t="b">
        <v>0</v>
      </c>
      <c r="N554" t="b">
        <v>0</v>
      </c>
      <c r="O554">
        <v>5000</v>
      </c>
      <c r="P554" t="b">
        <v>0</v>
      </c>
      <c r="Q554" t="b">
        <v>0</v>
      </c>
      <c r="R554" t="b">
        <v>0</v>
      </c>
      <c r="S554" t="s">
        <v>101</v>
      </c>
      <c r="T554" t="s">
        <v>99</v>
      </c>
      <c r="U554">
        <v>1</v>
      </c>
    </row>
    <row r="555" spans="1:21" x14ac:dyDescent="0.3">
      <c r="A555" t="s">
        <v>660</v>
      </c>
      <c r="B555" s="1">
        <v>46149</v>
      </c>
      <c r="C555" s="1">
        <v>46150</v>
      </c>
      <c r="D555" s="1">
        <v>46153</v>
      </c>
      <c r="E555" s="1">
        <v>46153</v>
      </c>
      <c r="F555" t="s">
        <v>34</v>
      </c>
      <c r="G555" t="s">
        <v>59</v>
      </c>
      <c r="H555" t="s">
        <v>22</v>
      </c>
      <c r="I555" t="s">
        <v>42</v>
      </c>
      <c r="J555">
        <v>328.3</v>
      </c>
      <c r="K555">
        <v>8451.2999999999993</v>
      </c>
      <c r="L555">
        <v>8668000</v>
      </c>
      <c r="M555" t="b">
        <v>0</v>
      </c>
      <c r="N555" t="b">
        <v>0</v>
      </c>
      <c r="O555">
        <v>16000</v>
      </c>
      <c r="P555" t="b">
        <v>0</v>
      </c>
      <c r="Q555" t="b">
        <v>0</v>
      </c>
      <c r="R555" t="b">
        <v>0</v>
      </c>
      <c r="S555" t="s">
        <v>96</v>
      </c>
      <c r="T555" t="s">
        <v>102</v>
      </c>
    </row>
    <row r="556" spans="1:21" x14ac:dyDescent="0.3">
      <c r="A556" t="s">
        <v>661</v>
      </c>
      <c r="B556" s="1">
        <v>46134</v>
      </c>
      <c r="C556" s="1">
        <v>46135</v>
      </c>
      <c r="D556" s="1">
        <v>46137</v>
      </c>
      <c r="E556" s="1">
        <v>46139</v>
      </c>
      <c r="F556" t="s">
        <v>31</v>
      </c>
      <c r="G556" t="s">
        <v>58</v>
      </c>
      <c r="H556" t="s">
        <v>22</v>
      </c>
      <c r="I556" t="s">
        <v>45</v>
      </c>
      <c r="J556">
        <v>202.9</v>
      </c>
      <c r="K556">
        <v>119.8</v>
      </c>
      <c r="L556">
        <v>2264000</v>
      </c>
      <c r="M556" t="b">
        <v>0</v>
      </c>
      <c r="N556" t="b">
        <v>0</v>
      </c>
      <c r="O556">
        <v>1000</v>
      </c>
      <c r="P556" t="b">
        <v>0</v>
      </c>
      <c r="Q556" t="b">
        <v>0</v>
      </c>
      <c r="R556" t="b">
        <v>0</v>
      </c>
      <c r="S556" t="s">
        <v>101</v>
      </c>
      <c r="T556" t="s">
        <v>112</v>
      </c>
      <c r="U556">
        <v>2</v>
      </c>
    </row>
    <row r="557" spans="1:21" x14ac:dyDescent="0.3">
      <c r="A557" t="s">
        <v>662</v>
      </c>
      <c r="B557" s="1">
        <v>46156</v>
      </c>
      <c r="C557" s="1">
        <v>46157</v>
      </c>
      <c r="D557" s="1">
        <v>46161</v>
      </c>
      <c r="E557" s="1">
        <v>46162</v>
      </c>
      <c r="F557" t="s">
        <v>31</v>
      </c>
      <c r="G557" t="s">
        <v>62</v>
      </c>
      <c r="H557" t="s">
        <v>20</v>
      </c>
      <c r="I557" t="s">
        <v>43</v>
      </c>
      <c r="J557">
        <v>727.4</v>
      </c>
      <c r="K557">
        <v>1355.7</v>
      </c>
      <c r="L557">
        <v>10574000</v>
      </c>
      <c r="M557" t="b">
        <v>0</v>
      </c>
      <c r="N557" t="b">
        <v>0</v>
      </c>
      <c r="O557">
        <v>5000</v>
      </c>
      <c r="P557" t="b">
        <v>0</v>
      </c>
      <c r="Q557" t="b">
        <v>0</v>
      </c>
      <c r="R557" t="b">
        <v>0</v>
      </c>
      <c r="S557" t="s">
        <v>101</v>
      </c>
      <c r="T557" t="s">
        <v>102</v>
      </c>
      <c r="U557">
        <v>1</v>
      </c>
    </row>
    <row r="558" spans="1:21" x14ac:dyDescent="0.3">
      <c r="A558" t="s">
        <v>663</v>
      </c>
      <c r="B558" s="1">
        <v>46039</v>
      </c>
      <c r="C558" s="1">
        <v>46040</v>
      </c>
      <c r="D558" s="1">
        <v>46044</v>
      </c>
      <c r="E558" s="1">
        <v>46044</v>
      </c>
      <c r="F558" t="s">
        <v>31</v>
      </c>
      <c r="G558" t="s">
        <v>56</v>
      </c>
      <c r="H558" t="s">
        <v>23</v>
      </c>
      <c r="I558" t="s">
        <v>42</v>
      </c>
      <c r="J558">
        <v>942.5</v>
      </c>
      <c r="K558">
        <v>12702.4</v>
      </c>
      <c r="L558">
        <v>21901000</v>
      </c>
      <c r="M558" t="b">
        <v>0</v>
      </c>
      <c r="N558" t="b">
        <v>0</v>
      </c>
      <c r="O558">
        <v>16000</v>
      </c>
      <c r="P558" t="b">
        <v>0</v>
      </c>
      <c r="Q558" t="b">
        <v>0</v>
      </c>
      <c r="R558" t="b">
        <v>0</v>
      </c>
      <c r="S558" t="s">
        <v>96</v>
      </c>
      <c r="T558" t="s">
        <v>104</v>
      </c>
    </row>
    <row r="559" spans="1:21" x14ac:dyDescent="0.3">
      <c r="A559" t="s">
        <v>664</v>
      </c>
      <c r="B559" s="1">
        <v>46166</v>
      </c>
      <c r="C559" s="1">
        <v>46167</v>
      </c>
      <c r="D559" s="1">
        <v>46168</v>
      </c>
      <c r="E559" s="1">
        <v>46168</v>
      </c>
      <c r="F559" t="s">
        <v>31</v>
      </c>
      <c r="G559" t="s">
        <v>55</v>
      </c>
      <c r="H559" t="s">
        <v>21</v>
      </c>
      <c r="I559" t="s">
        <v>45</v>
      </c>
      <c r="J559">
        <v>27.2</v>
      </c>
      <c r="K559">
        <v>745.2</v>
      </c>
      <c r="L559">
        <v>1046000</v>
      </c>
      <c r="M559" t="b">
        <v>0</v>
      </c>
      <c r="N559" t="b">
        <v>0</v>
      </c>
      <c r="O559">
        <v>1000</v>
      </c>
      <c r="P559" t="b">
        <v>0</v>
      </c>
      <c r="Q559" t="b">
        <v>0</v>
      </c>
      <c r="R559" t="b">
        <v>0</v>
      </c>
      <c r="S559" t="s">
        <v>96</v>
      </c>
      <c r="T559" t="s">
        <v>102</v>
      </c>
    </row>
    <row r="560" spans="1:21" x14ac:dyDescent="0.3">
      <c r="A560" t="s">
        <v>665</v>
      </c>
      <c r="B560" s="1">
        <v>46203</v>
      </c>
      <c r="C560" s="1">
        <v>46204</v>
      </c>
      <c r="D560" s="1">
        <v>46209</v>
      </c>
      <c r="E560" s="1">
        <v>46210</v>
      </c>
      <c r="F560" t="s">
        <v>34</v>
      </c>
      <c r="G560" t="s">
        <v>60</v>
      </c>
      <c r="H560" t="s">
        <v>20</v>
      </c>
      <c r="I560" t="s">
        <v>44</v>
      </c>
      <c r="J560">
        <v>609.70000000000005</v>
      </c>
      <c r="K560">
        <v>1394.7</v>
      </c>
      <c r="L560">
        <v>6877000</v>
      </c>
      <c r="M560" t="b">
        <v>0</v>
      </c>
      <c r="N560" t="b">
        <v>0</v>
      </c>
      <c r="O560">
        <v>1500</v>
      </c>
      <c r="P560" t="b">
        <v>0</v>
      </c>
      <c r="Q560" t="b">
        <v>0</v>
      </c>
      <c r="R560" t="b">
        <v>0</v>
      </c>
      <c r="S560" t="s">
        <v>101</v>
      </c>
      <c r="T560" t="s">
        <v>97</v>
      </c>
      <c r="U560">
        <v>1</v>
      </c>
    </row>
    <row r="561" spans="1:21" x14ac:dyDescent="0.3">
      <c r="A561" t="s">
        <v>666</v>
      </c>
      <c r="B561" s="1">
        <v>46173</v>
      </c>
      <c r="C561" s="1">
        <v>46174</v>
      </c>
      <c r="D561" s="1">
        <v>46176</v>
      </c>
      <c r="E561" s="1">
        <v>46175</v>
      </c>
      <c r="F561" t="s">
        <v>32</v>
      </c>
      <c r="G561" t="s">
        <v>63</v>
      </c>
      <c r="H561" t="s">
        <v>23</v>
      </c>
      <c r="I561" t="s">
        <v>43</v>
      </c>
      <c r="J561">
        <v>190.6</v>
      </c>
      <c r="K561">
        <v>571.20000000000005</v>
      </c>
      <c r="L561">
        <v>3903000</v>
      </c>
      <c r="M561" t="b">
        <v>0</v>
      </c>
      <c r="N561" t="b">
        <v>0</v>
      </c>
      <c r="O561">
        <v>5000</v>
      </c>
      <c r="P561" t="b">
        <v>0</v>
      </c>
      <c r="Q561" t="b">
        <v>0</v>
      </c>
      <c r="R561" t="b">
        <v>0</v>
      </c>
      <c r="S561" t="s">
        <v>96</v>
      </c>
      <c r="T561" t="s">
        <v>99</v>
      </c>
    </row>
    <row r="562" spans="1:21" x14ac:dyDescent="0.3">
      <c r="A562" t="s">
        <v>667</v>
      </c>
      <c r="B562" s="1">
        <v>46198</v>
      </c>
      <c r="C562" s="1">
        <v>46199</v>
      </c>
      <c r="D562" s="1">
        <v>46202</v>
      </c>
      <c r="E562" s="1">
        <v>46202</v>
      </c>
      <c r="F562" t="s">
        <v>34</v>
      </c>
      <c r="G562" t="s">
        <v>53</v>
      </c>
      <c r="H562" t="s">
        <v>23</v>
      </c>
      <c r="I562" t="s">
        <v>45</v>
      </c>
      <c r="J562">
        <v>306.89999999999998</v>
      </c>
      <c r="K562">
        <v>788.1</v>
      </c>
      <c r="L562">
        <v>3729000</v>
      </c>
      <c r="M562" t="b">
        <v>0</v>
      </c>
      <c r="N562" t="b">
        <v>0</v>
      </c>
      <c r="O562">
        <v>1000</v>
      </c>
      <c r="P562" t="b">
        <v>0</v>
      </c>
      <c r="Q562" t="b">
        <v>0</v>
      </c>
      <c r="R562" t="b">
        <v>0</v>
      </c>
      <c r="S562" t="s">
        <v>96</v>
      </c>
      <c r="T562" t="s">
        <v>99</v>
      </c>
    </row>
    <row r="563" spans="1:21" x14ac:dyDescent="0.3">
      <c r="A563" t="s">
        <v>668</v>
      </c>
      <c r="B563" s="1">
        <v>46085</v>
      </c>
      <c r="C563" s="1">
        <v>46086</v>
      </c>
      <c r="D563" s="1">
        <v>46088</v>
      </c>
      <c r="E563" s="1">
        <v>46088</v>
      </c>
      <c r="F563" t="s">
        <v>34</v>
      </c>
      <c r="G563" t="s">
        <v>58</v>
      </c>
      <c r="H563" t="s">
        <v>22</v>
      </c>
      <c r="I563" t="s">
        <v>43</v>
      </c>
      <c r="J563">
        <v>143.6</v>
      </c>
      <c r="K563">
        <v>1623.9</v>
      </c>
      <c r="L563">
        <v>2725000</v>
      </c>
      <c r="M563" t="b">
        <v>0</v>
      </c>
      <c r="N563" t="b">
        <v>0</v>
      </c>
      <c r="O563">
        <v>5000</v>
      </c>
      <c r="P563" t="b">
        <v>0</v>
      </c>
      <c r="Q563" t="b">
        <v>0</v>
      </c>
      <c r="R563" t="b">
        <v>0</v>
      </c>
      <c r="S563" t="s">
        <v>96</v>
      </c>
      <c r="T563" t="s">
        <v>118</v>
      </c>
    </row>
    <row r="564" spans="1:21" x14ac:dyDescent="0.3">
      <c r="A564" t="s">
        <v>669</v>
      </c>
      <c r="B564" s="1">
        <v>46146</v>
      </c>
      <c r="C564" s="1">
        <v>46146</v>
      </c>
      <c r="D564" s="1">
        <v>46150</v>
      </c>
      <c r="E564" s="1">
        <v>46150</v>
      </c>
      <c r="F564" t="s">
        <v>32</v>
      </c>
      <c r="G564" t="s">
        <v>56</v>
      </c>
      <c r="H564" t="s">
        <v>22</v>
      </c>
      <c r="I564" t="s">
        <v>43</v>
      </c>
      <c r="J564">
        <v>1059</v>
      </c>
      <c r="K564">
        <v>3953.3</v>
      </c>
      <c r="L564">
        <v>16076000</v>
      </c>
      <c r="M564" t="b">
        <v>0</v>
      </c>
      <c r="N564" t="b">
        <v>0</v>
      </c>
      <c r="O564">
        <v>5000</v>
      </c>
      <c r="P564" t="b">
        <v>0</v>
      </c>
      <c r="Q564" t="b">
        <v>0</v>
      </c>
      <c r="R564" t="b">
        <v>0</v>
      </c>
      <c r="S564" t="s">
        <v>96</v>
      </c>
      <c r="T564" t="s">
        <v>102</v>
      </c>
    </row>
    <row r="565" spans="1:21" x14ac:dyDescent="0.3">
      <c r="A565" t="s">
        <v>670</v>
      </c>
      <c r="B565" s="1">
        <v>46138</v>
      </c>
      <c r="C565" s="1">
        <v>46138</v>
      </c>
      <c r="D565" s="1">
        <v>46142</v>
      </c>
      <c r="E565" s="1">
        <v>46142</v>
      </c>
      <c r="F565" t="s">
        <v>33</v>
      </c>
      <c r="G565" t="s">
        <v>55</v>
      </c>
      <c r="H565" t="s">
        <v>21</v>
      </c>
      <c r="I565" t="s">
        <v>43</v>
      </c>
      <c r="J565">
        <v>607.6</v>
      </c>
      <c r="K565">
        <v>1129</v>
      </c>
      <c r="L565">
        <v>9480000</v>
      </c>
      <c r="M565" t="b">
        <v>0</v>
      </c>
      <c r="N565" t="b">
        <v>0</v>
      </c>
      <c r="O565">
        <v>5000</v>
      </c>
      <c r="P565" t="b">
        <v>0</v>
      </c>
      <c r="Q565" t="b">
        <v>0</v>
      </c>
      <c r="R565" t="b">
        <v>0</v>
      </c>
      <c r="S565" t="s">
        <v>96</v>
      </c>
      <c r="T565" t="s">
        <v>112</v>
      </c>
    </row>
    <row r="566" spans="1:21" x14ac:dyDescent="0.3">
      <c r="A566" t="s">
        <v>671</v>
      </c>
      <c r="B566" s="1">
        <v>46023</v>
      </c>
      <c r="C566" s="1">
        <v>46024</v>
      </c>
      <c r="D566" s="1">
        <v>46027</v>
      </c>
      <c r="E566" s="1">
        <v>46027</v>
      </c>
      <c r="F566" t="s">
        <v>32</v>
      </c>
      <c r="G566" t="s">
        <v>63</v>
      </c>
      <c r="H566" t="s">
        <v>24</v>
      </c>
      <c r="I566" t="s">
        <v>42</v>
      </c>
      <c r="J566">
        <v>190.3</v>
      </c>
      <c r="K566">
        <v>3225.5</v>
      </c>
      <c r="L566">
        <v>6061000</v>
      </c>
      <c r="M566" t="b">
        <v>0</v>
      </c>
      <c r="N566" t="b">
        <v>0</v>
      </c>
      <c r="O566">
        <v>16000</v>
      </c>
      <c r="P566" t="b">
        <v>0</v>
      </c>
      <c r="Q566" t="b">
        <v>0</v>
      </c>
      <c r="R566" t="b">
        <v>0</v>
      </c>
      <c r="S566" t="s">
        <v>96</v>
      </c>
      <c r="T566" t="s">
        <v>104</v>
      </c>
    </row>
    <row r="567" spans="1:21" x14ac:dyDescent="0.3">
      <c r="A567" t="s">
        <v>672</v>
      </c>
      <c r="B567" s="1">
        <v>46044</v>
      </c>
      <c r="C567" s="1">
        <v>46046</v>
      </c>
      <c r="D567" s="1">
        <v>46050</v>
      </c>
      <c r="E567" s="1">
        <v>46050</v>
      </c>
      <c r="F567" t="s">
        <v>33</v>
      </c>
      <c r="G567" t="s">
        <v>55</v>
      </c>
      <c r="H567" t="s">
        <v>21</v>
      </c>
      <c r="I567" t="s">
        <v>43</v>
      </c>
      <c r="J567">
        <v>627.70000000000005</v>
      </c>
      <c r="K567">
        <v>3302.9</v>
      </c>
      <c r="L567">
        <v>9956000</v>
      </c>
      <c r="M567" t="b">
        <v>0</v>
      </c>
      <c r="N567" t="b">
        <v>0</v>
      </c>
      <c r="O567">
        <v>5000</v>
      </c>
      <c r="P567" t="b">
        <v>0</v>
      </c>
      <c r="Q567" t="b">
        <v>0</v>
      </c>
      <c r="R567" t="b">
        <v>0</v>
      </c>
      <c r="S567" t="s">
        <v>96</v>
      </c>
      <c r="T567" t="s">
        <v>104</v>
      </c>
    </row>
    <row r="568" spans="1:21" x14ac:dyDescent="0.3">
      <c r="A568" t="s">
        <v>673</v>
      </c>
      <c r="B568" s="1">
        <v>46166</v>
      </c>
      <c r="C568" s="1">
        <v>46168</v>
      </c>
      <c r="D568" s="1">
        <v>46169</v>
      </c>
      <c r="E568" s="1">
        <v>46169</v>
      </c>
      <c r="F568" t="s">
        <v>34</v>
      </c>
      <c r="G568" t="s">
        <v>61</v>
      </c>
      <c r="H568" t="s">
        <v>23</v>
      </c>
      <c r="I568" t="s">
        <v>45</v>
      </c>
      <c r="J568">
        <v>23.5</v>
      </c>
      <c r="K568">
        <v>481.8</v>
      </c>
      <c r="L568">
        <v>734000</v>
      </c>
      <c r="M568" t="b">
        <v>0</v>
      </c>
      <c r="N568" t="b">
        <v>0</v>
      </c>
      <c r="O568">
        <v>1000</v>
      </c>
      <c r="P568" t="b">
        <v>0</v>
      </c>
      <c r="Q568" t="b">
        <v>0</v>
      </c>
      <c r="R568" t="b">
        <v>0</v>
      </c>
      <c r="S568" t="s">
        <v>96</v>
      </c>
      <c r="T568" t="s">
        <v>102</v>
      </c>
    </row>
    <row r="569" spans="1:21" x14ac:dyDescent="0.3">
      <c r="A569" t="s">
        <v>674</v>
      </c>
      <c r="B569" s="1">
        <v>46102</v>
      </c>
      <c r="C569" s="1">
        <v>46104</v>
      </c>
      <c r="D569" s="1">
        <v>46108</v>
      </c>
      <c r="E569" s="1">
        <v>46109</v>
      </c>
      <c r="F569" t="s">
        <v>33</v>
      </c>
      <c r="G569" t="s">
        <v>54</v>
      </c>
      <c r="H569" t="s">
        <v>23</v>
      </c>
      <c r="I569" t="s">
        <v>44</v>
      </c>
      <c r="J569">
        <v>973.3</v>
      </c>
      <c r="K569">
        <v>1371</v>
      </c>
      <c r="L569">
        <v>10878000</v>
      </c>
      <c r="M569" t="b">
        <v>0</v>
      </c>
      <c r="N569" t="b">
        <v>0</v>
      </c>
      <c r="O569">
        <v>1500</v>
      </c>
      <c r="P569" t="b">
        <v>0</v>
      </c>
      <c r="Q569" t="b">
        <v>0</v>
      </c>
      <c r="R569" t="b">
        <v>0</v>
      </c>
      <c r="S569" t="s">
        <v>101</v>
      </c>
      <c r="T569" t="s">
        <v>118</v>
      </c>
      <c r="U569">
        <v>1</v>
      </c>
    </row>
    <row r="570" spans="1:21" x14ac:dyDescent="0.3">
      <c r="A570" t="s">
        <v>675</v>
      </c>
      <c r="B570" s="1">
        <v>46177</v>
      </c>
      <c r="C570" s="1">
        <v>46178</v>
      </c>
      <c r="D570" s="1">
        <v>46181</v>
      </c>
      <c r="E570" s="1">
        <v>46181</v>
      </c>
      <c r="F570" t="s">
        <v>34</v>
      </c>
      <c r="G570" t="s">
        <v>59</v>
      </c>
      <c r="H570" t="s">
        <v>21</v>
      </c>
      <c r="I570" t="s">
        <v>45</v>
      </c>
      <c r="J570">
        <v>175.8</v>
      </c>
      <c r="K570">
        <v>728.3</v>
      </c>
      <c r="L570">
        <v>2097000</v>
      </c>
      <c r="M570" t="b">
        <v>0</v>
      </c>
      <c r="N570" t="b">
        <v>0</v>
      </c>
      <c r="O570">
        <v>1000</v>
      </c>
      <c r="P570" t="b">
        <v>0</v>
      </c>
      <c r="Q570" t="b">
        <v>0</v>
      </c>
      <c r="R570" t="b">
        <v>0</v>
      </c>
      <c r="S570" t="s">
        <v>96</v>
      </c>
      <c r="T570" t="s">
        <v>99</v>
      </c>
    </row>
    <row r="571" spans="1:21" x14ac:dyDescent="0.3">
      <c r="A571" t="s">
        <v>676</v>
      </c>
      <c r="B571" s="1">
        <v>46175</v>
      </c>
      <c r="C571" s="1">
        <v>46176</v>
      </c>
      <c r="D571" s="1">
        <v>46178</v>
      </c>
      <c r="E571" s="1">
        <v>46178</v>
      </c>
      <c r="F571" t="s">
        <v>32</v>
      </c>
      <c r="G571" t="s">
        <v>58</v>
      </c>
      <c r="H571" t="s">
        <v>23</v>
      </c>
      <c r="I571" t="s">
        <v>43</v>
      </c>
      <c r="J571">
        <v>290.5</v>
      </c>
      <c r="K571">
        <v>3783.1</v>
      </c>
      <c r="L571">
        <v>5632000</v>
      </c>
      <c r="M571" t="b">
        <v>0</v>
      </c>
      <c r="N571" t="b">
        <v>0</v>
      </c>
      <c r="O571">
        <v>5000</v>
      </c>
      <c r="P571" t="b">
        <v>0</v>
      </c>
      <c r="Q571" t="b">
        <v>0</v>
      </c>
      <c r="R571" t="b">
        <v>0</v>
      </c>
      <c r="S571" t="s">
        <v>96</v>
      </c>
      <c r="T571" t="s">
        <v>99</v>
      </c>
    </row>
    <row r="572" spans="1:21" x14ac:dyDescent="0.3">
      <c r="A572" t="s">
        <v>677</v>
      </c>
      <c r="B572" s="1">
        <v>46153</v>
      </c>
      <c r="C572" s="1">
        <v>46154</v>
      </c>
      <c r="D572" s="1">
        <v>46155</v>
      </c>
      <c r="E572" s="1">
        <v>46157</v>
      </c>
      <c r="F572" t="s">
        <v>31</v>
      </c>
      <c r="G572" t="s">
        <v>55</v>
      </c>
      <c r="H572" t="s">
        <v>22</v>
      </c>
      <c r="I572" t="s">
        <v>43</v>
      </c>
      <c r="J572">
        <v>22.9</v>
      </c>
      <c r="K572">
        <v>3155.8</v>
      </c>
      <c r="L572">
        <v>2567000</v>
      </c>
      <c r="M572" t="b">
        <v>0</v>
      </c>
      <c r="N572" t="b">
        <v>0</v>
      </c>
      <c r="O572">
        <v>5000</v>
      </c>
      <c r="P572" t="b">
        <v>0</v>
      </c>
      <c r="Q572" t="b">
        <v>0</v>
      </c>
      <c r="R572" t="b">
        <v>0</v>
      </c>
      <c r="S572" t="s">
        <v>101</v>
      </c>
      <c r="T572" t="s">
        <v>102</v>
      </c>
      <c r="U572">
        <v>2</v>
      </c>
    </row>
    <row r="573" spans="1:21" x14ac:dyDescent="0.3">
      <c r="A573" t="s">
        <v>678</v>
      </c>
      <c r="B573" s="1">
        <v>46062</v>
      </c>
      <c r="C573" s="1">
        <v>46063</v>
      </c>
      <c r="D573" s="1">
        <v>46064</v>
      </c>
      <c r="E573" s="1">
        <v>46064</v>
      </c>
      <c r="F573" t="s">
        <v>32</v>
      </c>
      <c r="G573" t="s">
        <v>57</v>
      </c>
      <c r="H573" t="s">
        <v>22</v>
      </c>
      <c r="I573" t="s">
        <v>43</v>
      </c>
      <c r="J573">
        <v>23.2</v>
      </c>
      <c r="K573">
        <v>2026.2</v>
      </c>
      <c r="L573">
        <v>2149000</v>
      </c>
      <c r="M573" t="b">
        <v>0</v>
      </c>
      <c r="N573" t="b">
        <v>0</v>
      </c>
      <c r="O573">
        <v>5000</v>
      </c>
      <c r="P573" t="b">
        <v>0</v>
      </c>
      <c r="Q573" t="b">
        <v>0</v>
      </c>
      <c r="R573" t="b">
        <v>0</v>
      </c>
      <c r="S573" t="s">
        <v>96</v>
      </c>
      <c r="T573" t="s">
        <v>115</v>
      </c>
    </row>
    <row r="574" spans="1:21" x14ac:dyDescent="0.3">
      <c r="A574" t="s">
        <v>679</v>
      </c>
      <c r="B574" s="1">
        <v>46025</v>
      </c>
      <c r="C574" s="1">
        <v>46027</v>
      </c>
      <c r="D574" s="1">
        <v>46031</v>
      </c>
      <c r="E574" s="1">
        <v>46031</v>
      </c>
      <c r="F574" t="s">
        <v>31</v>
      </c>
      <c r="G574" t="s">
        <v>56</v>
      </c>
      <c r="H574" t="s">
        <v>23</v>
      </c>
      <c r="I574" t="s">
        <v>43</v>
      </c>
      <c r="J574">
        <v>984.2</v>
      </c>
      <c r="K574">
        <v>4100</v>
      </c>
      <c r="L574">
        <v>14314000</v>
      </c>
      <c r="M574" t="b">
        <v>0</v>
      </c>
      <c r="N574" t="b">
        <v>0</v>
      </c>
      <c r="O574">
        <v>5000</v>
      </c>
      <c r="P574" t="b">
        <v>0</v>
      </c>
      <c r="Q574" t="b">
        <v>0</v>
      </c>
      <c r="R574" t="b">
        <v>0</v>
      </c>
      <c r="S574" t="s">
        <v>96</v>
      </c>
      <c r="T574" t="s">
        <v>104</v>
      </c>
    </row>
    <row r="575" spans="1:21" x14ac:dyDescent="0.3">
      <c r="A575" t="s">
        <v>680</v>
      </c>
      <c r="B575" s="1">
        <v>46064</v>
      </c>
      <c r="C575" s="1">
        <v>46065</v>
      </c>
      <c r="D575" s="1">
        <v>46068</v>
      </c>
      <c r="E575" s="1">
        <v>46068</v>
      </c>
      <c r="F575" t="s">
        <v>32</v>
      </c>
      <c r="G575" t="s">
        <v>59</v>
      </c>
      <c r="H575" t="s">
        <v>23</v>
      </c>
      <c r="I575" t="s">
        <v>43</v>
      </c>
      <c r="J575">
        <v>176.9</v>
      </c>
      <c r="K575">
        <v>1140.7</v>
      </c>
      <c r="L575">
        <v>3279000</v>
      </c>
      <c r="M575" t="b">
        <v>0</v>
      </c>
      <c r="N575" t="b">
        <v>0</v>
      </c>
      <c r="O575">
        <v>5000</v>
      </c>
      <c r="P575" t="b">
        <v>0</v>
      </c>
      <c r="Q575" t="b">
        <v>0</v>
      </c>
      <c r="R575" t="b">
        <v>0</v>
      </c>
      <c r="S575" t="s">
        <v>96</v>
      </c>
      <c r="T575" t="s">
        <v>115</v>
      </c>
    </row>
    <row r="576" spans="1:21" x14ac:dyDescent="0.3">
      <c r="A576" t="s">
        <v>681</v>
      </c>
      <c r="B576" s="1">
        <v>46026</v>
      </c>
      <c r="C576" s="1">
        <v>46027</v>
      </c>
      <c r="D576" s="1">
        <v>46030</v>
      </c>
      <c r="E576" s="1">
        <v>46030</v>
      </c>
      <c r="F576" t="s">
        <v>31</v>
      </c>
      <c r="G576" t="s">
        <v>59</v>
      </c>
      <c r="H576" t="s">
        <v>23</v>
      </c>
      <c r="I576" t="s">
        <v>44</v>
      </c>
      <c r="J576">
        <v>305.60000000000002</v>
      </c>
      <c r="K576">
        <v>714.4</v>
      </c>
      <c r="L576">
        <v>4072000</v>
      </c>
      <c r="M576" t="b">
        <v>0</v>
      </c>
      <c r="N576" t="b">
        <v>0</v>
      </c>
      <c r="O576">
        <v>1500</v>
      </c>
      <c r="P576" t="b">
        <v>0</v>
      </c>
      <c r="Q576" t="b">
        <v>0</v>
      </c>
      <c r="R576" t="b">
        <v>0</v>
      </c>
      <c r="S576" t="s">
        <v>96</v>
      </c>
      <c r="T576" t="s">
        <v>104</v>
      </c>
    </row>
    <row r="577" spans="1:21" x14ac:dyDescent="0.3">
      <c r="A577" t="s">
        <v>682</v>
      </c>
      <c r="B577" s="1">
        <v>46101</v>
      </c>
      <c r="C577" s="1">
        <v>46102</v>
      </c>
      <c r="D577" s="1">
        <v>46104</v>
      </c>
      <c r="E577" s="1">
        <v>46104</v>
      </c>
      <c r="F577" t="s">
        <v>34</v>
      </c>
      <c r="G577" t="s">
        <v>58</v>
      </c>
      <c r="H577" t="s">
        <v>20</v>
      </c>
      <c r="I577" t="s">
        <v>45</v>
      </c>
      <c r="J577">
        <v>158.1</v>
      </c>
      <c r="K577">
        <v>253.9</v>
      </c>
      <c r="L577">
        <v>1668000</v>
      </c>
      <c r="M577" t="b">
        <v>0</v>
      </c>
      <c r="N577" t="b">
        <v>0</v>
      </c>
      <c r="O577">
        <v>1000</v>
      </c>
      <c r="P577" t="b">
        <v>0</v>
      </c>
      <c r="Q577" t="b">
        <v>0</v>
      </c>
      <c r="R577" t="b">
        <v>0</v>
      </c>
      <c r="S577" t="s">
        <v>96</v>
      </c>
      <c r="T577" t="s">
        <v>118</v>
      </c>
    </row>
    <row r="578" spans="1:21" x14ac:dyDescent="0.3">
      <c r="A578" t="s">
        <v>683</v>
      </c>
      <c r="B578" s="1">
        <v>46155</v>
      </c>
      <c r="C578" s="1">
        <v>46156</v>
      </c>
      <c r="D578" s="1">
        <v>46160</v>
      </c>
      <c r="E578" s="1">
        <v>46160</v>
      </c>
      <c r="F578" t="s">
        <v>34</v>
      </c>
      <c r="G578" t="s">
        <v>56</v>
      </c>
      <c r="H578" t="s">
        <v>22</v>
      </c>
      <c r="I578" t="s">
        <v>42</v>
      </c>
      <c r="J578">
        <v>957.6</v>
      </c>
      <c r="K578">
        <v>5468.6</v>
      </c>
      <c r="L578">
        <v>19841000</v>
      </c>
      <c r="M578" t="b">
        <v>0</v>
      </c>
      <c r="N578" t="b">
        <v>0</v>
      </c>
      <c r="O578">
        <v>16000</v>
      </c>
      <c r="P578" t="b">
        <v>0</v>
      </c>
      <c r="Q578" t="b">
        <v>0</v>
      </c>
      <c r="R578" t="b">
        <v>0</v>
      </c>
      <c r="S578" t="s">
        <v>96</v>
      </c>
      <c r="T578" t="s">
        <v>102</v>
      </c>
    </row>
    <row r="579" spans="1:21" x14ac:dyDescent="0.3">
      <c r="A579" t="s">
        <v>684</v>
      </c>
      <c r="B579" s="1">
        <v>46195</v>
      </c>
      <c r="C579" s="1">
        <v>46197</v>
      </c>
      <c r="D579" s="1">
        <v>46201</v>
      </c>
      <c r="E579" s="1">
        <v>46201</v>
      </c>
      <c r="F579" t="s">
        <v>34</v>
      </c>
      <c r="G579" t="s">
        <v>60</v>
      </c>
      <c r="H579" t="s">
        <v>21</v>
      </c>
      <c r="I579" t="s">
        <v>45</v>
      </c>
      <c r="J579">
        <v>624</v>
      </c>
      <c r="K579">
        <v>330.2</v>
      </c>
      <c r="L579">
        <v>5552000</v>
      </c>
      <c r="M579" t="b">
        <v>0</v>
      </c>
      <c r="N579" t="b">
        <v>0</v>
      </c>
      <c r="O579">
        <v>1000</v>
      </c>
      <c r="P579" t="b">
        <v>0</v>
      </c>
      <c r="Q579" t="b">
        <v>0</v>
      </c>
      <c r="R579" t="b">
        <v>0</v>
      </c>
      <c r="S579" t="s">
        <v>96</v>
      </c>
      <c r="T579" t="s">
        <v>99</v>
      </c>
    </row>
    <row r="580" spans="1:21" x14ac:dyDescent="0.3">
      <c r="A580" t="s">
        <v>685</v>
      </c>
      <c r="B580" s="1">
        <v>46199</v>
      </c>
      <c r="C580" s="1">
        <v>46199</v>
      </c>
      <c r="D580" s="1">
        <v>46201</v>
      </c>
      <c r="E580" s="1">
        <v>46202</v>
      </c>
      <c r="F580" t="s">
        <v>32</v>
      </c>
      <c r="G580" t="s">
        <v>53</v>
      </c>
      <c r="H580" t="s">
        <v>24</v>
      </c>
      <c r="I580" t="s">
        <v>43</v>
      </c>
      <c r="J580">
        <v>251.7</v>
      </c>
      <c r="K580">
        <v>1266.3</v>
      </c>
      <c r="L580">
        <v>4320000</v>
      </c>
      <c r="M580" t="b">
        <v>0</v>
      </c>
      <c r="N580" t="b">
        <v>0</v>
      </c>
      <c r="O580">
        <v>5000</v>
      </c>
      <c r="P580" t="b">
        <v>0</v>
      </c>
      <c r="Q580" t="b">
        <v>0</v>
      </c>
      <c r="R580" t="b">
        <v>0</v>
      </c>
      <c r="S580" t="s">
        <v>101</v>
      </c>
      <c r="T580" t="s">
        <v>99</v>
      </c>
      <c r="U580">
        <v>1</v>
      </c>
    </row>
    <row r="581" spans="1:21" x14ac:dyDescent="0.3">
      <c r="A581" t="s">
        <v>686</v>
      </c>
      <c r="B581" s="1">
        <v>46031</v>
      </c>
      <c r="C581" s="1">
        <v>46032</v>
      </c>
      <c r="D581" s="1">
        <v>46033</v>
      </c>
      <c r="E581" s="1">
        <v>46033</v>
      </c>
      <c r="F581" t="s">
        <v>34</v>
      </c>
      <c r="G581" t="s">
        <v>61</v>
      </c>
      <c r="H581" t="s">
        <v>20</v>
      </c>
      <c r="I581" t="s">
        <v>44</v>
      </c>
      <c r="J581">
        <v>31.7</v>
      </c>
      <c r="K581">
        <v>828.3</v>
      </c>
      <c r="L581">
        <v>1314000</v>
      </c>
      <c r="M581" t="b">
        <v>0</v>
      </c>
      <c r="N581" t="b">
        <v>0</v>
      </c>
      <c r="O581">
        <v>1500</v>
      </c>
      <c r="P581" t="b">
        <v>0</v>
      </c>
      <c r="Q581" t="b">
        <v>0</v>
      </c>
      <c r="R581" t="b">
        <v>0</v>
      </c>
      <c r="S581" t="s">
        <v>96</v>
      </c>
      <c r="T581" t="s">
        <v>104</v>
      </c>
    </row>
    <row r="582" spans="1:21" x14ac:dyDescent="0.3">
      <c r="A582" t="s">
        <v>687</v>
      </c>
      <c r="B582" s="1">
        <v>46031</v>
      </c>
      <c r="C582" s="1">
        <v>46032</v>
      </c>
      <c r="D582" s="1">
        <v>46035</v>
      </c>
      <c r="E582" s="1">
        <v>46036</v>
      </c>
      <c r="F582" t="s">
        <v>34</v>
      </c>
      <c r="G582" t="s">
        <v>63</v>
      </c>
      <c r="H582" t="s">
        <v>24</v>
      </c>
      <c r="I582" t="s">
        <v>45</v>
      </c>
      <c r="J582">
        <v>326.3</v>
      </c>
      <c r="K582">
        <v>108.1</v>
      </c>
      <c r="L582">
        <v>3590000</v>
      </c>
      <c r="M582" t="b">
        <v>0</v>
      </c>
      <c r="N582" t="b">
        <v>0</v>
      </c>
      <c r="O582">
        <v>1000</v>
      </c>
      <c r="P582" t="b">
        <v>0</v>
      </c>
      <c r="Q582" t="b">
        <v>0</v>
      </c>
      <c r="R582" t="b">
        <v>0</v>
      </c>
      <c r="S582" t="s">
        <v>101</v>
      </c>
      <c r="T582" t="s">
        <v>104</v>
      </c>
      <c r="U582">
        <v>1</v>
      </c>
    </row>
    <row r="583" spans="1:21" x14ac:dyDescent="0.3">
      <c r="A583" t="s">
        <v>688</v>
      </c>
      <c r="B583" s="1">
        <v>46180</v>
      </c>
      <c r="C583" s="1">
        <v>46181</v>
      </c>
      <c r="D583" s="1">
        <v>46183</v>
      </c>
      <c r="E583" s="1">
        <v>46184</v>
      </c>
      <c r="F583" t="s">
        <v>34</v>
      </c>
      <c r="G583" t="s">
        <v>52</v>
      </c>
      <c r="H583" t="s">
        <v>23</v>
      </c>
      <c r="I583" t="s">
        <v>42</v>
      </c>
      <c r="J583">
        <v>262</v>
      </c>
      <c r="K583">
        <v>8837.5</v>
      </c>
      <c r="L583">
        <v>8127000</v>
      </c>
      <c r="M583" t="b">
        <v>0</v>
      </c>
      <c r="N583" t="b">
        <v>0</v>
      </c>
      <c r="O583">
        <v>16000</v>
      </c>
      <c r="P583" t="b">
        <v>0</v>
      </c>
      <c r="Q583" t="b">
        <v>0</v>
      </c>
      <c r="R583" t="b">
        <v>0</v>
      </c>
      <c r="S583" t="s">
        <v>101</v>
      </c>
      <c r="T583" t="s">
        <v>99</v>
      </c>
      <c r="U583">
        <v>1</v>
      </c>
    </row>
    <row r="584" spans="1:21" x14ac:dyDescent="0.3">
      <c r="A584" t="s">
        <v>689</v>
      </c>
      <c r="B584" s="1">
        <v>46025</v>
      </c>
      <c r="C584" s="1">
        <v>46026</v>
      </c>
      <c r="D584" s="1">
        <v>46029</v>
      </c>
      <c r="E584" s="1">
        <v>46030</v>
      </c>
      <c r="F584" t="s">
        <v>33</v>
      </c>
      <c r="G584" t="s">
        <v>63</v>
      </c>
      <c r="H584" t="s">
        <v>20</v>
      </c>
      <c r="I584" t="s">
        <v>44</v>
      </c>
      <c r="J584">
        <v>319</v>
      </c>
      <c r="K584">
        <v>1232.5</v>
      </c>
      <c r="L584">
        <v>3757000</v>
      </c>
      <c r="M584" t="b">
        <v>0</v>
      </c>
      <c r="N584" t="b">
        <v>0</v>
      </c>
      <c r="O584">
        <v>1500</v>
      </c>
      <c r="P584" t="b">
        <v>0</v>
      </c>
      <c r="Q584" t="b">
        <v>0</v>
      </c>
      <c r="R584" t="b">
        <v>0</v>
      </c>
      <c r="S584" t="s">
        <v>101</v>
      </c>
      <c r="T584" t="s">
        <v>104</v>
      </c>
      <c r="U584">
        <v>1</v>
      </c>
    </row>
    <row r="585" spans="1:21" x14ac:dyDescent="0.3">
      <c r="A585" t="s">
        <v>690</v>
      </c>
      <c r="B585" s="1">
        <v>46102</v>
      </c>
      <c r="C585" s="1">
        <v>46104</v>
      </c>
      <c r="D585" s="1">
        <v>46107</v>
      </c>
      <c r="E585" s="1">
        <v>46107</v>
      </c>
      <c r="F585" t="s">
        <v>31</v>
      </c>
      <c r="G585" t="s">
        <v>53</v>
      </c>
      <c r="H585" t="s">
        <v>20</v>
      </c>
      <c r="I585" t="s">
        <v>45</v>
      </c>
      <c r="J585">
        <v>336.8</v>
      </c>
      <c r="K585">
        <v>203</v>
      </c>
      <c r="L585">
        <v>3467000</v>
      </c>
      <c r="M585" t="b">
        <v>0</v>
      </c>
      <c r="N585" t="b">
        <v>0</v>
      </c>
      <c r="O585">
        <v>1000</v>
      </c>
      <c r="P585" t="b">
        <v>0</v>
      </c>
      <c r="Q585" t="b">
        <v>0</v>
      </c>
      <c r="R585" t="b">
        <v>0</v>
      </c>
      <c r="S585" t="s">
        <v>96</v>
      </c>
      <c r="T585" t="s">
        <v>118</v>
      </c>
    </row>
    <row r="586" spans="1:21" x14ac:dyDescent="0.3">
      <c r="A586" t="s">
        <v>691</v>
      </c>
      <c r="B586" s="1">
        <v>46163</v>
      </c>
      <c r="C586" s="1">
        <v>46164</v>
      </c>
      <c r="D586" s="1">
        <v>46166</v>
      </c>
      <c r="E586" s="1">
        <v>46166</v>
      </c>
      <c r="F586" t="s">
        <v>34</v>
      </c>
      <c r="G586" t="s">
        <v>52</v>
      </c>
      <c r="H586" t="s">
        <v>24</v>
      </c>
      <c r="I586" t="s">
        <v>43</v>
      </c>
      <c r="J586">
        <v>292.3</v>
      </c>
      <c r="K586">
        <v>1885.6</v>
      </c>
      <c r="L586">
        <v>4990000</v>
      </c>
      <c r="M586" t="b">
        <v>0</v>
      </c>
      <c r="N586" t="b">
        <v>0</v>
      </c>
      <c r="O586">
        <v>5000</v>
      </c>
      <c r="P586" t="b">
        <v>0</v>
      </c>
      <c r="Q586" t="b">
        <v>0</v>
      </c>
      <c r="R586" t="b">
        <v>0</v>
      </c>
      <c r="S586" t="s">
        <v>96</v>
      </c>
      <c r="T586" t="s">
        <v>102</v>
      </c>
    </row>
    <row r="587" spans="1:21" x14ac:dyDescent="0.3">
      <c r="A587" t="s">
        <v>692</v>
      </c>
      <c r="B587" s="1">
        <v>46130</v>
      </c>
      <c r="C587" s="1">
        <v>46131</v>
      </c>
      <c r="D587" s="1">
        <v>46133</v>
      </c>
      <c r="E587" s="1">
        <v>46134</v>
      </c>
      <c r="F587" t="s">
        <v>32</v>
      </c>
      <c r="G587" t="s">
        <v>59</v>
      </c>
      <c r="H587" t="s">
        <v>23</v>
      </c>
      <c r="I587" t="s">
        <v>43</v>
      </c>
      <c r="J587">
        <v>177.1</v>
      </c>
      <c r="K587">
        <v>4264.8999999999996</v>
      </c>
      <c r="L587">
        <v>4603000</v>
      </c>
      <c r="M587" t="b">
        <v>0</v>
      </c>
      <c r="N587" t="b">
        <v>0</v>
      </c>
      <c r="O587">
        <v>5000</v>
      </c>
      <c r="P587" t="b">
        <v>0</v>
      </c>
      <c r="Q587" t="b">
        <v>0</v>
      </c>
      <c r="R587" t="b">
        <v>0</v>
      </c>
      <c r="S587" t="s">
        <v>101</v>
      </c>
      <c r="T587" t="s">
        <v>112</v>
      </c>
      <c r="U587">
        <v>1</v>
      </c>
    </row>
    <row r="588" spans="1:21" x14ac:dyDescent="0.3">
      <c r="A588" t="s">
        <v>693</v>
      </c>
      <c r="B588" s="1">
        <v>46042</v>
      </c>
      <c r="C588" s="1">
        <v>46043</v>
      </c>
      <c r="D588" s="1">
        <v>46045</v>
      </c>
      <c r="E588" s="1">
        <v>46044</v>
      </c>
      <c r="F588" t="s">
        <v>32</v>
      </c>
      <c r="G588" t="s">
        <v>53</v>
      </c>
      <c r="H588" t="s">
        <v>21</v>
      </c>
      <c r="I588" t="s">
        <v>42</v>
      </c>
      <c r="J588">
        <v>245.1</v>
      </c>
      <c r="K588">
        <v>6289</v>
      </c>
      <c r="L588">
        <v>6844000</v>
      </c>
      <c r="M588" t="b">
        <v>0</v>
      </c>
      <c r="N588" t="b">
        <v>0</v>
      </c>
      <c r="O588">
        <v>16000</v>
      </c>
      <c r="P588" t="b">
        <v>0</v>
      </c>
      <c r="Q588" t="b">
        <v>0</v>
      </c>
      <c r="R588" t="b">
        <v>0</v>
      </c>
      <c r="S588" t="s">
        <v>96</v>
      </c>
      <c r="T588" t="s">
        <v>104</v>
      </c>
    </row>
    <row r="589" spans="1:21" x14ac:dyDescent="0.3">
      <c r="A589" t="s">
        <v>694</v>
      </c>
      <c r="B589" s="1">
        <v>46178</v>
      </c>
      <c r="C589" s="1">
        <v>46178</v>
      </c>
      <c r="D589" s="1">
        <v>46181</v>
      </c>
      <c r="E589" s="1">
        <v>46181</v>
      </c>
      <c r="F589" t="s">
        <v>34</v>
      </c>
      <c r="G589" t="s">
        <v>59</v>
      </c>
      <c r="H589" t="s">
        <v>23</v>
      </c>
      <c r="I589" t="s">
        <v>43</v>
      </c>
      <c r="J589">
        <v>323.3</v>
      </c>
      <c r="K589">
        <v>2889.9</v>
      </c>
      <c r="L589">
        <v>5353000</v>
      </c>
      <c r="M589" t="b">
        <v>0</v>
      </c>
      <c r="N589" t="b">
        <v>0</v>
      </c>
      <c r="O589">
        <v>5000</v>
      </c>
      <c r="P589" t="b">
        <v>0</v>
      </c>
      <c r="Q589" t="b">
        <v>0</v>
      </c>
      <c r="R589" t="b">
        <v>0</v>
      </c>
      <c r="S589" t="s">
        <v>96</v>
      </c>
      <c r="T589" t="s">
        <v>99</v>
      </c>
    </row>
    <row r="590" spans="1:21" x14ac:dyDescent="0.3">
      <c r="A590" t="s">
        <v>695</v>
      </c>
      <c r="B590" s="1">
        <v>46108</v>
      </c>
      <c r="C590" s="1">
        <v>46109</v>
      </c>
      <c r="D590" s="1">
        <v>46111</v>
      </c>
      <c r="E590" s="1">
        <v>46111</v>
      </c>
      <c r="F590" t="s">
        <v>32</v>
      </c>
      <c r="G590" t="s">
        <v>63</v>
      </c>
      <c r="H590" t="s">
        <v>23</v>
      </c>
      <c r="I590" t="s">
        <v>44</v>
      </c>
      <c r="J590">
        <v>178.9</v>
      </c>
      <c r="K590">
        <v>1290.0999999999999</v>
      </c>
      <c r="L590">
        <v>3110000</v>
      </c>
      <c r="M590" t="b">
        <v>0</v>
      </c>
      <c r="N590" t="b">
        <v>0</v>
      </c>
      <c r="O590">
        <v>1500</v>
      </c>
      <c r="P590" t="b">
        <v>0</v>
      </c>
      <c r="Q590" t="b">
        <v>0</v>
      </c>
      <c r="R590" t="b">
        <v>0</v>
      </c>
      <c r="S590" t="s">
        <v>96</v>
      </c>
      <c r="T590" t="s">
        <v>118</v>
      </c>
    </row>
    <row r="591" spans="1:21" x14ac:dyDescent="0.3">
      <c r="A591" t="s">
        <v>696</v>
      </c>
      <c r="B591" s="1">
        <v>46129</v>
      </c>
      <c r="C591" s="1">
        <v>46130</v>
      </c>
      <c r="D591" s="1">
        <v>46132</v>
      </c>
      <c r="E591" s="1">
        <v>46132</v>
      </c>
      <c r="F591" t="s">
        <v>31</v>
      </c>
      <c r="G591" t="s">
        <v>63</v>
      </c>
      <c r="H591" t="s">
        <v>21</v>
      </c>
      <c r="I591" t="s">
        <v>44</v>
      </c>
      <c r="J591">
        <v>274.39999999999998</v>
      </c>
      <c r="K591">
        <v>986.9</v>
      </c>
      <c r="L591">
        <v>3444000</v>
      </c>
      <c r="M591" t="b">
        <v>0</v>
      </c>
      <c r="N591" t="b">
        <v>0</v>
      </c>
      <c r="O591">
        <v>1500</v>
      </c>
      <c r="P591" t="b">
        <v>0</v>
      </c>
      <c r="Q591" t="b">
        <v>0</v>
      </c>
      <c r="R591" t="b">
        <v>0</v>
      </c>
      <c r="S591" t="s">
        <v>96</v>
      </c>
      <c r="T591" t="s">
        <v>112</v>
      </c>
    </row>
    <row r="592" spans="1:21" x14ac:dyDescent="0.3">
      <c r="A592" t="s">
        <v>697</v>
      </c>
      <c r="B592" s="1">
        <v>46137</v>
      </c>
      <c r="C592" s="1">
        <v>46138</v>
      </c>
      <c r="D592" s="1">
        <v>46141</v>
      </c>
      <c r="E592" s="1">
        <v>46141</v>
      </c>
      <c r="F592" t="s">
        <v>34</v>
      </c>
      <c r="G592" t="s">
        <v>54</v>
      </c>
      <c r="H592" t="s">
        <v>24</v>
      </c>
      <c r="I592" t="s">
        <v>45</v>
      </c>
      <c r="J592">
        <v>424.6</v>
      </c>
      <c r="K592">
        <v>570.79999999999995</v>
      </c>
      <c r="L592">
        <v>4107000</v>
      </c>
      <c r="M592" t="b">
        <v>0</v>
      </c>
      <c r="N592" t="b">
        <v>0</v>
      </c>
      <c r="O592">
        <v>1000</v>
      </c>
      <c r="P592" t="b">
        <v>0</v>
      </c>
      <c r="Q592" t="b">
        <v>0</v>
      </c>
      <c r="R592" t="b">
        <v>0</v>
      </c>
      <c r="S592" t="s">
        <v>96</v>
      </c>
      <c r="T592" t="s">
        <v>112</v>
      </c>
    </row>
    <row r="593" spans="1:21" x14ac:dyDescent="0.3">
      <c r="A593" t="s">
        <v>698</v>
      </c>
      <c r="B593" s="1">
        <v>46058</v>
      </c>
      <c r="C593" s="1">
        <v>46059</v>
      </c>
      <c r="D593" s="1">
        <v>46063</v>
      </c>
      <c r="E593" s="1">
        <v>46063</v>
      </c>
      <c r="F593" t="s">
        <v>34</v>
      </c>
      <c r="G593" t="s">
        <v>62</v>
      </c>
      <c r="H593" t="s">
        <v>24</v>
      </c>
      <c r="I593" t="s">
        <v>44</v>
      </c>
      <c r="J593">
        <v>732.5</v>
      </c>
      <c r="K593">
        <v>936.9</v>
      </c>
      <c r="L593">
        <v>8221000</v>
      </c>
      <c r="M593" t="b">
        <v>0</v>
      </c>
      <c r="N593" t="b">
        <v>0</v>
      </c>
      <c r="O593">
        <v>1500</v>
      </c>
      <c r="P593" t="b">
        <v>0</v>
      </c>
      <c r="Q593" t="b">
        <v>0</v>
      </c>
      <c r="R593" t="b">
        <v>0</v>
      </c>
      <c r="S593" t="s">
        <v>96</v>
      </c>
      <c r="T593" t="s">
        <v>115</v>
      </c>
    </row>
    <row r="594" spans="1:21" x14ac:dyDescent="0.3">
      <c r="A594" t="s">
        <v>699</v>
      </c>
      <c r="B594" s="1">
        <v>46040</v>
      </c>
      <c r="C594" s="1">
        <v>46041</v>
      </c>
      <c r="D594" s="1">
        <v>46044</v>
      </c>
      <c r="E594" s="1">
        <v>46044</v>
      </c>
      <c r="F594" t="s">
        <v>31</v>
      </c>
      <c r="G594" t="s">
        <v>60</v>
      </c>
      <c r="H594" t="s">
        <v>22</v>
      </c>
      <c r="I594" t="s">
        <v>45</v>
      </c>
      <c r="J594">
        <v>538.4</v>
      </c>
      <c r="K594">
        <v>623</v>
      </c>
      <c r="L594">
        <v>5265000</v>
      </c>
      <c r="M594" t="b">
        <v>0</v>
      </c>
      <c r="N594" t="b">
        <v>0</v>
      </c>
      <c r="O594">
        <v>1000</v>
      </c>
      <c r="P594" t="b">
        <v>0</v>
      </c>
      <c r="Q594" t="b">
        <v>0</v>
      </c>
      <c r="R594" t="b">
        <v>0</v>
      </c>
      <c r="S594" t="s">
        <v>96</v>
      </c>
      <c r="T594" t="s">
        <v>104</v>
      </c>
    </row>
    <row r="595" spans="1:21" x14ac:dyDescent="0.3">
      <c r="A595" t="s">
        <v>700</v>
      </c>
      <c r="B595" s="1">
        <v>46132</v>
      </c>
      <c r="C595" s="1">
        <v>46132</v>
      </c>
      <c r="D595" s="1">
        <v>46134</v>
      </c>
      <c r="E595" s="1">
        <v>46134</v>
      </c>
      <c r="F595" t="s">
        <v>34</v>
      </c>
      <c r="G595" t="s">
        <v>52</v>
      </c>
      <c r="H595" t="s">
        <v>23</v>
      </c>
      <c r="I595" t="s">
        <v>42</v>
      </c>
      <c r="J595">
        <v>269.8</v>
      </c>
      <c r="K595">
        <v>9961.1</v>
      </c>
      <c r="L595">
        <v>8109000</v>
      </c>
      <c r="M595" t="b">
        <v>0</v>
      </c>
      <c r="N595" t="b">
        <v>0</v>
      </c>
      <c r="O595">
        <v>16000</v>
      </c>
      <c r="P595" t="b">
        <v>0</v>
      </c>
      <c r="Q595" t="b">
        <v>0</v>
      </c>
      <c r="R595" t="b">
        <v>0</v>
      </c>
      <c r="S595" t="s">
        <v>96</v>
      </c>
      <c r="T595" t="s">
        <v>112</v>
      </c>
    </row>
    <row r="596" spans="1:21" x14ac:dyDescent="0.3">
      <c r="A596" t="s">
        <v>701</v>
      </c>
      <c r="B596" s="1">
        <v>46156</v>
      </c>
      <c r="C596" s="1">
        <v>46158</v>
      </c>
      <c r="D596" s="1">
        <v>46160</v>
      </c>
      <c r="E596" s="1">
        <v>46160</v>
      </c>
      <c r="F596" t="s">
        <v>31</v>
      </c>
      <c r="G596" t="s">
        <v>52</v>
      </c>
      <c r="H596" t="s">
        <v>24</v>
      </c>
      <c r="I596" t="s">
        <v>44</v>
      </c>
      <c r="J596">
        <v>298.60000000000002</v>
      </c>
      <c r="K596">
        <v>1327.7</v>
      </c>
      <c r="L596">
        <v>4239000</v>
      </c>
      <c r="M596" t="b">
        <v>0</v>
      </c>
      <c r="N596" t="b">
        <v>0</v>
      </c>
      <c r="O596">
        <v>1500</v>
      </c>
      <c r="P596" t="b">
        <v>0</v>
      </c>
      <c r="Q596" t="b">
        <v>0</v>
      </c>
      <c r="R596" t="b">
        <v>0</v>
      </c>
      <c r="S596" t="s">
        <v>96</v>
      </c>
      <c r="T596" t="s">
        <v>102</v>
      </c>
    </row>
    <row r="597" spans="1:21" x14ac:dyDescent="0.3">
      <c r="A597" t="s">
        <v>702</v>
      </c>
      <c r="B597" s="1">
        <v>46023</v>
      </c>
      <c r="C597" s="1">
        <v>46024</v>
      </c>
      <c r="D597" s="1">
        <v>46026</v>
      </c>
      <c r="E597" s="1">
        <v>46026</v>
      </c>
      <c r="F597" t="s">
        <v>31</v>
      </c>
      <c r="G597" t="s">
        <v>52</v>
      </c>
      <c r="H597" t="s">
        <v>24</v>
      </c>
      <c r="I597" t="s">
        <v>45</v>
      </c>
      <c r="J597">
        <v>297.89999999999998</v>
      </c>
      <c r="K597">
        <v>217.7</v>
      </c>
      <c r="L597">
        <v>3305000</v>
      </c>
      <c r="M597" t="b">
        <v>0</v>
      </c>
      <c r="N597" t="b">
        <v>0</v>
      </c>
      <c r="O597">
        <v>1000</v>
      </c>
      <c r="P597" t="b">
        <v>0</v>
      </c>
      <c r="Q597" t="b">
        <v>0</v>
      </c>
      <c r="R597" t="b">
        <v>0</v>
      </c>
      <c r="S597" t="s">
        <v>96</v>
      </c>
      <c r="T597" t="s">
        <v>104</v>
      </c>
    </row>
    <row r="598" spans="1:21" x14ac:dyDescent="0.3">
      <c r="A598" t="s">
        <v>703</v>
      </c>
      <c r="B598" s="1">
        <v>46051</v>
      </c>
      <c r="C598" s="1">
        <v>46051</v>
      </c>
      <c r="D598" s="1">
        <v>46052</v>
      </c>
      <c r="E598" s="1">
        <v>46052</v>
      </c>
      <c r="F598" t="s">
        <v>34</v>
      </c>
      <c r="G598" t="s">
        <v>61</v>
      </c>
      <c r="H598" t="s">
        <v>24</v>
      </c>
      <c r="I598" t="s">
        <v>43</v>
      </c>
      <c r="J598">
        <v>32.799999999999997</v>
      </c>
      <c r="K598">
        <v>2698.8</v>
      </c>
      <c r="L598">
        <v>2335000</v>
      </c>
      <c r="M598" t="b">
        <v>0</v>
      </c>
      <c r="N598" t="b">
        <v>0</v>
      </c>
      <c r="O598">
        <v>5000</v>
      </c>
      <c r="P598" t="b">
        <v>0</v>
      </c>
      <c r="Q598" t="b">
        <v>0</v>
      </c>
      <c r="R598" t="b">
        <v>0</v>
      </c>
      <c r="S598" t="s">
        <v>96</v>
      </c>
      <c r="T598" t="s">
        <v>104</v>
      </c>
    </row>
    <row r="599" spans="1:21" x14ac:dyDescent="0.3">
      <c r="A599" t="s">
        <v>704</v>
      </c>
      <c r="B599" s="1">
        <v>46114</v>
      </c>
      <c r="C599" s="1">
        <v>46115</v>
      </c>
      <c r="D599" s="1">
        <v>46119</v>
      </c>
      <c r="E599" s="1">
        <v>46120</v>
      </c>
      <c r="F599" t="s">
        <v>34</v>
      </c>
      <c r="G599" t="s">
        <v>56</v>
      </c>
      <c r="H599" t="s">
        <v>22</v>
      </c>
      <c r="I599" t="s">
        <v>45</v>
      </c>
      <c r="J599">
        <v>897.9</v>
      </c>
      <c r="K599">
        <v>709.3</v>
      </c>
      <c r="L599">
        <v>8041000</v>
      </c>
      <c r="M599" t="b">
        <v>0</v>
      </c>
      <c r="N599" t="b">
        <v>0</v>
      </c>
      <c r="O599">
        <v>1000</v>
      </c>
      <c r="P599" t="b">
        <v>0</v>
      </c>
      <c r="Q599" t="b">
        <v>0</v>
      </c>
      <c r="R599" t="b">
        <v>0</v>
      </c>
      <c r="S599" t="s">
        <v>101</v>
      </c>
      <c r="T599" t="s">
        <v>112</v>
      </c>
      <c r="U599">
        <v>1</v>
      </c>
    </row>
    <row r="600" spans="1:21" x14ac:dyDescent="0.3">
      <c r="A600" t="s">
        <v>705</v>
      </c>
      <c r="B600" s="1">
        <v>46026</v>
      </c>
      <c r="C600" s="1">
        <v>46028</v>
      </c>
      <c r="D600" s="1">
        <v>46033</v>
      </c>
      <c r="E600" s="1">
        <v>46033</v>
      </c>
      <c r="F600" t="s">
        <v>33</v>
      </c>
      <c r="G600" t="s">
        <v>56</v>
      </c>
      <c r="H600" t="s">
        <v>20</v>
      </c>
      <c r="I600" t="s">
        <v>45</v>
      </c>
      <c r="J600">
        <v>1663.2</v>
      </c>
      <c r="K600">
        <v>543.29999999999995</v>
      </c>
      <c r="L600">
        <v>16700000</v>
      </c>
      <c r="M600" t="b">
        <v>0</v>
      </c>
      <c r="N600" t="b">
        <v>0</v>
      </c>
      <c r="O600">
        <v>1000</v>
      </c>
      <c r="P600" t="b">
        <v>0</v>
      </c>
      <c r="Q600" t="b">
        <v>0</v>
      </c>
      <c r="R600" t="b">
        <v>0</v>
      </c>
      <c r="S600" t="s">
        <v>96</v>
      </c>
      <c r="T600" t="s">
        <v>104</v>
      </c>
    </row>
    <row r="601" spans="1:21" x14ac:dyDescent="0.3">
      <c r="A601" t="s">
        <v>706</v>
      </c>
      <c r="B601" s="1">
        <v>46173</v>
      </c>
      <c r="C601" s="1">
        <v>46174</v>
      </c>
      <c r="D601" s="1">
        <v>46176</v>
      </c>
      <c r="E601" s="1">
        <v>46176</v>
      </c>
      <c r="F601" t="s">
        <v>31</v>
      </c>
      <c r="G601" t="s">
        <v>58</v>
      </c>
      <c r="H601" t="s">
        <v>24</v>
      </c>
      <c r="I601" t="s">
        <v>42</v>
      </c>
      <c r="J601">
        <v>189.9</v>
      </c>
      <c r="K601">
        <v>12923.3</v>
      </c>
      <c r="L601">
        <v>8720000</v>
      </c>
      <c r="M601" t="b">
        <v>0</v>
      </c>
      <c r="N601" t="b">
        <v>0</v>
      </c>
      <c r="O601">
        <v>16000</v>
      </c>
      <c r="P601" t="b">
        <v>0</v>
      </c>
      <c r="Q601" t="b">
        <v>0</v>
      </c>
      <c r="R601" t="b">
        <v>0</v>
      </c>
      <c r="S601" t="s">
        <v>96</v>
      </c>
      <c r="T601" t="s">
        <v>99</v>
      </c>
    </row>
    <row r="602" spans="1:21" x14ac:dyDescent="0.3">
      <c r="A602" t="s">
        <v>707</v>
      </c>
      <c r="B602" s="1">
        <v>46121</v>
      </c>
      <c r="C602" s="1">
        <v>46122</v>
      </c>
      <c r="D602" s="1">
        <v>46126</v>
      </c>
      <c r="E602" s="1">
        <v>46126</v>
      </c>
      <c r="F602" t="s">
        <v>33</v>
      </c>
      <c r="G602" t="s">
        <v>58</v>
      </c>
      <c r="H602" t="s">
        <v>21</v>
      </c>
      <c r="I602" t="s">
        <v>43</v>
      </c>
      <c r="J602">
        <v>614.4</v>
      </c>
      <c r="K602">
        <v>2784.9</v>
      </c>
      <c r="L602">
        <v>10271000</v>
      </c>
      <c r="M602" t="b">
        <v>0</v>
      </c>
      <c r="N602" t="b">
        <v>0</v>
      </c>
      <c r="O602">
        <v>5000</v>
      </c>
      <c r="P602" t="b">
        <v>0</v>
      </c>
      <c r="Q602" t="b">
        <v>0</v>
      </c>
      <c r="R602" t="b">
        <v>0</v>
      </c>
      <c r="S602" t="s">
        <v>96</v>
      </c>
      <c r="T602" t="s">
        <v>112</v>
      </c>
    </row>
    <row r="603" spans="1:21" x14ac:dyDescent="0.3">
      <c r="A603" t="s">
        <v>708</v>
      </c>
      <c r="B603" s="1">
        <v>46184</v>
      </c>
      <c r="C603" s="1">
        <v>46186</v>
      </c>
      <c r="D603" s="1">
        <v>46188</v>
      </c>
      <c r="E603" s="1">
        <v>46188</v>
      </c>
      <c r="F603" t="s">
        <v>34</v>
      </c>
      <c r="G603" t="s">
        <v>58</v>
      </c>
      <c r="H603" t="s">
        <v>24</v>
      </c>
      <c r="I603" t="s">
        <v>43</v>
      </c>
      <c r="J603">
        <v>157.6</v>
      </c>
      <c r="K603">
        <v>3783.4</v>
      </c>
      <c r="L603">
        <v>4212000</v>
      </c>
      <c r="M603" t="b">
        <v>0</v>
      </c>
      <c r="N603" t="b">
        <v>0</v>
      </c>
      <c r="O603">
        <v>5000</v>
      </c>
      <c r="P603" t="b">
        <v>0</v>
      </c>
      <c r="Q603" t="b">
        <v>0</v>
      </c>
      <c r="R603" t="b">
        <v>0</v>
      </c>
      <c r="S603" t="s">
        <v>96</v>
      </c>
      <c r="T603" t="s">
        <v>99</v>
      </c>
    </row>
    <row r="604" spans="1:21" x14ac:dyDescent="0.3">
      <c r="A604" t="s">
        <v>709</v>
      </c>
      <c r="B604" s="1">
        <v>46156</v>
      </c>
      <c r="C604" s="1">
        <v>46157</v>
      </c>
      <c r="D604" s="1">
        <v>46159</v>
      </c>
      <c r="E604" s="1">
        <v>46158</v>
      </c>
      <c r="F604" t="s">
        <v>31</v>
      </c>
      <c r="G604" t="s">
        <v>58</v>
      </c>
      <c r="H604" t="s">
        <v>21</v>
      </c>
      <c r="I604" t="s">
        <v>44</v>
      </c>
      <c r="J604">
        <v>197.2</v>
      </c>
      <c r="K604">
        <v>211.3</v>
      </c>
      <c r="L604">
        <v>2560000</v>
      </c>
      <c r="M604" t="b">
        <v>0</v>
      </c>
      <c r="N604" t="b">
        <v>0</v>
      </c>
      <c r="O604">
        <v>1500</v>
      </c>
      <c r="P604" t="b">
        <v>0</v>
      </c>
      <c r="Q604" t="b">
        <v>0</v>
      </c>
      <c r="R604" t="b">
        <v>0</v>
      </c>
      <c r="S604" t="s">
        <v>96</v>
      </c>
      <c r="T604" t="s">
        <v>102</v>
      </c>
    </row>
    <row r="605" spans="1:21" x14ac:dyDescent="0.3">
      <c r="A605" t="s">
        <v>710</v>
      </c>
      <c r="B605" s="1">
        <v>46067</v>
      </c>
      <c r="C605" s="1">
        <v>46067</v>
      </c>
      <c r="D605" s="1">
        <v>46072</v>
      </c>
      <c r="E605" s="1">
        <v>46072</v>
      </c>
      <c r="F605" t="s">
        <v>34</v>
      </c>
      <c r="G605" t="s">
        <v>60</v>
      </c>
      <c r="H605" t="s">
        <v>20</v>
      </c>
      <c r="I605" t="s">
        <v>45</v>
      </c>
      <c r="J605">
        <v>644.70000000000005</v>
      </c>
      <c r="K605">
        <v>636.5</v>
      </c>
      <c r="L605">
        <v>6079000</v>
      </c>
      <c r="M605" t="b">
        <v>0</v>
      </c>
      <c r="N605" t="b">
        <v>0</v>
      </c>
      <c r="O605">
        <v>1000</v>
      </c>
      <c r="P605" t="b">
        <v>0</v>
      </c>
      <c r="Q605" t="b">
        <v>0</v>
      </c>
      <c r="R605" t="b">
        <v>0</v>
      </c>
      <c r="S605" t="s">
        <v>96</v>
      </c>
      <c r="T605" t="s">
        <v>115</v>
      </c>
    </row>
    <row r="606" spans="1:21" x14ac:dyDescent="0.3">
      <c r="A606" t="s">
        <v>711</v>
      </c>
      <c r="B606" s="1">
        <v>46046</v>
      </c>
      <c r="C606" s="1">
        <v>46048</v>
      </c>
      <c r="D606" s="1">
        <v>46049</v>
      </c>
      <c r="E606" s="1">
        <v>46049</v>
      </c>
      <c r="F606" t="s">
        <v>34</v>
      </c>
      <c r="G606" t="s">
        <v>55</v>
      </c>
      <c r="H606" t="s">
        <v>24</v>
      </c>
      <c r="I606" t="s">
        <v>42</v>
      </c>
      <c r="J606">
        <v>47.3</v>
      </c>
      <c r="K606">
        <v>7565.5</v>
      </c>
      <c r="L606">
        <v>3977000</v>
      </c>
      <c r="M606" t="b">
        <v>0</v>
      </c>
      <c r="N606" t="b">
        <v>0</v>
      </c>
      <c r="O606">
        <v>16000</v>
      </c>
      <c r="P606" t="b">
        <v>0</v>
      </c>
      <c r="Q606" t="b">
        <v>0</v>
      </c>
      <c r="R606" t="b">
        <v>0</v>
      </c>
      <c r="S606" t="s">
        <v>96</v>
      </c>
      <c r="T606" t="s">
        <v>104</v>
      </c>
    </row>
    <row r="607" spans="1:21" x14ac:dyDescent="0.3">
      <c r="A607" t="s">
        <v>712</v>
      </c>
      <c r="B607" s="1">
        <v>46162</v>
      </c>
      <c r="C607" s="1">
        <v>46164</v>
      </c>
      <c r="D607" s="1">
        <v>46167</v>
      </c>
      <c r="E607" s="1">
        <v>46167</v>
      </c>
      <c r="F607" t="s">
        <v>34</v>
      </c>
      <c r="G607" t="s">
        <v>52</v>
      </c>
      <c r="H607" t="s">
        <v>20</v>
      </c>
      <c r="I607" t="s">
        <v>43</v>
      </c>
      <c r="J607">
        <v>277.10000000000002</v>
      </c>
      <c r="K607">
        <v>998.4</v>
      </c>
      <c r="L607">
        <v>4592000</v>
      </c>
      <c r="M607" t="b">
        <v>0</v>
      </c>
      <c r="N607" t="b">
        <v>0</v>
      </c>
      <c r="O607">
        <v>5000</v>
      </c>
      <c r="P607" t="b">
        <v>0</v>
      </c>
      <c r="Q607" t="b">
        <v>0</v>
      </c>
      <c r="R607" t="b">
        <v>0</v>
      </c>
      <c r="S607" t="s">
        <v>96</v>
      </c>
      <c r="T607" t="s">
        <v>102</v>
      </c>
    </row>
    <row r="608" spans="1:21" x14ac:dyDescent="0.3">
      <c r="A608" t="s">
        <v>713</v>
      </c>
      <c r="B608" s="1">
        <v>46172</v>
      </c>
      <c r="C608" s="1">
        <v>46173</v>
      </c>
      <c r="D608" s="1">
        <v>46176</v>
      </c>
      <c r="E608" s="1">
        <v>46176</v>
      </c>
      <c r="F608" t="s">
        <v>34</v>
      </c>
      <c r="G608" t="s">
        <v>53</v>
      </c>
      <c r="H608" t="s">
        <v>22</v>
      </c>
      <c r="I608" t="s">
        <v>43</v>
      </c>
      <c r="J608">
        <v>305.10000000000002</v>
      </c>
      <c r="K608">
        <v>1084.0999999999999</v>
      </c>
      <c r="L608">
        <v>4889000</v>
      </c>
      <c r="M608" t="b">
        <v>0</v>
      </c>
      <c r="N608" t="b">
        <v>0</v>
      </c>
      <c r="O608">
        <v>5000</v>
      </c>
      <c r="P608" t="b">
        <v>0</v>
      </c>
      <c r="Q608" t="b">
        <v>0</v>
      </c>
      <c r="R608" t="b">
        <v>0</v>
      </c>
      <c r="S608" t="s">
        <v>96</v>
      </c>
      <c r="T608" t="s">
        <v>102</v>
      </c>
    </row>
    <row r="609" spans="1:21" x14ac:dyDescent="0.3">
      <c r="A609" t="s">
        <v>714</v>
      </c>
      <c r="B609" s="1">
        <v>46166</v>
      </c>
      <c r="C609" s="1">
        <v>46166</v>
      </c>
      <c r="D609" s="1">
        <v>46169</v>
      </c>
      <c r="E609" s="1">
        <v>46169</v>
      </c>
      <c r="F609" t="s">
        <v>34</v>
      </c>
      <c r="G609" t="s">
        <v>60</v>
      </c>
      <c r="H609" t="s">
        <v>23</v>
      </c>
      <c r="I609" t="s">
        <v>43</v>
      </c>
      <c r="J609">
        <v>586</v>
      </c>
      <c r="K609">
        <v>1624.2</v>
      </c>
      <c r="L609">
        <v>9029000</v>
      </c>
      <c r="M609" t="b">
        <v>0</v>
      </c>
      <c r="N609" t="b">
        <v>0</v>
      </c>
      <c r="O609">
        <v>5000</v>
      </c>
      <c r="P609" t="b">
        <v>0</v>
      </c>
      <c r="Q609" t="b">
        <v>0</v>
      </c>
      <c r="R609" t="b">
        <v>0</v>
      </c>
      <c r="S609" t="s">
        <v>96</v>
      </c>
      <c r="T609" t="s">
        <v>102</v>
      </c>
    </row>
    <row r="610" spans="1:21" x14ac:dyDescent="0.3">
      <c r="A610" t="s">
        <v>715</v>
      </c>
      <c r="B610" s="1">
        <v>46098</v>
      </c>
      <c r="C610" s="1">
        <v>46099</v>
      </c>
      <c r="D610" s="1">
        <v>46103</v>
      </c>
      <c r="E610" s="1">
        <v>46103</v>
      </c>
      <c r="F610" t="s">
        <v>33</v>
      </c>
      <c r="G610" t="s">
        <v>56</v>
      </c>
      <c r="H610" t="s">
        <v>23</v>
      </c>
      <c r="I610" t="s">
        <v>44</v>
      </c>
      <c r="J610">
        <v>1509</v>
      </c>
      <c r="K610">
        <v>1301.9000000000001</v>
      </c>
      <c r="L610">
        <v>16959000</v>
      </c>
      <c r="M610" t="b">
        <v>0</v>
      </c>
      <c r="N610" t="b">
        <v>0</v>
      </c>
      <c r="O610">
        <v>1500</v>
      </c>
      <c r="P610" t="b">
        <v>0</v>
      </c>
      <c r="Q610" t="b">
        <v>0</v>
      </c>
      <c r="R610" t="b">
        <v>0</v>
      </c>
      <c r="S610" t="s">
        <v>96</v>
      </c>
      <c r="T610" t="s">
        <v>118</v>
      </c>
    </row>
    <row r="611" spans="1:21" x14ac:dyDescent="0.3">
      <c r="A611" t="s">
        <v>716</v>
      </c>
      <c r="B611" s="1">
        <v>46080</v>
      </c>
      <c r="C611" s="1">
        <v>46082</v>
      </c>
      <c r="D611" s="1">
        <v>46084</v>
      </c>
      <c r="E611" s="1">
        <v>46086</v>
      </c>
      <c r="F611" t="s">
        <v>31</v>
      </c>
      <c r="G611" t="s">
        <v>57</v>
      </c>
      <c r="H611" t="s">
        <v>22</v>
      </c>
      <c r="I611" t="s">
        <v>44</v>
      </c>
      <c r="J611">
        <v>140.5</v>
      </c>
      <c r="K611">
        <v>774.6</v>
      </c>
      <c r="L611">
        <v>2303000</v>
      </c>
      <c r="M611" t="b">
        <v>0</v>
      </c>
      <c r="N611" t="b">
        <v>0</v>
      </c>
      <c r="O611">
        <v>1500</v>
      </c>
      <c r="P611" t="b">
        <v>0</v>
      </c>
      <c r="Q611" t="b">
        <v>0</v>
      </c>
      <c r="R611" t="b">
        <v>0</v>
      </c>
      <c r="S611" t="s">
        <v>101</v>
      </c>
      <c r="T611" t="s">
        <v>118</v>
      </c>
      <c r="U611">
        <v>2</v>
      </c>
    </row>
    <row r="612" spans="1:21" x14ac:dyDescent="0.3">
      <c r="A612" t="s">
        <v>717</v>
      </c>
      <c r="B612" s="1">
        <v>46081</v>
      </c>
      <c r="C612" s="1">
        <v>46081</v>
      </c>
      <c r="D612" s="1">
        <v>46085</v>
      </c>
      <c r="E612" s="1">
        <v>46085</v>
      </c>
      <c r="F612" t="s">
        <v>34</v>
      </c>
      <c r="G612" t="s">
        <v>62</v>
      </c>
      <c r="H612" t="s">
        <v>21</v>
      </c>
      <c r="I612" t="s">
        <v>45</v>
      </c>
      <c r="J612">
        <v>781.1</v>
      </c>
      <c r="K612">
        <v>658.5</v>
      </c>
      <c r="L612">
        <v>7520000</v>
      </c>
      <c r="M612" t="b">
        <v>0</v>
      </c>
      <c r="N612" t="b">
        <v>0</v>
      </c>
      <c r="O612">
        <v>1000</v>
      </c>
      <c r="P612" t="b">
        <v>0</v>
      </c>
      <c r="Q612" t="b">
        <v>0</v>
      </c>
      <c r="R612" t="b">
        <v>0</v>
      </c>
      <c r="S612" t="s">
        <v>96</v>
      </c>
      <c r="T612" t="s">
        <v>115</v>
      </c>
    </row>
    <row r="613" spans="1:21" x14ac:dyDescent="0.3">
      <c r="A613" t="s">
        <v>718</v>
      </c>
      <c r="B613" s="1">
        <v>46156</v>
      </c>
      <c r="C613" s="1">
        <v>46157</v>
      </c>
      <c r="D613" s="1">
        <v>46160</v>
      </c>
      <c r="E613" s="1">
        <v>46160</v>
      </c>
      <c r="F613" t="s">
        <v>31</v>
      </c>
      <c r="G613" t="s">
        <v>52</v>
      </c>
      <c r="H613" t="s">
        <v>20</v>
      </c>
      <c r="I613" t="s">
        <v>44</v>
      </c>
      <c r="J613">
        <v>308.3</v>
      </c>
      <c r="K613">
        <v>241.6</v>
      </c>
      <c r="L613">
        <v>2811000</v>
      </c>
      <c r="M613" t="b">
        <v>0</v>
      </c>
      <c r="N613" t="b">
        <v>0</v>
      </c>
      <c r="O613">
        <v>1500</v>
      </c>
      <c r="P613" t="b">
        <v>0</v>
      </c>
      <c r="Q613" t="b">
        <v>0</v>
      </c>
      <c r="R613" t="b">
        <v>0</v>
      </c>
      <c r="S613" t="s">
        <v>96</v>
      </c>
      <c r="T613" t="s">
        <v>102</v>
      </c>
    </row>
    <row r="614" spans="1:21" x14ac:dyDescent="0.3">
      <c r="A614" t="s">
        <v>719</v>
      </c>
      <c r="B614" s="1">
        <v>46155</v>
      </c>
      <c r="C614" s="1">
        <v>46156</v>
      </c>
      <c r="D614" s="1">
        <v>46160</v>
      </c>
      <c r="F614" t="s">
        <v>33</v>
      </c>
      <c r="G614" t="s">
        <v>61</v>
      </c>
      <c r="H614" t="s">
        <v>20</v>
      </c>
      <c r="I614" t="s">
        <v>43</v>
      </c>
      <c r="J614">
        <v>671.8</v>
      </c>
      <c r="K614">
        <v>4197.2</v>
      </c>
      <c r="L614">
        <v>10445000</v>
      </c>
      <c r="M614" t="b">
        <v>0</v>
      </c>
      <c r="N614" t="b">
        <v>0</v>
      </c>
      <c r="O614">
        <v>5000</v>
      </c>
      <c r="P614" t="b">
        <v>0</v>
      </c>
      <c r="Q614" t="b">
        <v>0</v>
      </c>
      <c r="R614" t="b">
        <v>0</v>
      </c>
      <c r="S614" t="s">
        <v>203</v>
      </c>
      <c r="T614" t="s">
        <v>102</v>
      </c>
    </row>
    <row r="615" spans="1:21" x14ac:dyDescent="0.3">
      <c r="A615" t="s">
        <v>720</v>
      </c>
      <c r="B615" s="1">
        <v>46116</v>
      </c>
      <c r="C615" s="1">
        <v>46118</v>
      </c>
      <c r="D615" s="1">
        <v>46121</v>
      </c>
      <c r="E615" s="1">
        <v>46121</v>
      </c>
      <c r="F615" t="s">
        <v>34</v>
      </c>
      <c r="G615" t="s">
        <v>53</v>
      </c>
      <c r="H615" t="s">
        <v>24</v>
      </c>
      <c r="I615" t="s">
        <v>44</v>
      </c>
      <c r="J615">
        <v>338.7</v>
      </c>
      <c r="K615">
        <v>204.9</v>
      </c>
      <c r="L615">
        <v>3785000</v>
      </c>
      <c r="M615" t="b">
        <v>0</v>
      </c>
      <c r="N615" t="b">
        <v>0</v>
      </c>
      <c r="O615">
        <v>1500</v>
      </c>
      <c r="P615" t="b">
        <v>0</v>
      </c>
      <c r="Q615" t="b">
        <v>0</v>
      </c>
      <c r="R615" t="b">
        <v>0</v>
      </c>
      <c r="S615" t="s">
        <v>96</v>
      </c>
      <c r="T615" t="s">
        <v>112</v>
      </c>
    </row>
    <row r="616" spans="1:21" x14ac:dyDescent="0.3">
      <c r="A616" t="s">
        <v>721</v>
      </c>
      <c r="B616" s="1">
        <v>46127</v>
      </c>
      <c r="C616" s="1">
        <v>46127</v>
      </c>
      <c r="D616" s="1">
        <v>46130</v>
      </c>
      <c r="E616" s="1">
        <v>46129</v>
      </c>
      <c r="F616" t="s">
        <v>34</v>
      </c>
      <c r="G616" t="s">
        <v>59</v>
      </c>
      <c r="H616" t="s">
        <v>20</v>
      </c>
      <c r="I616" t="s">
        <v>43</v>
      </c>
      <c r="J616">
        <v>325.3</v>
      </c>
      <c r="K616">
        <v>1006.1</v>
      </c>
      <c r="L616">
        <v>5308000</v>
      </c>
      <c r="M616" t="b">
        <v>0</v>
      </c>
      <c r="N616" t="b">
        <v>0</v>
      </c>
      <c r="O616">
        <v>5000</v>
      </c>
      <c r="P616" t="b">
        <v>0</v>
      </c>
      <c r="Q616" t="b">
        <v>0</v>
      </c>
      <c r="R616" t="b">
        <v>0</v>
      </c>
      <c r="S616" t="s">
        <v>96</v>
      </c>
      <c r="T616" t="s">
        <v>112</v>
      </c>
    </row>
    <row r="617" spans="1:21" x14ac:dyDescent="0.3">
      <c r="A617" t="s">
        <v>722</v>
      </c>
      <c r="B617" s="1">
        <v>46189</v>
      </c>
      <c r="C617" s="1">
        <v>46191</v>
      </c>
      <c r="D617" s="1">
        <v>46193</v>
      </c>
      <c r="E617" s="1">
        <v>46193</v>
      </c>
      <c r="F617" t="s">
        <v>34</v>
      </c>
      <c r="G617" t="s">
        <v>55</v>
      </c>
      <c r="H617" t="s">
        <v>23</v>
      </c>
      <c r="I617" t="s">
        <v>43</v>
      </c>
      <c r="J617">
        <v>51.9</v>
      </c>
      <c r="K617">
        <v>729.3</v>
      </c>
      <c r="L617">
        <v>12362000</v>
      </c>
      <c r="M617" t="b">
        <v>0</v>
      </c>
      <c r="N617" t="b">
        <v>0</v>
      </c>
      <c r="O617">
        <v>5000</v>
      </c>
      <c r="P617" t="b">
        <v>0</v>
      </c>
      <c r="Q617" t="b">
        <v>0</v>
      </c>
      <c r="R617" t="b">
        <v>0</v>
      </c>
      <c r="S617" t="s">
        <v>96</v>
      </c>
      <c r="T617" t="s">
        <v>99</v>
      </c>
    </row>
    <row r="618" spans="1:21" x14ac:dyDescent="0.3">
      <c r="A618" t="s">
        <v>723</v>
      </c>
      <c r="B618" s="1">
        <v>46030</v>
      </c>
      <c r="C618" s="1">
        <v>46031</v>
      </c>
      <c r="D618" s="1">
        <v>46034</v>
      </c>
      <c r="E618" s="1">
        <v>46034</v>
      </c>
      <c r="F618" t="s">
        <v>31</v>
      </c>
      <c r="G618" t="s">
        <v>60</v>
      </c>
      <c r="H618" t="s">
        <v>20</v>
      </c>
      <c r="I618" t="s">
        <v>45</v>
      </c>
      <c r="J618">
        <v>590.20000000000005</v>
      </c>
      <c r="K618">
        <v>843.6</v>
      </c>
      <c r="L618">
        <v>5952000</v>
      </c>
      <c r="M618" t="b">
        <v>0</v>
      </c>
      <c r="N618" t="b">
        <v>0</v>
      </c>
      <c r="O618">
        <v>1000</v>
      </c>
      <c r="P618" t="b">
        <v>0</v>
      </c>
      <c r="Q618" t="b">
        <v>0</v>
      </c>
      <c r="R618" t="b">
        <v>0</v>
      </c>
      <c r="S618" t="s">
        <v>96</v>
      </c>
      <c r="T618" t="s">
        <v>104</v>
      </c>
    </row>
    <row r="619" spans="1:21" x14ac:dyDescent="0.3">
      <c r="A619" t="s">
        <v>724</v>
      </c>
      <c r="B619" s="1">
        <v>46125</v>
      </c>
      <c r="C619" s="1">
        <v>46125</v>
      </c>
      <c r="D619" s="1">
        <v>46128</v>
      </c>
      <c r="E619" s="1">
        <v>46128</v>
      </c>
      <c r="F619" t="s">
        <v>34</v>
      </c>
      <c r="G619" t="s">
        <v>54</v>
      </c>
      <c r="H619" t="s">
        <v>22</v>
      </c>
      <c r="I619" t="s">
        <v>42</v>
      </c>
      <c r="J619">
        <v>446</v>
      </c>
      <c r="K619">
        <v>8702.2000000000007</v>
      </c>
      <c r="L619">
        <v>10312000</v>
      </c>
      <c r="M619" t="b">
        <v>0</v>
      </c>
      <c r="N619" t="b">
        <v>0</v>
      </c>
      <c r="O619">
        <v>16000</v>
      </c>
      <c r="P619" t="b">
        <v>0</v>
      </c>
      <c r="Q619" t="b">
        <v>0</v>
      </c>
      <c r="R619" t="b">
        <v>0</v>
      </c>
      <c r="S619" t="s">
        <v>96</v>
      </c>
      <c r="T619" t="s">
        <v>112</v>
      </c>
    </row>
    <row r="620" spans="1:21" x14ac:dyDescent="0.3">
      <c r="A620" t="s">
        <v>725</v>
      </c>
      <c r="B620" s="1">
        <v>46052</v>
      </c>
      <c r="C620" s="1">
        <v>46053</v>
      </c>
      <c r="D620" s="1">
        <v>46055</v>
      </c>
      <c r="E620" s="1">
        <v>46055</v>
      </c>
      <c r="F620" t="s">
        <v>34</v>
      </c>
      <c r="G620" t="s">
        <v>57</v>
      </c>
      <c r="H620" t="s">
        <v>22</v>
      </c>
      <c r="I620" t="s">
        <v>42</v>
      </c>
      <c r="J620">
        <v>146.19999999999999</v>
      </c>
      <c r="K620">
        <v>3009.4</v>
      </c>
      <c r="L620">
        <v>4306000</v>
      </c>
      <c r="M620" t="b">
        <v>0</v>
      </c>
      <c r="N620" t="b">
        <v>0</v>
      </c>
      <c r="O620">
        <v>16000</v>
      </c>
      <c r="P620" t="b">
        <v>0</v>
      </c>
      <c r="Q620" t="b">
        <v>0</v>
      </c>
      <c r="R620" t="b">
        <v>0</v>
      </c>
      <c r="S620" t="s">
        <v>96</v>
      </c>
      <c r="T620" t="s">
        <v>104</v>
      </c>
    </row>
    <row r="621" spans="1:21" x14ac:dyDescent="0.3">
      <c r="A621" t="s">
        <v>726</v>
      </c>
      <c r="B621" s="1">
        <v>46186</v>
      </c>
      <c r="C621" s="1">
        <v>46186</v>
      </c>
      <c r="D621" s="1">
        <v>46190</v>
      </c>
      <c r="E621" s="1">
        <v>46190</v>
      </c>
      <c r="F621" t="s">
        <v>34</v>
      </c>
      <c r="G621" t="s">
        <v>56</v>
      </c>
      <c r="H621" t="s">
        <v>22</v>
      </c>
      <c r="I621" t="s">
        <v>43</v>
      </c>
      <c r="J621">
        <v>982.7</v>
      </c>
      <c r="K621">
        <v>2225.1999999999998</v>
      </c>
      <c r="L621">
        <v>13896000</v>
      </c>
      <c r="M621" t="b">
        <v>0</v>
      </c>
      <c r="N621" t="b">
        <v>0</v>
      </c>
      <c r="O621">
        <v>5000</v>
      </c>
      <c r="P621" t="b">
        <v>0</v>
      </c>
      <c r="Q621" t="b">
        <v>0</v>
      </c>
      <c r="R621" t="b">
        <v>0</v>
      </c>
      <c r="S621" t="s">
        <v>96</v>
      </c>
      <c r="T621" t="s">
        <v>99</v>
      </c>
    </row>
    <row r="622" spans="1:21" x14ac:dyDescent="0.3">
      <c r="A622" t="s">
        <v>727</v>
      </c>
      <c r="B622" s="1">
        <v>46131</v>
      </c>
      <c r="C622" s="1">
        <v>46131</v>
      </c>
      <c r="D622" s="1">
        <v>46133</v>
      </c>
      <c r="E622" s="1">
        <v>46134</v>
      </c>
      <c r="F622" t="s">
        <v>33</v>
      </c>
      <c r="G622" t="s">
        <v>62</v>
      </c>
      <c r="H622" t="s">
        <v>23</v>
      </c>
      <c r="I622" t="s">
        <v>43</v>
      </c>
      <c r="J622">
        <v>139.1</v>
      </c>
      <c r="K622">
        <v>2474.5</v>
      </c>
      <c r="L622">
        <v>2999000</v>
      </c>
      <c r="M622" t="b">
        <v>0</v>
      </c>
      <c r="N622" t="b">
        <v>0</v>
      </c>
      <c r="O622">
        <v>5000</v>
      </c>
      <c r="P622" t="b">
        <v>0</v>
      </c>
      <c r="Q622" t="b">
        <v>0</v>
      </c>
      <c r="R622" t="b">
        <v>0</v>
      </c>
      <c r="S622" t="s">
        <v>101</v>
      </c>
      <c r="T622" t="s">
        <v>112</v>
      </c>
      <c r="U622">
        <v>1</v>
      </c>
    </row>
    <row r="623" spans="1:21" x14ac:dyDescent="0.3">
      <c r="A623" t="s">
        <v>728</v>
      </c>
      <c r="B623" s="1">
        <v>46041</v>
      </c>
      <c r="C623" s="1">
        <v>46042</v>
      </c>
      <c r="D623" s="1">
        <v>46045</v>
      </c>
      <c r="E623" s="1">
        <v>46045</v>
      </c>
      <c r="F623" t="s">
        <v>34</v>
      </c>
      <c r="G623" t="s">
        <v>54</v>
      </c>
      <c r="H623" t="s">
        <v>21</v>
      </c>
      <c r="I623" t="s">
        <v>45</v>
      </c>
      <c r="J623">
        <v>454.2</v>
      </c>
      <c r="K623">
        <v>441.3</v>
      </c>
      <c r="L623">
        <v>4270000</v>
      </c>
      <c r="M623" t="b">
        <v>0</v>
      </c>
      <c r="N623" t="b">
        <v>0</v>
      </c>
      <c r="O623">
        <v>1000</v>
      </c>
      <c r="P623" t="b">
        <v>0</v>
      </c>
      <c r="Q623" t="b">
        <v>0</v>
      </c>
      <c r="R623" t="b">
        <v>0</v>
      </c>
      <c r="S623" t="s">
        <v>96</v>
      </c>
      <c r="T623" t="s">
        <v>104</v>
      </c>
    </row>
    <row r="624" spans="1:21" x14ac:dyDescent="0.3">
      <c r="A624" t="s">
        <v>729</v>
      </c>
      <c r="B624" s="1">
        <v>46165</v>
      </c>
      <c r="C624" s="1">
        <v>46166</v>
      </c>
      <c r="D624" s="1">
        <v>46169</v>
      </c>
      <c r="E624" s="1">
        <v>46168</v>
      </c>
      <c r="F624" t="s">
        <v>31</v>
      </c>
      <c r="G624" t="s">
        <v>54</v>
      </c>
      <c r="H624" t="s">
        <v>24</v>
      </c>
      <c r="I624" t="s">
        <v>45</v>
      </c>
      <c r="J624">
        <v>518</v>
      </c>
      <c r="K624">
        <v>466.3</v>
      </c>
      <c r="L624">
        <v>4959000</v>
      </c>
      <c r="M624" t="b">
        <v>0</v>
      </c>
      <c r="N624" t="b">
        <v>0</v>
      </c>
      <c r="O624">
        <v>1000</v>
      </c>
      <c r="P624" t="b">
        <v>0</v>
      </c>
      <c r="Q624" t="b">
        <v>0</v>
      </c>
      <c r="R624" t="b">
        <v>0</v>
      </c>
      <c r="S624" t="s">
        <v>96</v>
      </c>
      <c r="T624" t="s">
        <v>102</v>
      </c>
    </row>
    <row r="625" spans="1:21" x14ac:dyDescent="0.3">
      <c r="A625" t="s">
        <v>730</v>
      </c>
      <c r="B625" s="1">
        <v>46152</v>
      </c>
      <c r="C625" s="1">
        <v>46152</v>
      </c>
      <c r="D625" s="1">
        <v>46156</v>
      </c>
      <c r="E625" s="1">
        <v>46157</v>
      </c>
      <c r="F625" t="s">
        <v>33</v>
      </c>
      <c r="G625" t="s">
        <v>56</v>
      </c>
      <c r="H625" t="s">
        <v>22</v>
      </c>
      <c r="I625" t="s">
        <v>42</v>
      </c>
      <c r="J625">
        <v>1477.2</v>
      </c>
      <c r="K625">
        <v>12935.5</v>
      </c>
      <c r="L625">
        <v>32026000</v>
      </c>
      <c r="M625" t="b">
        <v>0</v>
      </c>
      <c r="N625" t="b">
        <v>0</v>
      </c>
      <c r="O625">
        <v>16000</v>
      </c>
      <c r="P625" t="b">
        <v>0</v>
      </c>
      <c r="Q625" t="b">
        <v>0</v>
      </c>
      <c r="R625" t="b">
        <v>0</v>
      </c>
      <c r="S625" t="s">
        <v>101</v>
      </c>
      <c r="T625" t="s">
        <v>102</v>
      </c>
      <c r="U625">
        <v>1</v>
      </c>
    </row>
    <row r="626" spans="1:21" x14ac:dyDescent="0.3">
      <c r="A626" t="s">
        <v>731</v>
      </c>
      <c r="B626" s="1">
        <v>46084</v>
      </c>
      <c r="C626" s="1">
        <v>46086</v>
      </c>
      <c r="D626" s="1">
        <v>46088</v>
      </c>
      <c r="E626" s="1">
        <v>46088</v>
      </c>
      <c r="F626" t="s">
        <v>34</v>
      </c>
      <c r="G626" t="s">
        <v>57</v>
      </c>
      <c r="H626" t="s">
        <v>24</v>
      </c>
      <c r="I626" t="s">
        <v>42</v>
      </c>
      <c r="J626">
        <v>172.4</v>
      </c>
      <c r="K626">
        <v>14741.8</v>
      </c>
      <c r="L626">
        <v>7949000</v>
      </c>
      <c r="M626" t="b">
        <v>0</v>
      </c>
      <c r="N626" t="b">
        <v>0</v>
      </c>
      <c r="O626">
        <v>16000</v>
      </c>
      <c r="P626" t="b">
        <v>0</v>
      </c>
      <c r="Q626" t="b">
        <v>0</v>
      </c>
      <c r="R626" t="b">
        <v>0</v>
      </c>
      <c r="S626" t="s">
        <v>96</v>
      </c>
      <c r="T626" t="s">
        <v>118</v>
      </c>
    </row>
    <row r="627" spans="1:21" x14ac:dyDescent="0.3">
      <c r="A627" t="s">
        <v>732</v>
      </c>
      <c r="B627" s="1">
        <v>46138</v>
      </c>
      <c r="C627" s="1">
        <v>46140</v>
      </c>
      <c r="D627" s="1">
        <v>46143</v>
      </c>
      <c r="E627" s="1">
        <v>46143</v>
      </c>
      <c r="F627" t="s">
        <v>34</v>
      </c>
      <c r="G627" t="s">
        <v>54</v>
      </c>
      <c r="H627" t="s">
        <v>22</v>
      </c>
      <c r="I627" t="s">
        <v>43</v>
      </c>
      <c r="J627">
        <v>457.1</v>
      </c>
      <c r="K627">
        <v>3144.8</v>
      </c>
      <c r="L627">
        <v>6723000</v>
      </c>
      <c r="M627" t="b">
        <v>0</v>
      </c>
      <c r="N627" t="b">
        <v>0</v>
      </c>
      <c r="O627">
        <v>5000</v>
      </c>
      <c r="P627" t="b">
        <v>0</v>
      </c>
      <c r="Q627" t="b">
        <v>0</v>
      </c>
      <c r="R627" t="b">
        <v>0</v>
      </c>
      <c r="S627" t="s">
        <v>96</v>
      </c>
      <c r="T627" t="s">
        <v>112</v>
      </c>
    </row>
    <row r="628" spans="1:21" x14ac:dyDescent="0.3">
      <c r="A628" t="s">
        <v>733</v>
      </c>
      <c r="B628" s="1">
        <v>46105</v>
      </c>
      <c r="C628" s="1">
        <v>46106</v>
      </c>
      <c r="D628" s="1">
        <v>46109</v>
      </c>
      <c r="E628" s="1">
        <v>46109</v>
      </c>
      <c r="F628" t="s">
        <v>31</v>
      </c>
      <c r="G628" t="s">
        <v>63</v>
      </c>
      <c r="H628" t="s">
        <v>24</v>
      </c>
      <c r="I628" t="s">
        <v>43</v>
      </c>
      <c r="J628">
        <v>286.7</v>
      </c>
      <c r="K628">
        <v>2413.3000000000002</v>
      </c>
      <c r="L628">
        <v>4848000</v>
      </c>
      <c r="M628" t="b">
        <v>0</v>
      </c>
      <c r="N628" t="b">
        <v>0</v>
      </c>
      <c r="O628">
        <v>5000</v>
      </c>
      <c r="P628" t="b">
        <v>0</v>
      </c>
      <c r="Q628" t="b">
        <v>0</v>
      </c>
      <c r="R628" t="b">
        <v>0</v>
      </c>
      <c r="S628" t="s">
        <v>96</v>
      </c>
      <c r="T628" t="s">
        <v>118</v>
      </c>
    </row>
    <row r="629" spans="1:21" x14ac:dyDescent="0.3">
      <c r="A629" t="s">
        <v>734</v>
      </c>
      <c r="B629" s="1">
        <v>46176</v>
      </c>
      <c r="C629" s="1">
        <v>46177</v>
      </c>
      <c r="D629" s="1">
        <v>46179</v>
      </c>
      <c r="E629" s="1">
        <v>46180</v>
      </c>
      <c r="F629" t="s">
        <v>33</v>
      </c>
      <c r="G629" t="s">
        <v>62</v>
      </c>
      <c r="H629" t="s">
        <v>24</v>
      </c>
      <c r="I629" t="s">
        <v>45</v>
      </c>
      <c r="J629">
        <v>154.5</v>
      </c>
      <c r="K629">
        <v>858.8</v>
      </c>
      <c r="L629">
        <v>2132000</v>
      </c>
      <c r="M629" t="b">
        <v>0</v>
      </c>
      <c r="N629" t="b">
        <v>0</v>
      </c>
      <c r="O629">
        <v>1000</v>
      </c>
      <c r="P629" t="b">
        <v>0</v>
      </c>
      <c r="Q629" t="b">
        <v>0</v>
      </c>
      <c r="R629" t="b">
        <v>0</v>
      </c>
      <c r="S629" t="s">
        <v>101</v>
      </c>
      <c r="T629" t="s">
        <v>99</v>
      </c>
      <c r="U629">
        <v>1</v>
      </c>
    </row>
    <row r="630" spans="1:21" x14ac:dyDescent="0.3">
      <c r="A630" t="s">
        <v>735</v>
      </c>
      <c r="B630" s="1">
        <v>46149</v>
      </c>
      <c r="C630" s="1">
        <v>46150</v>
      </c>
      <c r="D630" s="1">
        <v>46152</v>
      </c>
      <c r="E630" s="1">
        <v>46151</v>
      </c>
      <c r="F630" t="s">
        <v>34</v>
      </c>
      <c r="G630" t="s">
        <v>52</v>
      </c>
      <c r="H630" t="s">
        <v>20</v>
      </c>
      <c r="I630" t="s">
        <v>44</v>
      </c>
      <c r="J630">
        <v>269.89999999999998</v>
      </c>
      <c r="K630">
        <v>1351.9</v>
      </c>
      <c r="L630">
        <v>4397000</v>
      </c>
      <c r="M630" t="b">
        <v>0</v>
      </c>
      <c r="N630" t="b">
        <v>0</v>
      </c>
      <c r="O630">
        <v>1500</v>
      </c>
      <c r="P630" t="b">
        <v>0</v>
      </c>
      <c r="Q630" t="b">
        <v>0</v>
      </c>
      <c r="R630" t="b">
        <v>0</v>
      </c>
      <c r="S630" t="s">
        <v>96</v>
      </c>
      <c r="T630" t="s">
        <v>102</v>
      </c>
    </row>
    <row r="631" spans="1:21" x14ac:dyDescent="0.3">
      <c r="A631" t="s">
        <v>736</v>
      </c>
      <c r="B631" s="1">
        <v>46130</v>
      </c>
      <c r="C631" s="1">
        <v>46132</v>
      </c>
      <c r="D631" s="1">
        <v>46137</v>
      </c>
      <c r="E631" s="1">
        <v>46137</v>
      </c>
      <c r="F631" t="s">
        <v>33</v>
      </c>
      <c r="G631" t="s">
        <v>61</v>
      </c>
      <c r="H631" t="s">
        <v>22</v>
      </c>
      <c r="I631" t="s">
        <v>45</v>
      </c>
      <c r="J631">
        <v>601.1</v>
      </c>
      <c r="K631">
        <v>639.6</v>
      </c>
      <c r="L631">
        <v>5956000</v>
      </c>
      <c r="M631" t="b">
        <v>0</v>
      </c>
      <c r="N631" t="b">
        <v>0</v>
      </c>
      <c r="O631">
        <v>1000</v>
      </c>
      <c r="P631" t="b">
        <v>0</v>
      </c>
      <c r="Q631" t="b">
        <v>0</v>
      </c>
      <c r="R631" t="b">
        <v>0</v>
      </c>
      <c r="S631" t="s">
        <v>96</v>
      </c>
      <c r="T631" t="s">
        <v>112</v>
      </c>
    </row>
    <row r="632" spans="1:21" x14ac:dyDescent="0.3">
      <c r="A632" t="s">
        <v>737</v>
      </c>
      <c r="B632" s="1">
        <v>46114</v>
      </c>
      <c r="C632" s="1">
        <v>46115</v>
      </c>
      <c r="D632" s="1">
        <v>46118</v>
      </c>
      <c r="E632" s="1">
        <v>46118</v>
      </c>
      <c r="F632" t="s">
        <v>34</v>
      </c>
      <c r="G632" t="s">
        <v>59</v>
      </c>
      <c r="H632" t="s">
        <v>24</v>
      </c>
      <c r="I632" t="s">
        <v>43</v>
      </c>
      <c r="J632">
        <v>332.3</v>
      </c>
      <c r="K632">
        <v>2789.1</v>
      </c>
      <c r="L632">
        <v>6377000</v>
      </c>
      <c r="M632" t="b">
        <v>0</v>
      </c>
      <c r="N632" t="b">
        <v>0</v>
      </c>
      <c r="O632">
        <v>5000</v>
      </c>
      <c r="P632" t="b">
        <v>0</v>
      </c>
      <c r="Q632" t="b">
        <v>0</v>
      </c>
      <c r="R632" t="b">
        <v>0</v>
      </c>
      <c r="S632" t="s">
        <v>96</v>
      </c>
      <c r="T632" t="s">
        <v>112</v>
      </c>
    </row>
    <row r="633" spans="1:21" x14ac:dyDescent="0.3">
      <c r="A633" t="s">
        <v>738</v>
      </c>
      <c r="B633" s="1">
        <v>46105</v>
      </c>
      <c r="C633" s="1">
        <v>46106</v>
      </c>
      <c r="D633" s="1">
        <v>46109</v>
      </c>
      <c r="E633" s="1">
        <v>46109</v>
      </c>
      <c r="F633" t="s">
        <v>34</v>
      </c>
      <c r="G633" t="s">
        <v>63</v>
      </c>
      <c r="H633" t="s">
        <v>20</v>
      </c>
      <c r="I633" t="s">
        <v>45</v>
      </c>
      <c r="J633">
        <v>340.1</v>
      </c>
      <c r="K633">
        <v>319.39999999999998</v>
      </c>
      <c r="L633">
        <v>3103000</v>
      </c>
      <c r="M633" t="b">
        <v>0</v>
      </c>
      <c r="N633" t="b">
        <v>0</v>
      </c>
      <c r="O633">
        <v>1000</v>
      </c>
      <c r="P633" t="b">
        <v>0</v>
      </c>
      <c r="Q633" t="b">
        <v>0</v>
      </c>
      <c r="R633" t="b">
        <v>0</v>
      </c>
      <c r="S633" t="s">
        <v>96</v>
      </c>
      <c r="T633" t="s">
        <v>118</v>
      </c>
    </row>
    <row r="634" spans="1:21" x14ac:dyDescent="0.3">
      <c r="A634" t="s">
        <v>739</v>
      </c>
      <c r="B634" s="1">
        <v>46054</v>
      </c>
      <c r="C634" s="1">
        <v>46056</v>
      </c>
      <c r="D634" s="1">
        <v>46059</v>
      </c>
      <c r="E634" s="1">
        <v>46060</v>
      </c>
      <c r="F634" t="s">
        <v>34</v>
      </c>
      <c r="G634" t="s">
        <v>54</v>
      </c>
      <c r="H634" t="s">
        <v>23</v>
      </c>
      <c r="I634" t="s">
        <v>44</v>
      </c>
      <c r="J634">
        <v>456.3</v>
      </c>
      <c r="K634">
        <v>1053.8</v>
      </c>
      <c r="L634">
        <v>5266000</v>
      </c>
      <c r="M634" t="b">
        <v>0</v>
      </c>
      <c r="N634" t="b">
        <v>0</v>
      </c>
      <c r="O634">
        <v>1500</v>
      </c>
      <c r="P634" t="b">
        <v>0</v>
      </c>
      <c r="Q634" t="b">
        <v>0</v>
      </c>
      <c r="R634" t="b">
        <v>0</v>
      </c>
      <c r="S634" t="s">
        <v>101</v>
      </c>
      <c r="T634" t="s">
        <v>115</v>
      </c>
      <c r="U634">
        <v>1</v>
      </c>
    </row>
    <row r="635" spans="1:21" x14ac:dyDescent="0.3">
      <c r="A635" t="s">
        <v>740</v>
      </c>
      <c r="B635" s="1">
        <v>46033</v>
      </c>
      <c r="C635" s="1">
        <v>46034</v>
      </c>
      <c r="D635" s="1">
        <v>46035</v>
      </c>
      <c r="E635" s="1">
        <v>46035</v>
      </c>
      <c r="F635" t="s">
        <v>34</v>
      </c>
      <c r="G635" t="s">
        <v>55</v>
      </c>
      <c r="H635" t="s">
        <v>20</v>
      </c>
      <c r="I635" t="s">
        <v>45</v>
      </c>
      <c r="J635">
        <v>55</v>
      </c>
      <c r="K635">
        <v>595.70000000000005</v>
      </c>
      <c r="L635">
        <v>1063000</v>
      </c>
      <c r="M635" t="b">
        <v>0</v>
      </c>
      <c r="N635" t="b">
        <v>0</v>
      </c>
      <c r="O635">
        <v>1000</v>
      </c>
      <c r="P635" t="b">
        <v>0</v>
      </c>
      <c r="Q635" t="b">
        <v>0</v>
      </c>
      <c r="R635" t="b">
        <v>0</v>
      </c>
      <c r="S635" t="s">
        <v>96</v>
      </c>
      <c r="T635" t="s">
        <v>104</v>
      </c>
    </row>
    <row r="636" spans="1:21" x14ac:dyDescent="0.3">
      <c r="A636" t="s">
        <v>741</v>
      </c>
      <c r="B636" s="1">
        <v>46156</v>
      </c>
      <c r="C636" s="1">
        <v>46157</v>
      </c>
      <c r="D636" s="1">
        <v>46159</v>
      </c>
      <c r="E636" s="1">
        <v>46159</v>
      </c>
      <c r="F636" t="s">
        <v>31</v>
      </c>
      <c r="G636" t="s">
        <v>63</v>
      </c>
      <c r="H636" t="s">
        <v>21</v>
      </c>
      <c r="I636" t="s">
        <v>44</v>
      </c>
      <c r="J636">
        <v>292.8</v>
      </c>
      <c r="K636">
        <v>551.9</v>
      </c>
      <c r="L636">
        <v>3679000</v>
      </c>
      <c r="M636" t="b">
        <v>0</v>
      </c>
      <c r="N636" t="b">
        <v>0</v>
      </c>
      <c r="O636">
        <v>1500</v>
      </c>
      <c r="P636" t="b">
        <v>0</v>
      </c>
      <c r="Q636" t="b">
        <v>0</v>
      </c>
      <c r="R636" t="b">
        <v>0</v>
      </c>
      <c r="S636" t="s">
        <v>96</v>
      </c>
      <c r="T636" t="s">
        <v>102</v>
      </c>
    </row>
    <row r="637" spans="1:21" x14ac:dyDescent="0.3">
      <c r="A637" t="s">
        <v>742</v>
      </c>
      <c r="B637" s="1">
        <v>46079</v>
      </c>
      <c r="C637" s="1">
        <v>46080</v>
      </c>
      <c r="D637" s="1">
        <v>46084</v>
      </c>
      <c r="E637" s="1">
        <v>46084</v>
      </c>
      <c r="F637" t="s">
        <v>34</v>
      </c>
      <c r="G637" t="s">
        <v>62</v>
      </c>
      <c r="H637" t="s">
        <v>20</v>
      </c>
      <c r="I637" t="s">
        <v>43</v>
      </c>
      <c r="J637">
        <v>746.6</v>
      </c>
      <c r="K637">
        <v>990.6</v>
      </c>
      <c r="L637">
        <v>9237000</v>
      </c>
      <c r="M637" t="b">
        <v>0</v>
      </c>
      <c r="N637" t="b">
        <v>0</v>
      </c>
      <c r="O637">
        <v>5000</v>
      </c>
      <c r="P637" t="b">
        <v>0</v>
      </c>
      <c r="Q637" t="b">
        <v>0</v>
      </c>
      <c r="R637" t="b">
        <v>0</v>
      </c>
      <c r="S637" t="s">
        <v>96</v>
      </c>
      <c r="T637" t="s">
        <v>115</v>
      </c>
    </row>
    <row r="638" spans="1:21" x14ac:dyDescent="0.3">
      <c r="A638" t="s">
        <v>743</v>
      </c>
      <c r="B638" s="1">
        <v>46077</v>
      </c>
      <c r="C638" s="1">
        <v>46078</v>
      </c>
      <c r="D638" s="1">
        <v>46081</v>
      </c>
      <c r="E638" s="1">
        <v>46080</v>
      </c>
      <c r="F638" t="s">
        <v>31</v>
      </c>
      <c r="G638" t="s">
        <v>63</v>
      </c>
      <c r="H638" t="s">
        <v>21</v>
      </c>
      <c r="I638" t="s">
        <v>43</v>
      </c>
      <c r="J638">
        <v>301.7</v>
      </c>
      <c r="K638">
        <v>2055.8000000000002</v>
      </c>
      <c r="L638">
        <v>5141000</v>
      </c>
      <c r="M638" t="b">
        <v>0</v>
      </c>
      <c r="N638" t="b">
        <v>0</v>
      </c>
      <c r="O638">
        <v>5000</v>
      </c>
      <c r="P638" t="b">
        <v>0</v>
      </c>
      <c r="Q638" t="b">
        <v>0</v>
      </c>
      <c r="R638" t="b">
        <v>0</v>
      </c>
      <c r="S638" t="s">
        <v>96</v>
      </c>
      <c r="T638" t="s">
        <v>115</v>
      </c>
    </row>
    <row r="639" spans="1:21" x14ac:dyDescent="0.3">
      <c r="A639" t="s">
        <v>744</v>
      </c>
      <c r="B639" s="1">
        <v>46175</v>
      </c>
      <c r="C639" s="1">
        <v>46176</v>
      </c>
      <c r="D639" s="1">
        <v>46177</v>
      </c>
      <c r="E639" s="1">
        <v>46177</v>
      </c>
      <c r="F639" t="s">
        <v>31</v>
      </c>
      <c r="G639" t="s">
        <v>61</v>
      </c>
      <c r="H639" t="s">
        <v>21</v>
      </c>
      <c r="I639" t="s">
        <v>45</v>
      </c>
      <c r="J639">
        <v>55.2</v>
      </c>
      <c r="K639">
        <v>820.6</v>
      </c>
      <c r="L639">
        <v>1320000</v>
      </c>
      <c r="M639" t="b">
        <v>0</v>
      </c>
      <c r="N639" t="b">
        <v>0</v>
      </c>
      <c r="O639">
        <v>1000</v>
      </c>
      <c r="P639" t="b">
        <v>0</v>
      </c>
      <c r="Q639" t="b">
        <v>0</v>
      </c>
      <c r="R639" t="b">
        <v>0</v>
      </c>
      <c r="S639" t="s">
        <v>96</v>
      </c>
      <c r="T639" t="s">
        <v>99</v>
      </c>
    </row>
    <row r="640" spans="1:21" x14ac:dyDescent="0.3">
      <c r="A640" t="s">
        <v>745</v>
      </c>
      <c r="B640" s="1">
        <v>46196</v>
      </c>
      <c r="C640" s="1">
        <v>46197</v>
      </c>
      <c r="D640" s="1">
        <v>46201</v>
      </c>
      <c r="E640" s="1">
        <v>46202</v>
      </c>
      <c r="F640" t="s">
        <v>33</v>
      </c>
      <c r="G640" t="s">
        <v>61</v>
      </c>
      <c r="H640" t="s">
        <v>22</v>
      </c>
      <c r="I640" t="s">
        <v>43</v>
      </c>
      <c r="J640">
        <v>664.3</v>
      </c>
      <c r="K640">
        <v>4340.1000000000004</v>
      </c>
      <c r="L640">
        <v>10401000</v>
      </c>
      <c r="M640" t="b">
        <v>0</v>
      </c>
      <c r="N640" t="b">
        <v>0</v>
      </c>
      <c r="O640">
        <v>5000</v>
      </c>
      <c r="P640" t="b">
        <v>0</v>
      </c>
      <c r="Q640" t="b">
        <v>0</v>
      </c>
      <c r="R640" t="b">
        <v>0</v>
      </c>
      <c r="S640" t="s">
        <v>101</v>
      </c>
      <c r="T640" t="s">
        <v>99</v>
      </c>
      <c r="U640">
        <v>1</v>
      </c>
    </row>
    <row r="641" spans="1:21" x14ac:dyDescent="0.3">
      <c r="A641" t="s">
        <v>746</v>
      </c>
      <c r="B641" s="1">
        <v>46175</v>
      </c>
      <c r="C641" s="1">
        <v>46176</v>
      </c>
      <c r="D641" s="1">
        <v>46180</v>
      </c>
      <c r="E641" s="1">
        <v>46179</v>
      </c>
      <c r="F641" t="s">
        <v>31</v>
      </c>
      <c r="G641" t="s">
        <v>59</v>
      </c>
      <c r="H641" t="s">
        <v>24</v>
      </c>
      <c r="I641" t="s">
        <v>44</v>
      </c>
      <c r="J641">
        <v>324.8</v>
      </c>
      <c r="K641">
        <v>300.5</v>
      </c>
      <c r="L641">
        <v>3398000</v>
      </c>
      <c r="M641" t="b">
        <v>0</v>
      </c>
      <c r="N641" t="b">
        <v>0</v>
      </c>
      <c r="O641">
        <v>1500</v>
      </c>
      <c r="P641" t="b">
        <v>0</v>
      </c>
      <c r="Q641" t="b">
        <v>0</v>
      </c>
      <c r="R641" t="b">
        <v>0</v>
      </c>
      <c r="S641" t="s">
        <v>96</v>
      </c>
      <c r="T641" t="s">
        <v>99</v>
      </c>
    </row>
    <row r="642" spans="1:21" x14ac:dyDescent="0.3">
      <c r="A642" t="s">
        <v>747</v>
      </c>
      <c r="B642" s="1">
        <v>46063</v>
      </c>
      <c r="C642" s="1">
        <v>46063</v>
      </c>
      <c r="D642" s="1">
        <v>46066</v>
      </c>
      <c r="E642" s="1">
        <v>46065</v>
      </c>
      <c r="F642" t="s">
        <v>33</v>
      </c>
      <c r="G642" t="s">
        <v>57</v>
      </c>
      <c r="H642" t="s">
        <v>23</v>
      </c>
      <c r="I642" t="s">
        <v>45</v>
      </c>
      <c r="J642">
        <v>479.9</v>
      </c>
      <c r="K642">
        <v>855.3</v>
      </c>
      <c r="L642">
        <v>4439000</v>
      </c>
      <c r="M642" t="b">
        <v>0</v>
      </c>
      <c r="N642" t="b">
        <v>0</v>
      </c>
      <c r="O642">
        <v>1000</v>
      </c>
      <c r="P642" t="b">
        <v>0</v>
      </c>
      <c r="Q642" t="b">
        <v>0</v>
      </c>
      <c r="R642" t="b">
        <v>0</v>
      </c>
      <c r="S642" t="s">
        <v>96</v>
      </c>
      <c r="T642" t="s">
        <v>115</v>
      </c>
    </row>
    <row r="643" spans="1:21" x14ac:dyDescent="0.3">
      <c r="A643" t="s">
        <v>748</v>
      </c>
      <c r="B643" s="1">
        <v>46052</v>
      </c>
      <c r="C643" s="1">
        <v>46053</v>
      </c>
      <c r="D643" s="1">
        <v>46056</v>
      </c>
      <c r="E643" s="1">
        <v>46057</v>
      </c>
      <c r="F643" t="s">
        <v>31</v>
      </c>
      <c r="G643" t="s">
        <v>63</v>
      </c>
      <c r="H643" t="s">
        <v>24</v>
      </c>
      <c r="I643" t="s">
        <v>45</v>
      </c>
      <c r="J643">
        <v>312.3</v>
      </c>
      <c r="K643">
        <v>629.70000000000005</v>
      </c>
      <c r="L643">
        <v>2839000</v>
      </c>
      <c r="M643" t="b">
        <v>0</v>
      </c>
      <c r="N643" t="b">
        <v>0</v>
      </c>
      <c r="O643">
        <v>1000</v>
      </c>
      <c r="P643" t="b">
        <v>0</v>
      </c>
      <c r="Q643" t="b">
        <v>0</v>
      </c>
      <c r="R643" t="b">
        <v>0</v>
      </c>
      <c r="S643" t="s">
        <v>101</v>
      </c>
      <c r="T643" t="s">
        <v>104</v>
      </c>
      <c r="U643">
        <v>1</v>
      </c>
    </row>
    <row r="644" spans="1:21" x14ac:dyDescent="0.3">
      <c r="A644" t="s">
        <v>749</v>
      </c>
      <c r="B644" s="1">
        <v>46141</v>
      </c>
      <c r="C644" s="1">
        <v>46142</v>
      </c>
      <c r="D644" s="1">
        <v>46145</v>
      </c>
      <c r="E644" s="1">
        <v>46145</v>
      </c>
      <c r="F644" t="s">
        <v>34</v>
      </c>
      <c r="G644" t="s">
        <v>63</v>
      </c>
      <c r="H644" t="s">
        <v>21</v>
      </c>
      <c r="I644" t="s">
        <v>43</v>
      </c>
      <c r="J644">
        <v>355.5</v>
      </c>
      <c r="K644">
        <v>2063.8000000000002</v>
      </c>
      <c r="L644">
        <v>5583000</v>
      </c>
      <c r="M644" t="b">
        <v>0</v>
      </c>
      <c r="N644" t="b">
        <v>0</v>
      </c>
      <c r="O644">
        <v>5000</v>
      </c>
      <c r="P644" t="b">
        <v>0</v>
      </c>
      <c r="Q644" t="b">
        <v>0</v>
      </c>
      <c r="R644" t="b">
        <v>0</v>
      </c>
      <c r="S644" t="s">
        <v>96</v>
      </c>
      <c r="T644" t="s">
        <v>112</v>
      </c>
    </row>
    <row r="645" spans="1:21" x14ac:dyDescent="0.3">
      <c r="A645" t="s">
        <v>750</v>
      </c>
      <c r="B645" s="1">
        <v>46038</v>
      </c>
      <c r="C645" s="1">
        <v>46039</v>
      </c>
      <c r="D645" s="1">
        <v>46042</v>
      </c>
      <c r="E645" s="1">
        <v>46042</v>
      </c>
      <c r="F645" t="s">
        <v>34</v>
      </c>
      <c r="G645" t="s">
        <v>59</v>
      </c>
      <c r="H645" t="s">
        <v>23</v>
      </c>
      <c r="I645" t="s">
        <v>43</v>
      </c>
      <c r="J645">
        <v>335.1</v>
      </c>
      <c r="K645">
        <v>2688.4</v>
      </c>
      <c r="L645">
        <v>6475000</v>
      </c>
      <c r="M645" t="b">
        <v>0</v>
      </c>
      <c r="N645" t="b">
        <v>0</v>
      </c>
      <c r="O645">
        <v>5000</v>
      </c>
      <c r="P645" t="b">
        <v>0</v>
      </c>
      <c r="Q645" t="b">
        <v>0</v>
      </c>
      <c r="R645" t="b">
        <v>0</v>
      </c>
      <c r="S645" t="s">
        <v>96</v>
      </c>
      <c r="T645" t="s">
        <v>104</v>
      </c>
    </row>
    <row r="646" spans="1:21" x14ac:dyDescent="0.3">
      <c r="A646" t="s">
        <v>751</v>
      </c>
      <c r="B646" s="1">
        <v>46144</v>
      </c>
      <c r="C646" s="1">
        <v>46144</v>
      </c>
      <c r="D646" s="1">
        <v>46148</v>
      </c>
      <c r="E646" s="1">
        <v>46149</v>
      </c>
      <c r="F646" t="s">
        <v>34</v>
      </c>
      <c r="G646" t="s">
        <v>62</v>
      </c>
      <c r="H646" t="s">
        <v>22</v>
      </c>
      <c r="I646" t="s">
        <v>43</v>
      </c>
      <c r="J646">
        <v>645.4</v>
      </c>
      <c r="K646">
        <v>2130.1</v>
      </c>
      <c r="L646">
        <v>9192000</v>
      </c>
      <c r="M646" t="b">
        <v>0</v>
      </c>
      <c r="N646" t="b">
        <v>0</v>
      </c>
      <c r="O646">
        <v>5000</v>
      </c>
      <c r="P646" t="b">
        <v>0</v>
      </c>
      <c r="Q646" t="b">
        <v>0</v>
      </c>
      <c r="R646" t="b">
        <v>0</v>
      </c>
      <c r="S646" t="s">
        <v>101</v>
      </c>
      <c r="T646" t="s">
        <v>102</v>
      </c>
      <c r="U646">
        <v>1</v>
      </c>
    </row>
    <row r="647" spans="1:21" x14ac:dyDescent="0.3">
      <c r="A647" t="s">
        <v>752</v>
      </c>
      <c r="B647" s="1">
        <v>46095</v>
      </c>
      <c r="C647" s="1">
        <v>46096</v>
      </c>
      <c r="D647" s="1">
        <v>46100</v>
      </c>
      <c r="E647" s="1">
        <v>46100</v>
      </c>
      <c r="F647" t="s">
        <v>32</v>
      </c>
      <c r="G647" t="s">
        <v>56</v>
      </c>
      <c r="H647" t="s">
        <v>21</v>
      </c>
      <c r="I647" t="s">
        <v>43</v>
      </c>
      <c r="J647">
        <v>1128.9000000000001</v>
      </c>
      <c r="K647">
        <v>912.7</v>
      </c>
      <c r="L647">
        <v>15051000</v>
      </c>
      <c r="M647" t="b">
        <v>0</v>
      </c>
      <c r="N647" t="b">
        <v>0</v>
      </c>
      <c r="O647">
        <v>5000</v>
      </c>
      <c r="P647" t="b">
        <v>0</v>
      </c>
      <c r="Q647" t="b">
        <v>0</v>
      </c>
      <c r="R647" t="b">
        <v>0</v>
      </c>
      <c r="S647" t="s">
        <v>96</v>
      </c>
      <c r="T647" t="s">
        <v>118</v>
      </c>
    </row>
    <row r="648" spans="1:21" x14ac:dyDescent="0.3">
      <c r="A648" t="s">
        <v>753</v>
      </c>
      <c r="B648" s="1">
        <v>46106</v>
      </c>
      <c r="C648" s="1">
        <v>46106</v>
      </c>
      <c r="D648" s="1">
        <v>46110</v>
      </c>
      <c r="E648" s="1">
        <v>46111</v>
      </c>
      <c r="F648" t="s">
        <v>34</v>
      </c>
      <c r="G648" t="s">
        <v>60</v>
      </c>
      <c r="H648" t="s">
        <v>20</v>
      </c>
      <c r="I648" t="s">
        <v>43</v>
      </c>
      <c r="J648">
        <v>626.5</v>
      </c>
      <c r="K648">
        <v>1357.8</v>
      </c>
      <c r="L648">
        <v>9691000</v>
      </c>
      <c r="M648" t="b">
        <v>0</v>
      </c>
      <c r="N648" t="b">
        <v>0</v>
      </c>
      <c r="O648">
        <v>5000</v>
      </c>
      <c r="P648" t="b">
        <v>0</v>
      </c>
      <c r="Q648" t="b">
        <v>0</v>
      </c>
      <c r="R648" t="b">
        <v>0</v>
      </c>
      <c r="S648" t="s">
        <v>101</v>
      </c>
      <c r="T648" t="s">
        <v>118</v>
      </c>
      <c r="U648">
        <v>1</v>
      </c>
    </row>
    <row r="649" spans="1:21" x14ac:dyDescent="0.3">
      <c r="A649" t="s">
        <v>754</v>
      </c>
      <c r="B649" s="1">
        <v>46109</v>
      </c>
      <c r="C649" s="1">
        <v>46110</v>
      </c>
      <c r="D649" s="1">
        <v>46112</v>
      </c>
      <c r="E649" s="1">
        <v>46112</v>
      </c>
      <c r="F649" t="s">
        <v>31</v>
      </c>
      <c r="G649" t="s">
        <v>57</v>
      </c>
      <c r="H649" t="s">
        <v>20</v>
      </c>
      <c r="I649" t="s">
        <v>43</v>
      </c>
      <c r="J649">
        <v>131.6</v>
      </c>
      <c r="K649">
        <v>3308.6</v>
      </c>
      <c r="L649">
        <v>3584000</v>
      </c>
      <c r="M649" t="b">
        <v>0</v>
      </c>
      <c r="N649" t="b">
        <v>0</v>
      </c>
      <c r="O649">
        <v>5000</v>
      </c>
      <c r="P649" t="b">
        <v>0</v>
      </c>
      <c r="Q649" t="b">
        <v>0</v>
      </c>
      <c r="R649" t="b">
        <v>0</v>
      </c>
      <c r="S649" t="s">
        <v>96</v>
      </c>
      <c r="T649" t="s">
        <v>118</v>
      </c>
    </row>
    <row r="650" spans="1:21" x14ac:dyDescent="0.3">
      <c r="A650" t="s">
        <v>755</v>
      </c>
      <c r="B650" s="1">
        <v>46072</v>
      </c>
      <c r="C650" s="1">
        <v>46073</v>
      </c>
      <c r="D650" s="1">
        <v>46075</v>
      </c>
      <c r="E650" s="1">
        <v>46077</v>
      </c>
      <c r="F650" t="s">
        <v>31</v>
      </c>
      <c r="G650" t="s">
        <v>63</v>
      </c>
      <c r="H650" t="s">
        <v>23</v>
      </c>
      <c r="I650" t="s">
        <v>43</v>
      </c>
      <c r="J650">
        <v>298</v>
      </c>
      <c r="K650">
        <v>3651</v>
      </c>
      <c r="L650">
        <v>5480000</v>
      </c>
      <c r="M650" t="b">
        <v>0</v>
      </c>
      <c r="N650" t="b">
        <v>0</v>
      </c>
      <c r="O650">
        <v>5000</v>
      </c>
      <c r="P650" t="b">
        <v>0</v>
      </c>
      <c r="Q650" t="b">
        <v>0</v>
      </c>
      <c r="R650" t="b">
        <v>0</v>
      </c>
      <c r="S650" t="s">
        <v>101</v>
      </c>
      <c r="T650" t="s">
        <v>115</v>
      </c>
      <c r="U650">
        <v>2</v>
      </c>
    </row>
    <row r="651" spans="1:21" x14ac:dyDescent="0.3">
      <c r="A651" t="s">
        <v>756</v>
      </c>
      <c r="B651" s="1">
        <v>46043</v>
      </c>
      <c r="C651" s="1">
        <v>46044</v>
      </c>
      <c r="D651" s="1">
        <v>46048</v>
      </c>
      <c r="E651" s="1">
        <v>46050</v>
      </c>
      <c r="F651" t="s">
        <v>31</v>
      </c>
      <c r="G651" t="s">
        <v>54</v>
      </c>
      <c r="H651" t="s">
        <v>24</v>
      </c>
      <c r="I651" t="s">
        <v>44</v>
      </c>
      <c r="J651">
        <v>491</v>
      </c>
      <c r="K651">
        <v>1266</v>
      </c>
      <c r="L651">
        <v>6236000</v>
      </c>
      <c r="M651" t="b">
        <v>0</v>
      </c>
      <c r="N651" t="b">
        <v>0</v>
      </c>
      <c r="O651">
        <v>1500</v>
      </c>
      <c r="P651" t="b">
        <v>0</v>
      </c>
      <c r="Q651" t="b">
        <v>0</v>
      </c>
      <c r="R651" t="b">
        <v>0</v>
      </c>
      <c r="S651" t="s">
        <v>101</v>
      </c>
      <c r="T651" t="s">
        <v>104</v>
      </c>
      <c r="U651">
        <v>2</v>
      </c>
    </row>
    <row r="652" spans="1:21" x14ac:dyDescent="0.3">
      <c r="A652" t="s">
        <v>757</v>
      </c>
      <c r="B652" s="1">
        <v>46171</v>
      </c>
      <c r="C652" s="1">
        <v>46172</v>
      </c>
      <c r="D652" s="1">
        <v>46176</v>
      </c>
      <c r="E652" s="1">
        <v>46177</v>
      </c>
      <c r="F652" t="s">
        <v>34</v>
      </c>
      <c r="G652" t="s">
        <v>56</v>
      </c>
      <c r="H652" t="s">
        <v>23</v>
      </c>
      <c r="I652" t="s">
        <v>44</v>
      </c>
      <c r="J652">
        <v>937.5</v>
      </c>
      <c r="K652">
        <v>530.4</v>
      </c>
      <c r="L652">
        <v>9349000</v>
      </c>
      <c r="M652" t="b">
        <v>0</v>
      </c>
      <c r="N652" t="b">
        <v>0</v>
      </c>
      <c r="O652">
        <v>1500</v>
      </c>
      <c r="P652" t="b">
        <v>0</v>
      </c>
      <c r="Q652" t="b">
        <v>0</v>
      </c>
      <c r="R652" t="b">
        <v>0</v>
      </c>
      <c r="S652" t="s">
        <v>101</v>
      </c>
      <c r="T652" t="s">
        <v>102</v>
      </c>
      <c r="U652">
        <v>1</v>
      </c>
    </row>
    <row r="653" spans="1:21" x14ac:dyDescent="0.3">
      <c r="A653" t="s">
        <v>758</v>
      </c>
      <c r="B653" s="1">
        <v>46043</v>
      </c>
      <c r="C653" s="1">
        <v>46044</v>
      </c>
      <c r="D653" s="1">
        <v>46045</v>
      </c>
      <c r="E653" s="1">
        <v>46045</v>
      </c>
      <c r="F653" t="s">
        <v>34</v>
      </c>
      <c r="G653" t="s">
        <v>55</v>
      </c>
      <c r="H653" t="s">
        <v>22</v>
      </c>
      <c r="I653" t="s">
        <v>43</v>
      </c>
      <c r="J653">
        <v>58.3</v>
      </c>
      <c r="K653">
        <v>4496.2</v>
      </c>
      <c r="L653">
        <v>3469000</v>
      </c>
      <c r="M653" t="b">
        <v>0</v>
      </c>
      <c r="N653" t="b">
        <v>0</v>
      </c>
      <c r="O653">
        <v>5000</v>
      </c>
      <c r="P653" t="b">
        <v>0</v>
      </c>
      <c r="Q653" t="b">
        <v>0</v>
      </c>
      <c r="R653" t="b">
        <v>0</v>
      </c>
      <c r="S653" t="s">
        <v>96</v>
      </c>
      <c r="T653" t="s">
        <v>104</v>
      </c>
    </row>
    <row r="654" spans="1:21" x14ac:dyDescent="0.3">
      <c r="A654" t="s">
        <v>759</v>
      </c>
      <c r="B654" s="1">
        <v>46171</v>
      </c>
      <c r="C654" s="1">
        <v>46172</v>
      </c>
      <c r="D654" s="1">
        <v>46175</v>
      </c>
      <c r="E654" s="1">
        <v>46174</v>
      </c>
      <c r="F654" t="s">
        <v>32</v>
      </c>
      <c r="G654" t="s">
        <v>58</v>
      </c>
      <c r="H654" t="s">
        <v>23</v>
      </c>
      <c r="I654" t="s">
        <v>43</v>
      </c>
      <c r="J654">
        <v>302.5</v>
      </c>
      <c r="K654">
        <v>3126.6</v>
      </c>
      <c r="L654">
        <v>5882000</v>
      </c>
      <c r="M654" t="b">
        <v>0</v>
      </c>
      <c r="N654" t="b">
        <v>0</v>
      </c>
      <c r="O654">
        <v>5000</v>
      </c>
      <c r="P654" t="b">
        <v>0</v>
      </c>
      <c r="Q654" t="b">
        <v>0</v>
      </c>
      <c r="R654" t="b">
        <v>0</v>
      </c>
      <c r="S654" t="s">
        <v>96</v>
      </c>
      <c r="T654" t="s">
        <v>102</v>
      </c>
    </row>
    <row r="655" spans="1:21" x14ac:dyDescent="0.3">
      <c r="A655" t="s">
        <v>760</v>
      </c>
      <c r="B655" s="1">
        <v>46129</v>
      </c>
      <c r="C655" s="1">
        <v>46130</v>
      </c>
      <c r="D655" s="1">
        <v>46133</v>
      </c>
      <c r="E655" s="1">
        <v>46133</v>
      </c>
      <c r="F655" t="s">
        <v>34</v>
      </c>
      <c r="G655" t="s">
        <v>63</v>
      </c>
      <c r="H655" t="s">
        <v>21</v>
      </c>
      <c r="I655" t="s">
        <v>42</v>
      </c>
      <c r="J655">
        <v>335.5</v>
      </c>
      <c r="K655">
        <v>6521.1</v>
      </c>
      <c r="L655">
        <v>8993000</v>
      </c>
      <c r="M655" t="b">
        <v>0</v>
      </c>
      <c r="N655" t="b">
        <v>0</v>
      </c>
      <c r="O655">
        <v>16000</v>
      </c>
      <c r="P655" t="b">
        <v>0</v>
      </c>
      <c r="Q655" t="b">
        <v>0</v>
      </c>
      <c r="R655" t="b">
        <v>0</v>
      </c>
      <c r="S655" t="s">
        <v>96</v>
      </c>
      <c r="T655" t="s">
        <v>112</v>
      </c>
    </row>
    <row r="656" spans="1:21" x14ac:dyDescent="0.3">
      <c r="A656" t="s">
        <v>761</v>
      </c>
      <c r="B656" s="1">
        <v>46166</v>
      </c>
      <c r="C656" s="1">
        <v>46167</v>
      </c>
      <c r="D656" s="1">
        <v>46169</v>
      </c>
      <c r="E656" s="1">
        <v>46169</v>
      </c>
      <c r="F656" t="s">
        <v>33</v>
      </c>
      <c r="G656" t="s">
        <v>60</v>
      </c>
      <c r="H656" t="s">
        <v>21</v>
      </c>
      <c r="I656" t="s">
        <v>45</v>
      </c>
      <c r="J656">
        <v>27.4</v>
      </c>
      <c r="K656">
        <v>607.29999999999995</v>
      </c>
      <c r="L656">
        <v>860000</v>
      </c>
      <c r="M656" t="b">
        <v>0</v>
      </c>
      <c r="N656" t="b">
        <v>0</v>
      </c>
      <c r="O656">
        <v>1000</v>
      </c>
      <c r="P656" t="b">
        <v>0</v>
      </c>
      <c r="Q656" t="b">
        <v>0</v>
      </c>
      <c r="R656" t="b">
        <v>0</v>
      </c>
      <c r="S656" t="s">
        <v>96</v>
      </c>
      <c r="T656" t="s">
        <v>102</v>
      </c>
    </row>
    <row r="657" spans="1:21" x14ac:dyDescent="0.3">
      <c r="A657" t="s">
        <v>762</v>
      </c>
      <c r="B657" s="1">
        <v>46028</v>
      </c>
      <c r="C657" s="1">
        <v>46028</v>
      </c>
      <c r="D657" s="1">
        <v>46032</v>
      </c>
      <c r="E657" s="1">
        <v>46032</v>
      </c>
      <c r="F657" t="s">
        <v>33</v>
      </c>
      <c r="G657" t="s">
        <v>54</v>
      </c>
      <c r="H657" t="s">
        <v>21</v>
      </c>
      <c r="I657" t="s">
        <v>43</v>
      </c>
      <c r="J657">
        <v>955.6</v>
      </c>
      <c r="K657">
        <v>3302.2</v>
      </c>
      <c r="L657">
        <v>16031000</v>
      </c>
      <c r="M657" t="b">
        <v>0</v>
      </c>
      <c r="N657" t="b">
        <v>0</v>
      </c>
      <c r="O657">
        <v>5000</v>
      </c>
      <c r="P657" t="b">
        <v>0</v>
      </c>
      <c r="Q657" t="b">
        <v>0</v>
      </c>
      <c r="R657" t="b">
        <v>0</v>
      </c>
      <c r="S657" t="s">
        <v>96</v>
      </c>
      <c r="T657" t="s">
        <v>104</v>
      </c>
    </row>
    <row r="658" spans="1:21" x14ac:dyDescent="0.3">
      <c r="A658" t="s">
        <v>763</v>
      </c>
      <c r="B658" s="1">
        <v>46146</v>
      </c>
      <c r="C658" s="1">
        <v>46146</v>
      </c>
      <c r="D658" s="1">
        <v>46148</v>
      </c>
      <c r="E658" s="1">
        <v>46148</v>
      </c>
      <c r="F658" t="s">
        <v>31</v>
      </c>
      <c r="G658" t="s">
        <v>58</v>
      </c>
      <c r="H658" t="s">
        <v>22</v>
      </c>
      <c r="I658" t="s">
        <v>44</v>
      </c>
      <c r="J658">
        <v>194</v>
      </c>
      <c r="K658">
        <v>652.6</v>
      </c>
      <c r="L658">
        <v>2179000</v>
      </c>
      <c r="M658" t="b">
        <v>0</v>
      </c>
      <c r="N658" t="b">
        <v>0</v>
      </c>
      <c r="O658">
        <v>1500</v>
      </c>
      <c r="P658" t="b">
        <v>0</v>
      </c>
      <c r="Q658" t="b">
        <v>0</v>
      </c>
      <c r="R658" t="b">
        <v>0</v>
      </c>
      <c r="S658" t="s">
        <v>96</v>
      </c>
      <c r="T658" t="s">
        <v>102</v>
      </c>
    </row>
    <row r="659" spans="1:21" x14ac:dyDescent="0.3">
      <c r="A659" t="s">
        <v>764</v>
      </c>
      <c r="B659" s="1">
        <v>46132</v>
      </c>
      <c r="C659" s="1">
        <v>46133</v>
      </c>
      <c r="D659" s="1">
        <v>46134</v>
      </c>
      <c r="E659" s="1">
        <v>46136</v>
      </c>
      <c r="F659" t="s">
        <v>34</v>
      </c>
      <c r="G659" t="s">
        <v>61</v>
      </c>
      <c r="H659" t="s">
        <v>24</v>
      </c>
      <c r="I659" t="s">
        <v>43</v>
      </c>
      <c r="J659">
        <v>22.1</v>
      </c>
      <c r="K659">
        <v>577.5</v>
      </c>
      <c r="L659">
        <v>1157000</v>
      </c>
      <c r="M659" t="b">
        <v>0</v>
      </c>
      <c r="N659" t="b">
        <v>0</v>
      </c>
      <c r="O659">
        <v>5000</v>
      </c>
      <c r="P659" t="b">
        <v>0</v>
      </c>
      <c r="Q659" t="b">
        <v>0</v>
      </c>
      <c r="R659" t="b">
        <v>0</v>
      </c>
      <c r="S659" t="s">
        <v>101</v>
      </c>
      <c r="T659" t="s">
        <v>112</v>
      </c>
      <c r="U659">
        <v>2</v>
      </c>
    </row>
    <row r="660" spans="1:21" x14ac:dyDescent="0.3">
      <c r="A660" t="s">
        <v>765</v>
      </c>
      <c r="B660" s="1">
        <v>46132</v>
      </c>
      <c r="C660" s="1">
        <v>46133</v>
      </c>
      <c r="D660" s="1">
        <v>46136</v>
      </c>
      <c r="E660" s="1">
        <v>46136</v>
      </c>
      <c r="F660" t="s">
        <v>31</v>
      </c>
      <c r="G660" t="s">
        <v>57</v>
      </c>
      <c r="H660" t="s">
        <v>21</v>
      </c>
      <c r="I660" t="s">
        <v>44</v>
      </c>
      <c r="J660">
        <v>120.5</v>
      </c>
      <c r="K660">
        <v>680.9</v>
      </c>
      <c r="L660">
        <v>1663000</v>
      </c>
      <c r="M660" t="b">
        <v>0</v>
      </c>
      <c r="N660" t="b">
        <v>0</v>
      </c>
      <c r="O660">
        <v>1500</v>
      </c>
      <c r="P660" t="b">
        <v>0</v>
      </c>
      <c r="Q660" t="b">
        <v>0</v>
      </c>
      <c r="R660" t="b">
        <v>0</v>
      </c>
      <c r="S660" t="s">
        <v>96</v>
      </c>
      <c r="T660" t="s">
        <v>112</v>
      </c>
    </row>
    <row r="661" spans="1:21" x14ac:dyDescent="0.3">
      <c r="A661" t="s">
        <v>766</v>
      </c>
      <c r="B661" s="1">
        <v>46145</v>
      </c>
      <c r="C661" s="1">
        <v>46147</v>
      </c>
      <c r="D661" s="1">
        <v>46148</v>
      </c>
      <c r="E661" s="1">
        <v>46148</v>
      </c>
      <c r="F661" t="s">
        <v>33</v>
      </c>
      <c r="G661" t="s">
        <v>60</v>
      </c>
      <c r="H661" t="s">
        <v>22</v>
      </c>
      <c r="I661" t="s">
        <v>42</v>
      </c>
      <c r="J661">
        <v>24.2</v>
      </c>
      <c r="K661">
        <v>11628.6</v>
      </c>
      <c r="L661">
        <v>5312000</v>
      </c>
      <c r="M661" t="b">
        <v>0</v>
      </c>
      <c r="N661" t="b">
        <v>0</v>
      </c>
      <c r="O661">
        <v>16000</v>
      </c>
      <c r="P661" t="b">
        <v>0</v>
      </c>
      <c r="Q661" t="b">
        <v>0</v>
      </c>
      <c r="R661" t="b">
        <v>0</v>
      </c>
      <c r="S661" t="s">
        <v>96</v>
      </c>
      <c r="T661" t="s">
        <v>102</v>
      </c>
    </row>
    <row r="662" spans="1:21" x14ac:dyDescent="0.3">
      <c r="A662" t="s">
        <v>767</v>
      </c>
      <c r="B662" s="1">
        <v>46139</v>
      </c>
      <c r="C662" s="1">
        <v>46141</v>
      </c>
      <c r="D662" s="1">
        <v>46146</v>
      </c>
      <c r="E662" s="1">
        <v>46149</v>
      </c>
      <c r="F662" t="s">
        <v>33</v>
      </c>
      <c r="G662" t="s">
        <v>56</v>
      </c>
      <c r="H662" t="s">
        <v>22</v>
      </c>
      <c r="I662" t="s">
        <v>43</v>
      </c>
      <c r="J662">
        <v>1495.8</v>
      </c>
      <c r="K662">
        <v>3596</v>
      </c>
      <c r="L662">
        <v>22778000</v>
      </c>
      <c r="M662" t="b">
        <v>0</v>
      </c>
      <c r="N662" t="b">
        <v>0</v>
      </c>
      <c r="O662">
        <v>5000</v>
      </c>
      <c r="P662" t="b">
        <v>0</v>
      </c>
      <c r="Q662" t="b">
        <v>0</v>
      </c>
      <c r="R662" t="b">
        <v>0</v>
      </c>
      <c r="S662" t="s">
        <v>101</v>
      </c>
      <c r="T662" t="s">
        <v>112</v>
      </c>
      <c r="U662">
        <v>3</v>
      </c>
    </row>
    <row r="663" spans="1:21" x14ac:dyDescent="0.3">
      <c r="A663" t="s">
        <v>768</v>
      </c>
      <c r="B663" s="1">
        <v>46197</v>
      </c>
      <c r="C663" s="1">
        <v>46198</v>
      </c>
      <c r="D663" s="1">
        <v>46202</v>
      </c>
      <c r="E663" s="1">
        <v>46205</v>
      </c>
      <c r="F663" t="s">
        <v>31</v>
      </c>
      <c r="G663" t="s">
        <v>62</v>
      </c>
      <c r="H663" t="s">
        <v>22</v>
      </c>
      <c r="I663" t="s">
        <v>43</v>
      </c>
      <c r="J663">
        <v>693</v>
      </c>
      <c r="K663">
        <v>3514.5</v>
      </c>
      <c r="L663">
        <v>10807000</v>
      </c>
      <c r="M663" t="b">
        <v>0</v>
      </c>
      <c r="N663" t="b">
        <v>0</v>
      </c>
      <c r="O663">
        <v>5000</v>
      </c>
      <c r="P663" t="b">
        <v>0</v>
      </c>
      <c r="Q663" t="b">
        <v>0</v>
      </c>
      <c r="R663" t="b">
        <v>0</v>
      </c>
      <c r="S663" t="s">
        <v>101</v>
      </c>
      <c r="T663" t="s">
        <v>99</v>
      </c>
      <c r="U663">
        <v>3</v>
      </c>
    </row>
    <row r="664" spans="1:21" x14ac:dyDescent="0.3">
      <c r="A664" t="s">
        <v>769</v>
      </c>
      <c r="B664" s="1">
        <v>46074</v>
      </c>
      <c r="C664" s="1">
        <v>46075</v>
      </c>
      <c r="D664" s="1">
        <v>46078</v>
      </c>
      <c r="E664" s="1">
        <v>46078</v>
      </c>
      <c r="F664" t="s">
        <v>33</v>
      </c>
      <c r="G664" t="s">
        <v>57</v>
      </c>
      <c r="H664" t="s">
        <v>24</v>
      </c>
      <c r="I664" t="s">
        <v>44</v>
      </c>
      <c r="J664">
        <v>412</v>
      </c>
      <c r="K664">
        <v>218.9</v>
      </c>
      <c r="L664">
        <v>4465000</v>
      </c>
      <c r="M664" t="b">
        <v>0</v>
      </c>
      <c r="N664" t="b">
        <v>0</v>
      </c>
      <c r="O664">
        <v>1500</v>
      </c>
      <c r="P664" t="b">
        <v>0</v>
      </c>
      <c r="Q664" t="b">
        <v>0</v>
      </c>
      <c r="R664" t="b">
        <v>0</v>
      </c>
      <c r="S664" t="s">
        <v>96</v>
      </c>
      <c r="T664" t="s">
        <v>115</v>
      </c>
    </row>
    <row r="665" spans="1:21" x14ac:dyDescent="0.3">
      <c r="A665" t="s">
        <v>770</v>
      </c>
      <c r="B665" s="1">
        <v>46184</v>
      </c>
      <c r="C665" s="1">
        <v>46185</v>
      </c>
      <c r="D665" s="1">
        <v>46186</v>
      </c>
      <c r="E665" s="1">
        <v>46188</v>
      </c>
      <c r="F665" t="s">
        <v>31</v>
      </c>
      <c r="G665" t="s">
        <v>61</v>
      </c>
      <c r="H665" t="s">
        <v>22</v>
      </c>
      <c r="I665" t="s">
        <v>43</v>
      </c>
      <c r="J665">
        <v>50.6</v>
      </c>
      <c r="K665">
        <v>979</v>
      </c>
      <c r="L665">
        <v>1686000</v>
      </c>
      <c r="M665" t="b">
        <v>0</v>
      </c>
      <c r="N665" t="b">
        <v>0</v>
      </c>
      <c r="O665">
        <v>5000</v>
      </c>
      <c r="P665" t="b">
        <v>0</v>
      </c>
      <c r="Q665" t="b">
        <v>0</v>
      </c>
      <c r="R665" t="b">
        <v>0</v>
      </c>
      <c r="S665" t="s">
        <v>101</v>
      </c>
      <c r="T665" t="s">
        <v>99</v>
      </c>
      <c r="U665">
        <v>2</v>
      </c>
    </row>
    <row r="666" spans="1:21" x14ac:dyDescent="0.3">
      <c r="A666" t="s">
        <v>771</v>
      </c>
      <c r="B666" s="1">
        <v>46164</v>
      </c>
      <c r="C666" s="1">
        <v>46164</v>
      </c>
      <c r="D666" s="1">
        <v>46166</v>
      </c>
      <c r="E666" s="1">
        <v>46165</v>
      </c>
      <c r="F666" t="s">
        <v>33</v>
      </c>
      <c r="G666" t="s">
        <v>63</v>
      </c>
      <c r="H666" t="s">
        <v>22</v>
      </c>
      <c r="I666" t="s">
        <v>43</v>
      </c>
      <c r="J666">
        <v>288.89999999999998</v>
      </c>
      <c r="K666">
        <v>2399</v>
      </c>
      <c r="L666">
        <v>5342000</v>
      </c>
      <c r="M666" t="b">
        <v>0</v>
      </c>
      <c r="N666" t="b">
        <v>0</v>
      </c>
      <c r="O666">
        <v>5000</v>
      </c>
      <c r="P666" t="b">
        <v>0</v>
      </c>
      <c r="Q666" t="b">
        <v>0</v>
      </c>
      <c r="R666" t="b">
        <v>0</v>
      </c>
      <c r="S666" t="s">
        <v>96</v>
      </c>
      <c r="T666" t="s">
        <v>102</v>
      </c>
    </row>
    <row r="667" spans="1:21" x14ac:dyDescent="0.3">
      <c r="A667" t="s">
        <v>772</v>
      </c>
      <c r="B667" s="1">
        <v>46052</v>
      </c>
      <c r="C667" s="1">
        <v>46051</v>
      </c>
      <c r="D667" s="1">
        <v>46055</v>
      </c>
      <c r="E667" s="1">
        <v>46056</v>
      </c>
      <c r="F667" t="s">
        <v>32</v>
      </c>
      <c r="G667" t="s">
        <v>53</v>
      </c>
      <c r="H667" t="s">
        <v>22</v>
      </c>
      <c r="I667" t="s">
        <v>42</v>
      </c>
      <c r="J667">
        <v>275.10000000000002</v>
      </c>
      <c r="K667">
        <v>5566</v>
      </c>
      <c r="L667">
        <v>7192000</v>
      </c>
      <c r="M667" t="b">
        <v>1</v>
      </c>
      <c r="N667" t="b">
        <v>0</v>
      </c>
      <c r="O667">
        <v>16000</v>
      </c>
      <c r="P667" t="b">
        <v>0</v>
      </c>
      <c r="Q667" t="b">
        <v>0</v>
      </c>
      <c r="R667" t="b">
        <v>1</v>
      </c>
      <c r="S667" t="s">
        <v>260</v>
      </c>
      <c r="T667" t="s">
        <v>104</v>
      </c>
    </row>
    <row r="668" spans="1:21" x14ac:dyDescent="0.3">
      <c r="A668" t="s">
        <v>773</v>
      </c>
      <c r="B668" s="1">
        <v>46030</v>
      </c>
      <c r="C668" s="1">
        <v>46031</v>
      </c>
      <c r="D668" s="1">
        <v>46032</v>
      </c>
      <c r="E668" s="1">
        <v>46032</v>
      </c>
      <c r="F668" t="s">
        <v>34</v>
      </c>
      <c r="G668" t="s">
        <v>55</v>
      </c>
      <c r="H668" t="s">
        <v>22</v>
      </c>
      <c r="I668" t="s">
        <v>45</v>
      </c>
      <c r="J668">
        <v>57.7</v>
      </c>
      <c r="K668">
        <v>362.5</v>
      </c>
      <c r="L668">
        <v>1124000</v>
      </c>
      <c r="M668" t="b">
        <v>0</v>
      </c>
      <c r="N668" t="b">
        <v>0</v>
      </c>
      <c r="O668">
        <v>1000</v>
      </c>
      <c r="P668" t="b">
        <v>0</v>
      </c>
      <c r="Q668" t="b">
        <v>0</v>
      </c>
      <c r="R668" t="b">
        <v>0</v>
      </c>
      <c r="S668" t="s">
        <v>96</v>
      </c>
      <c r="T668" t="s">
        <v>104</v>
      </c>
    </row>
    <row r="669" spans="1:21" x14ac:dyDescent="0.3">
      <c r="A669" t="s">
        <v>774</v>
      </c>
      <c r="B669" s="1">
        <v>46093</v>
      </c>
      <c r="C669" s="1">
        <v>46094</v>
      </c>
      <c r="D669" s="1">
        <v>46095</v>
      </c>
      <c r="E669" s="1">
        <v>46097</v>
      </c>
      <c r="F669" t="s">
        <v>34</v>
      </c>
      <c r="G669" t="s">
        <v>61</v>
      </c>
      <c r="H669" t="s">
        <v>23</v>
      </c>
      <c r="I669" t="s">
        <v>44</v>
      </c>
      <c r="J669">
        <v>19.7</v>
      </c>
      <c r="K669">
        <v>682</v>
      </c>
      <c r="L669">
        <v>975000</v>
      </c>
      <c r="M669" t="b">
        <v>0</v>
      </c>
      <c r="N669" t="b">
        <v>0</v>
      </c>
      <c r="O669">
        <v>1500</v>
      </c>
      <c r="P669" t="b">
        <v>0</v>
      </c>
      <c r="Q669" t="b">
        <v>0</v>
      </c>
      <c r="R669" t="b">
        <v>0</v>
      </c>
      <c r="S669" t="s">
        <v>101</v>
      </c>
      <c r="T669" t="s">
        <v>118</v>
      </c>
      <c r="U669">
        <v>2</v>
      </c>
    </row>
    <row r="670" spans="1:21" x14ac:dyDescent="0.3">
      <c r="A670" t="s">
        <v>775</v>
      </c>
      <c r="B670" s="1">
        <v>46104</v>
      </c>
      <c r="C670" s="1">
        <v>46105</v>
      </c>
      <c r="D670" s="1">
        <v>46107</v>
      </c>
      <c r="E670" s="1">
        <v>46107</v>
      </c>
      <c r="F670" t="s">
        <v>32</v>
      </c>
      <c r="G670" t="s">
        <v>61</v>
      </c>
      <c r="H670" t="s">
        <v>20</v>
      </c>
      <c r="I670" t="s">
        <v>42</v>
      </c>
      <c r="J670">
        <v>153.69999999999999</v>
      </c>
      <c r="K670">
        <v>13958.8</v>
      </c>
      <c r="L670">
        <v>7876000</v>
      </c>
      <c r="M670" t="b">
        <v>0</v>
      </c>
      <c r="N670" t="b">
        <v>0</v>
      </c>
      <c r="O670">
        <v>16000</v>
      </c>
      <c r="P670" t="b">
        <v>0</v>
      </c>
      <c r="Q670" t="b">
        <v>0</v>
      </c>
      <c r="R670" t="b">
        <v>0</v>
      </c>
      <c r="S670" t="s">
        <v>96</v>
      </c>
      <c r="T670" t="s">
        <v>118</v>
      </c>
    </row>
    <row r="671" spans="1:21" x14ac:dyDescent="0.3">
      <c r="A671" t="s">
        <v>776</v>
      </c>
      <c r="B671" s="1">
        <v>46102</v>
      </c>
      <c r="C671" s="1">
        <v>46103</v>
      </c>
      <c r="D671" s="1">
        <v>46105</v>
      </c>
      <c r="E671" s="1">
        <v>46105</v>
      </c>
      <c r="F671" t="s">
        <v>31</v>
      </c>
      <c r="G671" t="s">
        <v>61</v>
      </c>
      <c r="H671" t="s">
        <v>22</v>
      </c>
      <c r="I671" t="s">
        <v>43</v>
      </c>
      <c r="J671">
        <v>54</v>
      </c>
      <c r="K671">
        <v>4151.7</v>
      </c>
      <c r="L671">
        <v>2881000</v>
      </c>
      <c r="M671" t="b">
        <v>0</v>
      </c>
      <c r="N671" t="b">
        <v>0</v>
      </c>
      <c r="O671">
        <v>5000</v>
      </c>
      <c r="P671" t="b">
        <v>0</v>
      </c>
      <c r="Q671" t="b">
        <v>0</v>
      </c>
      <c r="R671" t="b">
        <v>0</v>
      </c>
      <c r="S671" t="s">
        <v>96</v>
      </c>
      <c r="T671" t="s">
        <v>118</v>
      </c>
    </row>
    <row r="672" spans="1:21" x14ac:dyDescent="0.3">
      <c r="A672" t="s">
        <v>777</v>
      </c>
      <c r="B672" s="1">
        <v>46030</v>
      </c>
      <c r="C672" s="1">
        <v>46031</v>
      </c>
      <c r="D672" s="1">
        <v>46033</v>
      </c>
      <c r="E672" s="1">
        <v>46033</v>
      </c>
      <c r="F672" t="s">
        <v>34</v>
      </c>
      <c r="G672" t="s">
        <v>57</v>
      </c>
      <c r="H672" t="s">
        <v>21</v>
      </c>
      <c r="I672" t="s">
        <v>43</v>
      </c>
      <c r="J672">
        <v>156</v>
      </c>
      <c r="K672">
        <v>844.9</v>
      </c>
      <c r="L672">
        <v>2773000</v>
      </c>
      <c r="M672" t="b">
        <v>0</v>
      </c>
      <c r="N672" t="b">
        <v>0</v>
      </c>
      <c r="O672">
        <v>5000</v>
      </c>
      <c r="P672" t="b">
        <v>0</v>
      </c>
      <c r="Q672" t="b">
        <v>0</v>
      </c>
      <c r="R672" t="b">
        <v>0</v>
      </c>
      <c r="S672" t="s">
        <v>96</v>
      </c>
      <c r="T672" t="s">
        <v>104</v>
      </c>
    </row>
    <row r="673" spans="1:21" x14ac:dyDescent="0.3">
      <c r="A673" t="s">
        <v>778</v>
      </c>
      <c r="B673" s="1">
        <v>46176</v>
      </c>
      <c r="C673" s="1">
        <v>46178</v>
      </c>
      <c r="D673" s="1">
        <v>46182</v>
      </c>
      <c r="E673" s="1">
        <v>46182</v>
      </c>
      <c r="F673" t="s">
        <v>34</v>
      </c>
      <c r="G673" t="s">
        <v>54</v>
      </c>
      <c r="H673" t="s">
        <v>21</v>
      </c>
      <c r="I673" t="s">
        <v>45</v>
      </c>
      <c r="J673">
        <v>470.6</v>
      </c>
      <c r="K673">
        <v>309.39999999999998</v>
      </c>
      <c r="L673">
        <v>4423000</v>
      </c>
      <c r="M673" t="b">
        <v>0</v>
      </c>
      <c r="N673" t="b">
        <v>0</v>
      </c>
      <c r="O673">
        <v>1000</v>
      </c>
      <c r="P673" t="b">
        <v>0</v>
      </c>
      <c r="Q673" t="b">
        <v>0</v>
      </c>
      <c r="R673" t="b">
        <v>0</v>
      </c>
      <c r="S673" t="s">
        <v>96</v>
      </c>
      <c r="T673" t="s">
        <v>99</v>
      </c>
    </row>
    <row r="674" spans="1:21" x14ac:dyDescent="0.3">
      <c r="A674" t="s">
        <v>779</v>
      </c>
      <c r="B674" s="1">
        <v>46106</v>
      </c>
      <c r="C674" s="1">
        <v>46107</v>
      </c>
      <c r="D674" s="1">
        <v>46110</v>
      </c>
      <c r="E674" s="1">
        <v>46111</v>
      </c>
      <c r="F674" t="s">
        <v>34</v>
      </c>
      <c r="G674" t="s">
        <v>54</v>
      </c>
      <c r="H674" t="s">
        <v>21</v>
      </c>
      <c r="I674" t="s">
        <v>42</v>
      </c>
      <c r="J674">
        <v>424.8</v>
      </c>
      <c r="K674">
        <v>7628.5</v>
      </c>
      <c r="L674">
        <v>10065000</v>
      </c>
      <c r="M674" t="b">
        <v>0</v>
      </c>
      <c r="N674" t="b">
        <v>0</v>
      </c>
      <c r="O674">
        <v>16000</v>
      </c>
      <c r="P674" t="b">
        <v>0</v>
      </c>
      <c r="Q674" t="b">
        <v>0</v>
      </c>
      <c r="R674" t="b">
        <v>0</v>
      </c>
      <c r="S674" t="s">
        <v>101</v>
      </c>
      <c r="T674" t="s">
        <v>118</v>
      </c>
      <c r="U674">
        <v>1</v>
      </c>
    </row>
    <row r="675" spans="1:21" x14ac:dyDescent="0.3">
      <c r="A675" t="s">
        <v>780</v>
      </c>
      <c r="B675" s="1">
        <v>46200</v>
      </c>
      <c r="C675" s="1">
        <v>46202</v>
      </c>
      <c r="D675" s="1">
        <v>46204</v>
      </c>
      <c r="E675" s="1">
        <v>46204</v>
      </c>
      <c r="F675" t="s">
        <v>32</v>
      </c>
      <c r="G675" t="s">
        <v>53</v>
      </c>
      <c r="H675" t="s">
        <v>24</v>
      </c>
      <c r="I675" t="s">
        <v>42</v>
      </c>
      <c r="J675">
        <v>265.89999999999998</v>
      </c>
      <c r="K675">
        <v>3290.9</v>
      </c>
      <c r="L675">
        <v>7474000</v>
      </c>
      <c r="M675" t="b">
        <v>0</v>
      </c>
      <c r="N675" t="b">
        <v>0</v>
      </c>
      <c r="O675">
        <v>16000</v>
      </c>
      <c r="P675" t="b">
        <v>0</v>
      </c>
      <c r="Q675" t="b">
        <v>0</v>
      </c>
      <c r="R675" t="b">
        <v>0</v>
      </c>
      <c r="S675" t="s">
        <v>96</v>
      </c>
      <c r="T675" t="s">
        <v>99</v>
      </c>
    </row>
    <row r="676" spans="1:21" x14ac:dyDescent="0.3">
      <c r="A676" t="s">
        <v>781</v>
      </c>
      <c r="B676" s="1">
        <v>46048</v>
      </c>
      <c r="C676" s="1">
        <v>46048</v>
      </c>
      <c r="D676" s="1">
        <v>46052</v>
      </c>
      <c r="E676" s="1">
        <v>46053</v>
      </c>
      <c r="F676" t="s">
        <v>34</v>
      </c>
      <c r="G676" t="s">
        <v>60</v>
      </c>
      <c r="H676" t="s">
        <v>20</v>
      </c>
      <c r="I676" t="s">
        <v>44</v>
      </c>
      <c r="J676">
        <v>617.79999999999995</v>
      </c>
      <c r="K676">
        <v>244.6</v>
      </c>
      <c r="L676">
        <v>7154000</v>
      </c>
      <c r="M676" t="b">
        <v>0</v>
      </c>
      <c r="N676" t="b">
        <v>0</v>
      </c>
      <c r="O676">
        <v>1500</v>
      </c>
      <c r="P676" t="b">
        <v>0</v>
      </c>
      <c r="Q676" t="b">
        <v>0</v>
      </c>
      <c r="R676" t="b">
        <v>0</v>
      </c>
      <c r="S676" t="s">
        <v>101</v>
      </c>
      <c r="T676" t="s">
        <v>104</v>
      </c>
      <c r="U676">
        <v>1</v>
      </c>
    </row>
    <row r="677" spans="1:21" x14ac:dyDescent="0.3">
      <c r="A677" t="s">
        <v>782</v>
      </c>
      <c r="B677" s="1">
        <v>46198</v>
      </c>
      <c r="C677" s="1">
        <v>46198</v>
      </c>
      <c r="D677" s="1">
        <v>46199</v>
      </c>
      <c r="E677" s="1">
        <v>46199</v>
      </c>
      <c r="F677" t="s">
        <v>34</v>
      </c>
      <c r="G677" t="s">
        <v>61</v>
      </c>
      <c r="H677" t="s">
        <v>23</v>
      </c>
      <c r="I677" t="s">
        <v>44</v>
      </c>
      <c r="J677">
        <v>23.1</v>
      </c>
      <c r="K677">
        <v>455.9</v>
      </c>
      <c r="L677">
        <v>975000</v>
      </c>
      <c r="M677" t="b">
        <v>0</v>
      </c>
      <c r="N677" t="b">
        <v>0</v>
      </c>
      <c r="O677">
        <v>1500</v>
      </c>
      <c r="P677" t="b">
        <v>0</v>
      </c>
      <c r="Q677" t="b">
        <v>0</v>
      </c>
      <c r="R677" t="b">
        <v>0</v>
      </c>
      <c r="S677" t="s">
        <v>96</v>
      </c>
      <c r="T677" t="s">
        <v>99</v>
      </c>
    </row>
    <row r="678" spans="1:21" x14ac:dyDescent="0.3">
      <c r="A678" t="s">
        <v>783</v>
      </c>
      <c r="B678" s="1">
        <v>46171</v>
      </c>
      <c r="C678" s="1">
        <v>46171</v>
      </c>
      <c r="D678" s="1">
        <v>46174</v>
      </c>
      <c r="E678" s="1">
        <v>46175</v>
      </c>
      <c r="F678" t="s">
        <v>32</v>
      </c>
      <c r="G678" t="s">
        <v>52</v>
      </c>
      <c r="H678" t="s">
        <v>22</v>
      </c>
      <c r="I678" t="s">
        <v>43</v>
      </c>
      <c r="J678">
        <v>344</v>
      </c>
      <c r="K678">
        <v>1690.8</v>
      </c>
      <c r="L678">
        <v>5895000</v>
      </c>
      <c r="M678" t="b">
        <v>0</v>
      </c>
      <c r="N678" t="b">
        <v>0</v>
      </c>
      <c r="O678">
        <v>5000</v>
      </c>
      <c r="P678" t="b">
        <v>0</v>
      </c>
      <c r="Q678" t="b">
        <v>0</v>
      </c>
      <c r="R678" t="b">
        <v>0</v>
      </c>
      <c r="S678" t="s">
        <v>101</v>
      </c>
      <c r="T678" t="s">
        <v>102</v>
      </c>
      <c r="U678">
        <v>1</v>
      </c>
    </row>
    <row r="679" spans="1:21" x14ac:dyDescent="0.3">
      <c r="A679" t="s">
        <v>784</v>
      </c>
      <c r="B679" s="1">
        <v>46172</v>
      </c>
      <c r="C679" s="1">
        <v>46173</v>
      </c>
      <c r="D679" s="1">
        <v>46177</v>
      </c>
      <c r="E679" s="1">
        <v>46177</v>
      </c>
      <c r="F679" t="s">
        <v>31</v>
      </c>
      <c r="G679" t="s">
        <v>62</v>
      </c>
      <c r="H679" t="s">
        <v>23</v>
      </c>
      <c r="I679" t="s">
        <v>44</v>
      </c>
      <c r="J679">
        <v>754.2</v>
      </c>
      <c r="K679">
        <v>255.2</v>
      </c>
      <c r="L679">
        <v>7968000</v>
      </c>
      <c r="M679" t="b">
        <v>0</v>
      </c>
      <c r="N679" t="b">
        <v>0</v>
      </c>
      <c r="O679">
        <v>1500</v>
      </c>
      <c r="P679" t="b">
        <v>0</v>
      </c>
      <c r="Q679" t="b">
        <v>0</v>
      </c>
      <c r="R679" t="b">
        <v>0</v>
      </c>
      <c r="S679" t="s">
        <v>96</v>
      </c>
      <c r="T679" t="s">
        <v>102</v>
      </c>
    </row>
    <row r="680" spans="1:21" x14ac:dyDescent="0.3">
      <c r="A680" t="s">
        <v>785</v>
      </c>
      <c r="B680" s="1">
        <v>46103</v>
      </c>
      <c r="C680" s="1">
        <v>46104</v>
      </c>
      <c r="D680" s="1">
        <v>46107</v>
      </c>
      <c r="E680" s="1">
        <v>46107</v>
      </c>
      <c r="F680" t="s">
        <v>33</v>
      </c>
      <c r="G680" t="s">
        <v>63</v>
      </c>
      <c r="H680" t="s">
        <v>24</v>
      </c>
      <c r="I680" t="s">
        <v>45</v>
      </c>
      <c r="J680">
        <v>292.89999999999998</v>
      </c>
      <c r="K680">
        <v>297</v>
      </c>
      <c r="L680">
        <v>3100000</v>
      </c>
      <c r="M680" t="b">
        <v>0</v>
      </c>
      <c r="N680" t="b">
        <v>0</v>
      </c>
      <c r="O680">
        <v>1000</v>
      </c>
      <c r="P680" t="b">
        <v>0</v>
      </c>
      <c r="Q680" t="b">
        <v>0</v>
      </c>
      <c r="R680" t="b">
        <v>0</v>
      </c>
      <c r="S680" t="s">
        <v>96</v>
      </c>
      <c r="T680" t="s">
        <v>118</v>
      </c>
    </row>
    <row r="681" spans="1:21" x14ac:dyDescent="0.3">
      <c r="A681" t="s">
        <v>786</v>
      </c>
      <c r="B681" s="1">
        <v>46187</v>
      </c>
      <c r="C681" s="1">
        <v>46187</v>
      </c>
      <c r="D681" s="1">
        <v>46190</v>
      </c>
      <c r="E681" s="1">
        <v>46190</v>
      </c>
      <c r="F681" t="s">
        <v>34</v>
      </c>
      <c r="G681" t="s">
        <v>53</v>
      </c>
      <c r="H681" t="s">
        <v>23</v>
      </c>
      <c r="I681" t="s">
        <v>44</v>
      </c>
      <c r="J681">
        <v>326.5</v>
      </c>
      <c r="K681">
        <v>745.7</v>
      </c>
      <c r="L681">
        <v>4146000</v>
      </c>
      <c r="M681" t="b">
        <v>0</v>
      </c>
      <c r="N681" t="b">
        <v>0</v>
      </c>
      <c r="O681">
        <v>1500</v>
      </c>
      <c r="P681" t="b">
        <v>0</v>
      </c>
      <c r="Q681" t="b">
        <v>0</v>
      </c>
      <c r="R681" t="b">
        <v>0</v>
      </c>
      <c r="S681" t="s">
        <v>96</v>
      </c>
      <c r="T681" t="s">
        <v>99</v>
      </c>
    </row>
    <row r="682" spans="1:21" x14ac:dyDescent="0.3">
      <c r="A682" t="s">
        <v>787</v>
      </c>
      <c r="B682" s="1">
        <v>46161</v>
      </c>
      <c r="C682" s="1">
        <v>46162</v>
      </c>
      <c r="D682" s="1">
        <v>46167</v>
      </c>
      <c r="E682" s="1">
        <v>46168</v>
      </c>
      <c r="F682" t="s">
        <v>33</v>
      </c>
      <c r="G682" t="s">
        <v>58</v>
      </c>
      <c r="H682" t="s">
        <v>22</v>
      </c>
      <c r="I682" t="s">
        <v>43</v>
      </c>
      <c r="J682">
        <v>738.2</v>
      </c>
      <c r="K682">
        <v>861.8</v>
      </c>
      <c r="L682">
        <v>8586000</v>
      </c>
      <c r="M682" t="b">
        <v>0</v>
      </c>
      <c r="N682" t="b">
        <v>0</v>
      </c>
      <c r="O682">
        <v>5000</v>
      </c>
      <c r="P682" t="b">
        <v>0</v>
      </c>
      <c r="Q682" t="b">
        <v>0</v>
      </c>
      <c r="R682" t="b">
        <v>0</v>
      </c>
      <c r="S682" t="s">
        <v>101</v>
      </c>
      <c r="T682" t="s">
        <v>102</v>
      </c>
      <c r="U682">
        <v>1</v>
      </c>
    </row>
    <row r="683" spans="1:21" x14ac:dyDescent="0.3">
      <c r="A683" t="s">
        <v>788</v>
      </c>
      <c r="B683" s="1">
        <v>46116</v>
      </c>
      <c r="C683" s="1">
        <v>46117</v>
      </c>
      <c r="D683" s="1">
        <v>46121</v>
      </c>
      <c r="E683" s="1">
        <v>46122</v>
      </c>
      <c r="F683" t="s">
        <v>33</v>
      </c>
      <c r="G683" t="s">
        <v>59</v>
      </c>
      <c r="H683" t="s">
        <v>24</v>
      </c>
      <c r="I683" t="s">
        <v>42</v>
      </c>
      <c r="J683">
        <v>528.70000000000005</v>
      </c>
      <c r="K683">
        <v>13121.5</v>
      </c>
      <c r="L683">
        <v>15630000</v>
      </c>
      <c r="M683" t="b">
        <v>0</v>
      </c>
      <c r="N683" t="b">
        <v>0</v>
      </c>
      <c r="O683">
        <v>16000</v>
      </c>
      <c r="P683" t="b">
        <v>0</v>
      </c>
      <c r="Q683" t="b">
        <v>0</v>
      </c>
      <c r="R683" t="b">
        <v>0</v>
      </c>
      <c r="S683" t="s">
        <v>101</v>
      </c>
      <c r="T683" t="s">
        <v>112</v>
      </c>
      <c r="U683">
        <v>1</v>
      </c>
    </row>
    <row r="684" spans="1:21" x14ac:dyDescent="0.3">
      <c r="A684" t="s">
        <v>789</v>
      </c>
      <c r="B684" s="1">
        <v>46074</v>
      </c>
      <c r="C684" s="1">
        <v>46076</v>
      </c>
      <c r="D684" s="1">
        <v>46079</v>
      </c>
      <c r="E684" s="1">
        <v>46079</v>
      </c>
      <c r="F684" t="s">
        <v>31</v>
      </c>
      <c r="G684" t="s">
        <v>54</v>
      </c>
      <c r="H684" t="s">
        <v>23</v>
      </c>
      <c r="I684" t="s">
        <v>42</v>
      </c>
      <c r="J684">
        <v>470.2</v>
      </c>
      <c r="K684">
        <v>7736</v>
      </c>
      <c r="L684">
        <v>10569000</v>
      </c>
      <c r="M684" t="b">
        <v>0</v>
      </c>
      <c r="N684" t="b">
        <v>0</v>
      </c>
      <c r="O684">
        <v>16000</v>
      </c>
      <c r="P684" t="b">
        <v>0</v>
      </c>
      <c r="Q684" t="b">
        <v>0</v>
      </c>
      <c r="R684" t="b">
        <v>0</v>
      </c>
      <c r="S684" t="s">
        <v>96</v>
      </c>
      <c r="T684" t="s">
        <v>115</v>
      </c>
    </row>
    <row r="685" spans="1:21" x14ac:dyDescent="0.3">
      <c r="A685" t="s">
        <v>790</v>
      </c>
      <c r="B685" s="1">
        <v>46089</v>
      </c>
      <c r="C685" s="1">
        <v>46089</v>
      </c>
      <c r="D685" s="1">
        <v>46091</v>
      </c>
      <c r="E685" s="1">
        <v>46091</v>
      </c>
      <c r="F685" t="s">
        <v>32</v>
      </c>
      <c r="G685" t="s">
        <v>61</v>
      </c>
      <c r="H685" t="s">
        <v>22</v>
      </c>
      <c r="I685" t="s">
        <v>43</v>
      </c>
      <c r="J685">
        <v>155.1</v>
      </c>
      <c r="K685">
        <v>4335.8</v>
      </c>
      <c r="L685">
        <v>4185000</v>
      </c>
      <c r="M685" t="b">
        <v>0</v>
      </c>
      <c r="N685" t="b">
        <v>0</v>
      </c>
      <c r="O685">
        <v>5000</v>
      </c>
      <c r="P685" t="b">
        <v>0</v>
      </c>
      <c r="Q685" t="b">
        <v>0</v>
      </c>
      <c r="R685" t="b">
        <v>0</v>
      </c>
      <c r="S685" t="s">
        <v>96</v>
      </c>
      <c r="T685" t="s">
        <v>118</v>
      </c>
    </row>
    <row r="686" spans="1:21" x14ac:dyDescent="0.3">
      <c r="A686" t="s">
        <v>791</v>
      </c>
      <c r="B686" s="1">
        <v>46047</v>
      </c>
      <c r="C686" s="1">
        <v>46048</v>
      </c>
      <c r="D686" s="1">
        <v>46052</v>
      </c>
      <c r="E686" s="1">
        <v>46052</v>
      </c>
      <c r="F686" t="s">
        <v>32</v>
      </c>
      <c r="G686" t="s">
        <v>56</v>
      </c>
      <c r="H686" t="s">
        <v>22</v>
      </c>
      <c r="I686" t="s">
        <v>43</v>
      </c>
      <c r="J686">
        <v>991.8</v>
      </c>
      <c r="K686">
        <v>1502.4</v>
      </c>
      <c r="L686">
        <v>12623000</v>
      </c>
      <c r="M686" t="b">
        <v>0</v>
      </c>
      <c r="N686" t="b">
        <v>0</v>
      </c>
      <c r="O686">
        <v>5000</v>
      </c>
      <c r="P686" t="b">
        <v>0</v>
      </c>
      <c r="Q686" t="b">
        <v>0</v>
      </c>
      <c r="R686" t="b">
        <v>0</v>
      </c>
      <c r="S686" t="s">
        <v>96</v>
      </c>
      <c r="T686" t="s">
        <v>104</v>
      </c>
    </row>
    <row r="687" spans="1:21" x14ac:dyDescent="0.3">
      <c r="A687" t="s">
        <v>792</v>
      </c>
      <c r="B687" s="1">
        <v>46197</v>
      </c>
      <c r="C687" s="1">
        <v>46198</v>
      </c>
      <c r="D687" s="1">
        <v>46201</v>
      </c>
      <c r="E687" s="1">
        <v>46200</v>
      </c>
      <c r="F687" t="s">
        <v>31</v>
      </c>
      <c r="G687" t="s">
        <v>52</v>
      </c>
      <c r="H687" t="s">
        <v>21</v>
      </c>
      <c r="I687" t="s">
        <v>43</v>
      </c>
      <c r="J687">
        <v>309.89999999999998</v>
      </c>
      <c r="K687">
        <v>2785.4</v>
      </c>
      <c r="L687">
        <v>5308000</v>
      </c>
      <c r="M687" t="b">
        <v>0</v>
      </c>
      <c r="N687" t="b">
        <v>0</v>
      </c>
      <c r="O687">
        <v>5000</v>
      </c>
      <c r="P687" t="b">
        <v>0</v>
      </c>
      <c r="Q687" t="b">
        <v>0</v>
      </c>
      <c r="R687" t="b">
        <v>0</v>
      </c>
      <c r="S687" t="s">
        <v>96</v>
      </c>
      <c r="T687" t="s">
        <v>99</v>
      </c>
    </row>
    <row r="688" spans="1:21" x14ac:dyDescent="0.3">
      <c r="A688" t="s">
        <v>793</v>
      </c>
      <c r="B688" s="1">
        <v>46201</v>
      </c>
      <c r="C688" s="1">
        <v>46202</v>
      </c>
      <c r="D688" s="1">
        <v>46204</v>
      </c>
      <c r="E688" s="1">
        <v>46204</v>
      </c>
      <c r="F688" t="s">
        <v>31</v>
      </c>
      <c r="G688" t="s">
        <v>52</v>
      </c>
      <c r="H688" t="s">
        <v>20</v>
      </c>
      <c r="I688" t="s">
        <v>44</v>
      </c>
      <c r="J688">
        <v>297.5</v>
      </c>
      <c r="K688">
        <v>151.6</v>
      </c>
      <c r="L688">
        <v>3126000</v>
      </c>
      <c r="M688" t="b">
        <v>0</v>
      </c>
      <c r="N688" t="b">
        <v>0</v>
      </c>
      <c r="O688">
        <v>1500</v>
      </c>
      <c r="P688" t="b">
        <v>0</v>
      </c>
      <c r="Q688" t="b">
        <v>0</v>
      </c>
      <c r="R688" t="b">
        <v>0</v>
      </c>
      <c r="S688" t="s">
        <v>96</v>
      </c>
      <c r="T688" t="s">
        <v>99</v>
      </c>
    </row>
    <row r="689" spans="1:21" x14ac:dyDescent="0.3">
      <c r="A689" t="s">
        <v>794</v>
      </c>
      <c r="B689" s="1">
        <v>46163</v>
      </c>
      <c r="C689" s="1">
        <v>46165</v>
      </c>
      <c r="D689" s="1">
        <v>46167</v>
      </c>
      <c r="E689" s="1">
        <v>46166</v>
      </c>
      <c r="F689" t="s">
        <v>34</v>
      </c>
      <c r="G689" t="s">
        <v>57</v>
      </c>
      <c r="H689" t="s">
        <v>20</v>
      </c>
      <c r="I689" t="s">
        <v>44</v>
      </c>
      <c r="J689">
        <v>170.6</v>
      </c>
      <c r="K689">
        <v>527.5</v>
      </c>
      <c r="L689">
        <v>2575000</v>
      </c>
      <c r="M689" t="b">
        <v>0</v>
      </c>
      <c r="N689" t="b">
        <v>0</v>
      </c>
      <c r="O689">
        <v>1500</v>
      </c>
      <c r="P689" t="b">
        <v>0</v>
      </c>
      <c r="Q689" t="b">
        <v>0</v>
      </c>
      <c r="R689" t="b">
        <v>0</v>
      </c>
      <c r="S689" t="s">
        <v>96</v>
      </c>
      <c r="T689" t="s">
        <v>102</v>
      </c>
    </row>
    <row r="690" spans="1:21" x14ac:dyDescent="0.3">
      <c r="A690" t="s">
        <v>795</v>
      </c>
      <c r="B690" s="1">
        <v>46101</v>
      </c>
      <c r="C690" s="1">
        <v>46103</v>
      </c>
      <c r="D690" s="1">
        <v>46106</v>
      </c>
      <c r="E690" s="1">
        <v>46106</v>
      </c>
      <c r="F690" t="s">
        <v>34</v>
      </c>
      <c r="G690" t="s">
        <v>53</v>
      </c>
      <c r="H690" t="s">
        <v>22</v>
      </c>
      <c r="I690" t="s">
        <v>44</v>
      </c>
      <c r="J690">
        <v>314.7</v>
      </c>
      <c r="K690">
        <v>1092.7</v>
      </c>
      <c r="L690">
        <v>4152000</v>
      </c>
      <c r="M690" t="b">
        <v>0</v>
      </c>
      <c r="N690" t="b">
        <v>0</v>
      </c>
      <c r="O690">
        <v>1500</v>
      </c>
      <c r="P690" t="b">
        <v>0</v>
      </c>
      <c r="Q690" t="b">
        <v>0</v>
      </c>
      <c r="R690" t="b">
        <v>0</v>
      </c>
      <c r="S690" t="s">
        <v>96</v>
      </c>
      <c r="T690" t="s">
        <v>118</v>
      </c>
    </row>
    <row r="691" spans="1:21" x14ac:dyDescent="0.3">
      <c r="A691" t="s">
        <v>796</v>
      </c>
      <c r="B691" s="1">
        <v>46067</v>
      </c>
      <c r="C691" s="1">
        <v>46068</v>
      </c>
      <c r="D691" s="1">
        <v>46072</v>
      </c>
      <c r="E691" s="1">
        <v>46072</v>
      </c>
      <c r="F691" t="s">
        <v>31</v>
      </c>
      <c r="G691" t="s">
        <v>56</v>
      </c>
      <c r="H691" t="s">
        <v>20</v>
      </c>
      <c r="I691" t="s">
        <v>43</v>
      </c>
      <c r="J691">
        <v>913</v>
      </c>
      <c r="K691">
        <v>1181.5999999999999</v>
      </c>
      <c r="L691">
        <v>14033000</v>
      </c>
      <c r="M691" t="b">
        <v>0</v>
      </c>
      <c r="N691" t="b">
        <v>0</v>
      </c>
      <c r="O691">
        <v>5000</v>
      </c>
      <c r="P691" t="b">
        <v>0</v>
      </c>
      <c r="Q691" t="b">
        <v>0</v>
      </c>
      <c r="R691" t="b">
        <v>0</v>
      </c>
      <c r="S691" t="s">
        <v>96</v>
      </c>
      <c r="T691" t="s">
        <v>115</v>
      </c>
    </row>
    <row r="692" spans="1:21" x14ac:dyDescent="0.3">
      <c r="A692" t="s">
        <v>797</v>
      </c>
      <c r="B692" s="1">
        <v>46189</v>
      </c>
      <c r="C692" s="1">
        <v>46190</v>
      </c>
      <c r="D692" s="1">
        <v>46193</v>
      </c>
      <c r="E692" s="1">
        <v>46193</v>
      </c>
      <c r="F692" t="s">
        <v>34</v>
      </c>
      <c r="G692" t="s">
        <v>63</v>
      </c>
      <c r="H692" t="s">
        <v>24</v>
      </c>
      <c r="I692" t="s">
        <v>42</v>
      </c>
      <c r="J692">
        <v>311.5</v>
      </c>
      <c r="K692">
        <v>8036.1</v>
      </c>
      <c r="L692">
        <v>8992000</v>
      </c>
      <c r="M692" t="b">
        <v>0</v>
      </c>
      <c r="N692" t="b">
        <v>0</v>
      </c>
      <c r="O692">
        <v>16000</v>
      </c>
      <c r="P692" t="b">
        <v>0</v>
      </c>
      <c r="Q692" t="b">
        <v>0</v>
      </c>
      <c r="R692" t="b">
        <v>0</v>
      </c>
      <c r="S692" t="s">
        <v>96</v>
      </c>
      <c r="T692" t="s">
        <v>99</v>
      </c>
    </row>
    <row r="693" spans="1:21" x14ac:dyDescent="0.3">
      <c r="A693" t="s">
        <v>798</v>
      </c>
      <c r="B693" s="1">
        <v>46155</v>
      </c>
      <c r="C693" s="1">
        <v>46156</v>
      </c>
      <c r="D693" s="1">
        <v>46160</v>
      </c>
      <c r="E693" s="1">
        <v>46161</v>
      </c>
      <c r="F693" t="s">
        <v>34</v>
      </c>
      <c r="G693" t="s">
        <v>62</v>
      </c>
      <c r="H693" t="s">
        <v>22</v>
      </c>
      <c r="I693" t="s">
        <v>43</v>
      </c>
      <c r="J693">
        <v>808</v>
      </c>
      <c r="K693">
        <v>1204.9000000000001</v>
      </c>
      <c r="L693">
        <v>10922000</v>
      </c>
      <c r="M693" t="b">
        <v>0</v>
      </c>
      <c r="N693" t="b">
        <v>0</v>
      </c>
      <c r="O693">
        <v>5000</v>
      </c>
      <c r="P693" t="b">
        <v>0</v>
      </c>
      <c r="Q693" t="b">
        <v>0</v>
      </c>
      <c r="R693" t="b">
        <v>0</v>
      </c>
      <c r="S693" t="s">
        <v>101</v>
      </c>
      <c r="T693" t="s">
        <v>102</v>
      </c>
      <c r="U693">
        <v>1</v>
      </c>
    </row>
    <row r="694" spans="1:21" x14ac:dyDescent="0.3">
      <c r="A694" t="s">
        <v>799</v>
      </c>
      <c r="B694" s="1">
        <v>46175</v>
      </c>
      <c r="C694" s="1">
        <v>46176</v>
      </c>
      <c r="D694" s="1">
        <v>46180</v>
      </c>
      <c r="E694" s="1">
        <v>46180</v>
      </c>
      <c r="F694" t="s">
        <v>34</v>
      </c>
      <c r="G694" t="s">
        <v>56</v>
      </c>
      <c r="H694" t="s">
        <v>23</v>
      </c>
      <c r="I694" t="s">
        <v>43</v>
      </c>
      <c r="J694">
        <v>925</v>
      </c>
      <c r="K694">
        <v>1053.3</v>
      </c>
      <c r="L694">
        <v>11868000</v>
      </c>
      <c r="M694" t="b">
        <v>0</v>
      </c>
      <c r="N694" t="b">
        <v>0</v>
      </c>
      <c r="O694">
        <v>5000</v>
      </c>
      <c r="P694" t="b">
        <v>0</v>
      </c>
      <c r="Q694" t="b">
        <v>0</v>
      </c>
      <c r="R694" t="b">
        <v>0</v>
      </c>
      <c r="S694" t="s">
        <v>96</v>
      </c>
      <c r="T694" t="s">
        <v>99</v>
      </c>
    </row>
    <row r="695" spans="1:21" x14ac:dyDescent="0.3">
      <c r="A695" t="s">
        <v>800</v>
      </c>
      <c r="B695" s="1">
        <v>46114</v>
      </c>
      <c r="C695" s="1">
        <v>46114</v>
      </c>
      <c r="D695" s="1">
        <v>46118</v>
      </c>
      <c r="E695" s="1">
        <v>46118</v>
      </c>
      <c r="F695" t="s">
        <v>34</v>
      </c>
      <c r="G695" t="s">
        <v>60</v>
      </c>
      <c r="H695" t="s">
        <v>20</v>
      </c>
      <c r="I695" t="s">
        <v>43</v>
      </c>
      <c r="J695">
        <v>638.6</v>
      </c>
      <c r="K695">
        <v>1203.5999999999999</v>
      </c>
      <c r="L695">
        <v>8193000</v>
      </c>
      <c r="M695" t="b">
        <v>0</v>
      </c>
      <c r="N695" t="b">
        <v>0</v>
      </c>
      <c r="O695">
        <v>5000</v>
      </c>
      <c r="P695" t="b">
        <v>0</v>
      </c>
      <c r="Q695" t="b">
        <v>0</v>
      </c>
      <c r="R695" t="b">
        <v>0</v>
      </c>
      <c r="S695" t="s">
        <v>96</v>
      </c>
      <c r="T695" t="s">
        <v>112</v>
      </c>
    </row>
    <row r="696" spans="1:21" x14ac:dyDescent="0.3">
      <c r="A696" t="s">
        <v>801</v>
      </c>
      <c r="B696" s="1">
        <v>46125</v>
      </c>
      <c r="C696" s="1">
        <v>46126</v>
      </c>
      <c r="D696" s="1">
        <v>46130</v>
      </c>
      <c r="E696" s="1">
        <v>46130</v>
      </c>
      <c r="F696" t="s">
        <v>34</v>
      </c>
      <c r="G696" t="s">
        <v>60</v>
      </c>
      <c r="H696" t="s">
        <v>21</v>
      </c>
      <c r="I696" t="s">
        <v>42</v>
      </c>
      <c r="J696">
        <v>646.29999999999995</v>
      </c>
      <c r="K696">
        <v>8730.1500000000015</v>
      </c>
      <c r="L696">
        <v>13497000</v>
      </c>
      <c r="M696" t="b">
        <v>0</v>
      </c>
      <c r="N696" t="b">
        <v>0</v>
      </c>
      <c r="O696">
        <v>16000</v>
      </c>
      <c r="P696" t="b">
        <v>0</v>
      </c>
      <c r="Q696" t="b">
        <v>0</v>
      </c>
      <c r="R696" t="b">
        <v>0</v>
      </c>
      <c r="S696" t="s">
        <v>96</v>
      </c>
      <c r="T696" t="s">
        <v>112</v>
      </c>
    </row>
    <row r="697" spans="1:21" x14ac:dyDescent="0.3">
      <c r="A697" t="s">
        <v>802</v>
      </c>
      <c r="B697" s="1">
        <v>46196</v>
      </c>
      <c r="C697" s="1">
        <v>46197</v>
      </c>
      <c r="D697" s="1">
        <v>46200</v>
      </c>
      <c r="E697" s="1">
        <v>46200</v>
      </c>
      <c r="F697" t="s">
        <v>33</v>
      </c>
      <c r="G697" t="s">
        <v>57</v>
      </c>
      <c r="H697" t="s">
        <v>21</v>
      </c>
      <c r="I697" t="s">
        <v>43</v>
      </c>
      <c r="J697">
        <v>459.6</v>
      </c>
      <c r="K697">
        <v>1959.3</v>
      </c>
      <c r="L697">
        <v>6670000</v>
      </c>
      <c r="M697" t="b">
        <v>0</v>
      </c>
      <c r="N697" t="b">
        <v>0</v>
      </c>
      <c r="O697">
        <v>5000</v>
      </c>
      <c r="P697" t="b">
        <v>0</v>
      </c>
      <c r="Q697" t="b">
        <v>0</v>
      </c>
      <c r="R697" t="b">
        <v>0</v>
      </c>
      <c r="S697" t="s">
        <v>96</v>
      </c>
      <c r="T697" t="s">
        <v>99</v>
      </c>
    </row>
    <row r="698" spans="1:21" x14ac:dyDescent="0.3">
      <c r="A698" t="s">
        <v>803</v>
      </c>
      <c r="B698" s="1">
        <v>46072</v>
      </c>
      <c r="C698" s="1">
        <v>46073</v>
      </c>
      <c r="D698" s="1">
        <v>46074</v>
      </c>
      <c r="E698" s="1">
        <v>46074</v>
      </c>
      <c r="F698" t="s">
        <v>34</v>
      </c>
      <c r="G698" t="s">
        <v>61</v>
      </c>
      <c r="H698" t="s">
        <v>23</v>
      </c>
      <c r="I698" t="s">
        <v>43</v>
      </c>
      <c r="J698">
        <v>28.8</v>
      </c>
      <c r="K698">
        <v>1627.2</v>
      </c>
      <c r="L698">
        <v>1723000</v>
      </c>
      <c r="M698" t="b">
        <v>0</v>
      </c>
      <c r="N698" t="b">
        <v>0</v>
      </c>
      <c r="O698">
        <v>5000</v>
      </c>
      <c r="P698" t="b">
        <v>0</v>
      </c>
      <c r="Q698" t="b">
        <v>0</v>
      </c>
      <c r="R698" t="b">
        <v>0</v>
      </c>
      <c r="S698" t="s">
        <v>96</v>
      </c>
      <c r="T698" t="s">
        <v>115</v>
      </c>
    </row>
    <row r="699" spans="1:21" x14ac:dyDescent="0.3">
      <c r="A699" t="s">
        <v>804</v>
      </c>
      <c r="B699" s="1">
        <v>46068</v>
      </c>
      <c r="C699" s="1">
        <v>46069</v>
      </c>
      <c r="D699" s="1">
        <v>46072</v>
      </c>
      <c r="E699" s="1">
        <v>46073</v>
      </c>
      <c r="F699" t="s">
        <v>32</v>
      </c>
      <c r="G699" t="s">
        <v>52</v>
      </c>
      <c r="H699" t="s">
        <v>20</v>
      </c>
      <c r="I699" t="s">
        <v>43</v>
      </c>
      <c r="J699">
        <v>317</v>
      </c>
      <c r="K699">
        <v>2595.6999999999998</v>
      </c>
      <c r="L699">
        <v>5314000</v>
      </c>
      <c r="M699" t="b">
        <v>0</v>
      </c>
      <c r="N699" t="b">
        <v>0</v>
      </c>
      <c r="O699">
        <v>5000</v>
      </c>
      <c r="P699" t="b">
        <v>0</v>
      </c>
      <c r="Q699" t="b">
        <v>0</v>
      </c>
      <c r="R699" t="b">
        <v>0</v>
      </c>
      <c r="S699" t="s">
        <v>101</v>
      </c>
      <c r="T699" t="s">
        <v>115</v>
      </c>
      <c r="U699">
        <v>1</v>
      </c>
    </row>
    <row r="700" spans="1:21" x14ac:dyDescent="0.3">
      <c r="A700" t="s">
        <v>805</v>
      </c>
      <c r="B700" s="1">
        <v>46158</v>
      </c>
      <c r="C700" s="1">
        <v>46159</v>
      </c>
      <c r="D700" s="1">
        <v>46160</v>
      </c>
      <c r="E700" s="1">
        <v>46161</v>
      </c>
      <c r="F700" t="s">
        <v>31</v>
      </c>
      <c r="G700" t="s">
        <v>61</v>
      </c>
      <c r="H700" t="s">
        <v>21</v>
      </c>
      <c r="I700" t="s">
        <v>43</v>
      </c>
      <c r="J700">
        <v>51.7</v>
      </c>
      <c r="K700">
        <v>2165.6</v>
      </c>
      <c r="L700">
        <v>2334000</v>
      </c>
      <c r="M700" t="b">
        <v>0</v>
      </c>
      <c r="N700" t="b">
        <v>0</v>
      </c>
      <c r="O700">
        <v>5000</v>
      </c>
      <c r="P700" t="b">
        <v>0</v>
      </c>
      <c r="Q700" t="b">
        <v>0</v>
      </c>
      <c r="R700" t="b">
        <v>0</v>
      </c>
      <c r="S700" t="s">
        <v>101</v>
      </c>
      <c r="T700" t="s">
        <v>102</v>
      </c>
      <c r="U700">
        <v>1</v>
      </c>
    </row>
    <row r="701" spans="1:21" x14ac:dyDescent="0.3">
      <c r="A701" t="s">
        <v>806</v>
      </c>
      <c r="B701" s="1">
        <v>46130</v>
      </c>
      <c r="C701" s="1">
        <v>46131</v>
      </c>
      <c r="D701" s="1">
        <v>46133</v>
      </c>
      <c r="E701" s="1">
        <v>46133</v>
      </c>
      <c r="F701" t="s">
        <v>34</v>
      </c>
      <c r="G701" t="s">
        <v>57</v>
      </c>
      <c r="H701" t="s">
        <v>21</v>
      </c>
      <c r="I701" t="s">
        <v>44</v>
      </c>
      <c r="J701">
        <v>151.4</v>
      </c>
      <c r="K701">
        <v>1170.7</v>
      </c>
      <c r="L701">
        <v>2185000</v>
      </c>
      <c r="M701" t="b">
        <v>0</v>
      </c>
      <c r="N701" t="b">
        <v>0</v>
      </c>
      <c r="O701">
        <v>1500</v>
      </c>
      <c r="P701" t="b">
        <v>0</v>
      </c>
      <c r="Q701" t="b">
        <v>0</v>
      </c>
      <c r="R701" t="b">
        <v>0</v>
      </c>
      <c r="S701" t="s">
        <v>96</v>
      </c>
      <c r="T701" t="s">
        <v>112</v>
      </c>
    </row>
    <row r="702" spans="1:21" x14ac:dyDescent="0.3">
      <c r="A702" t="s">
        <v>807</v>
      </c>
      <c r="B702" s="1">
        <v>46109</v>
      </c>
      <c r="C702" s="1">
        <v>46109</v>
      </c>
      <c r="D702" s="1">
        <v>46113</v>
      </c>
      <c r="E702" s="1">
        <v>46113</v>
      </c>
      <c r="F702" t="s">
        <v>34</v>
      </c>
      <c r="G702" t="s">
        <v>59</v>
      </c>
      <c r="H702" t="s">
        <v>21</v>
      </c>
      <c r="I702" t="s">
        <v>45</v>
      </c>
      <c r="J702">
        <v>337.5</v>
      </c>
      <c r="K702">
        <v>439</v>
      </c>
      <c r="L702">
        <v>3632000</v>
      </c>
      <c r="M702" t="b">
        <v>0</v>
      </c>
      <c r="N702" t="b">
        <v>0</v>
      </c>
      <c r="O702">
        <v>1000</v>
      </c>
      <c r="P702" t="b">
        <v>0</v>
      </c>
      <c r="Q702" t="b">
        <v>0</v>
      </c>
      <c r="R702" t="b">
        <v>0</v>
      </c>
      <c r="S702" t="s">
        <v>96</v>
      </c>
      <c r="T702" t="s">
        <v>118</v>
      </c>
    </row>
    <row r="703" spans="1:21" x14ac:dyDescent="0.3">
      <c r="A703" t="s">
        <v>808</v>
      </c>
      <c r="B703" s="1">
        <v>46113</v>
      </c>
      <c r="C703" s="1">
        <v>46113</v>
      </c>
      <c r="D703" s="1">
        <v>46114</v>
      </c>
      <c r="E703" s="1">
        <v>46115</v>
      </c>
      <c r="F703" t="s">
        <v>34</v>
      </c>
      <c r="G703" t="s">
        <v>61</v>
      </c>
      <c r="H703" t="s">
        <v>23</v>
      </c>
      <c r="I703" t="s">
        <v>43</v>
      </c>
      <c r="J703">
        <v>26</v>
      </c>
      <c r="K703">
        <v>1845.9</v>
      </c>
      <c r="L703">
        <v>1842000</v>
      </c>
      <c r="M703" t="b">
        <v>0</v>
      </c>
      <c r="N703" t="b">
        <v>0</v>
      </c>
      <c r="O703">
        <v>5000</v>
      </c>
      <c r="P703" t="b">
        <v>0</v>
      </c>
      <c r="Q703" t="b">
        <v>0</v>
      </c>
      <c r="R703" t="b">
        <v>0</v>
      </c>
      <c r="S703" t="s">
        <v>101</v>
      </c>
      <c r="T703" t="s">
        <v>112</v>
      </c>
      <c r="U703">
        <v>1</v>
      </c>
    </row>
    <row r="704" spans="1:21" x14ac:dyDescent="0.3">
      <c r="A704" t="s">
        <v>809</v>
      </c>
      <c r="B704" s="1">
        <v>46073</v>
      </c>
      <c r="C704" s="1">
        <v>46073</v>
      </c>
      <c r="D704" s="1">
        <v>46077</v>
      </c>
      <c r="E704" s="1">
        <v>46077</v>
      </c>
      <c r="F704" t="s">
        <v>32</v>
      </c>
      <c r="G704" t="s">
        <v>56</v>
      </c>
      <c r="H704" t="s">
        <v>24</v>
      </c>
      <c r="I704" t="s">
        <v>45</v>
      </c>
      <c r="J704">
        <v>1115.5999999999999</v>
      </c>
      <c r="K704">
        <v>82</v>
      </c>
      <c r="L704">
        <v>9191000</v>
      </c>
      <c r="M704" t="b">
        <v>0</v>
      </c>
      <c r="N704" t="b">
        <v>0</v>
      </c>
      <c r="O704">
        <v>1000</v>
      </c>
      <c r="P704" t="b">
        <v>0</v>
      </c>
      <c r="Q704" t="b">
        <v>0</v>
      </c>
      <c r="R704" t="b">
        <v>0</v>
      </c>
      <c r="S704" t="s">
        <v>96</v>
      </c>
      <c r="T704" t="s">
        <v>115</v>
      </c>
    </row>
    <row r="705" spans="1:21" x14ac:dyDescent="0.3">
      <c r="A705" t="s">
        <v>810</v>
      </c>
      <c r="B705" s="1">
        <v>46149</v>
      </c>
      <c r="C705" s="1">
        <v>46150</v>
      </c>
      <c r="D705" s="1">
        <v>46153</v>
      </c>
      <c r="E705" s="1">
        <v>46153</v>
      </c>
      <c r="F705" t="s">
        <v>34</v>
      </c>
      <c r="G705" t="s">
        <v>59</v>
      </c>
      <c r="H705" t="s">
        <v>20</v>
      </c>
      <c r="I705" t="s">
        <v>43</v>
      </c>
      <c r="J705">
        <v>309.5</v>
      </c>
      <c r="K705">
        <v>3634.4</v>
      </c>
      <c r="L705">
        <v>6056000</v>
      </c>
      <c r="M705" t="b">
        <v>0</v>
      </c>
      <c r="N705" t="b">
        <v>0</v>
      </c>
      <c r="O705">
        <v>5000</v>
      </c>
      <c r="P705" t="b">
        <v>0</v>
      </c>
      <c r="Q705" t="b">
        <v>0</v>
      </c>
      <c r="R705" t="b">
        <v>0</v>
      </c>
      <c r="S705" t="s">
        <v>96</v>
      </c>
      <c r="T705" t="s">
        <v>102</v>
      </c>
    </row>
    <row r="706" spans="1:21" x14ac:dyDescent="0.3">
      <c r="A706" t="s">
        <v>811</v>
      </c>
      <c r="B706" s="1">
        <v>46176</v>
      </c>
      <c r="C706" s="1">
        <v>46177</v>
      </c>
      <c r="D706" s="1">
        <v>46176</v>
      </c>
      <c r="E706" s="1">
        <v>46180</v>
      </c>
      <c r="F706" t="s">
        <v>34</v>
      </c>
      <c r="G706" t="s">
        <v>63</v>
      </c>
      <c r="H706" t="s">
        <v>20</v>
      </c>
      <c r="I706" t="s">
        <v>45</v>
      </c>
      <c r="J706">
        <v>326.8</v>
      </c>
      <c r="K706">
        <v>166.7</v>
      </c>
      <c r="L706">
        <v>3158000</v>
      </c>
      <c r="M706" t="b">
        <v>1</v>
      </c>
      <c r="N706" t="b">
        <v>0</v>
      </c>
      <c r="O706">
        <v>1000</v>
      </c>
      <c r="P706" t="b">
        <v>0</v>
      </c>
      <c r="Q706" t="b">
        <v>0</v>
      </c>
      <c r="R706" t="b">
        <v>1</v>
      </c>
      <c r="S706" t="s">
        <v>260</v>
      </c>
      <c r="T706" t="s">
        <v>99</v>
      </c>
    </row>
    <row r="707" spans="1:21" x14ac:dyDescent="0.3">
      <c r="A707" t="s">
        <v>812</v>
      </c>
      <c r="B707" s="1">
        <v>46105</v>
      </c>
      <c r="C707" s="1">
        <v>46105</v>
      </c>
      <c r="D707" s="1">
        <v>46107</v>
      </c>
      <c r="E707" s="1">
        <v>46109</v>
      </c>
      <c r="F707" t="s">
        <v>34</v>
      </c>
      <c r="G707" t="s">
        <v>58</v>
      </c>
      <c r="H707" t="s">
        <v>24</v>
      </c>
      <c r="I707" t="s">
        <v>44</v>
      </c>
      <c r="J707">
        <v>142</v>
      </c>
      <c r="K707">
        <v>1299.5999999999999</v>
      </c>
      <c r="L707">
        <v>2606000</v>
      </c>
      <c r="M707" t="b">
        <v>0</v>
      </c>
      <c r="N707" t="b">
        <v>0</v>
      </c>
      <c r="O707">
        <v>1500</v>
      </c>
      <c r="P707" t="b">
        <v>0</v>
      </c>
      <c r="Q707" t="b">
        <v>0</v>
      </c>
      <c r="R707" t="b">
        <v>0</v>
      </c>
      <c r="S707" t="s">
        <v>101</v>
      </c>
      <c r="T707" t="s">
        <v>118</v>
      </c>
      <c r="U707">
        <v>2</v>
      </c>
    </row>
    <row r="708" spans="1:21" x14ac:dyDescent="0.3">
      <c r="A708" t="s">
        <v>813</v>
      </c>
      <c r="B708" s="1">
        <v>46027</v>
      </c>
      <c r="C708" s="1">
        <v>46028</v>
      </c>
      <c r="D708" s="1">
        <v>46032</v>
      </c>
      <c r="E708" s="1">
        <v>46032</v>
      </c>
      <c r="F708" t="s">
        <v>33</v>
      </c>
      <c r="G708" t="s">
        <v>55</v>
      </c>
      <c r="H708" t="s">
        <v>24</v>
      </c>
      <c r="I708" t="s">
        <v>42</v>
      </c>
      <c r="J708">
        <v>668.4</v>
      </c>
      <c r="K708">
        <v>14047.6</v>
      </c>
      <c r="L708">
        <v>18110000</v>
      </c>
      <c r="M708" t="b">
        <v>0</v>
      </c>
      <c r="N708" t="b">
        <v>0</v>
      </c>
      <c r="O708">
        <v>16000</v>
      </c>
      <c r="P708" t="b">
        <v>0</v>
      </c>
      <c r="Q708" t="b">
        <v>0</v>
      </c>
      <c r="R708" t="b">
        <v>0</v>
      </c>
      <c r="S708" t="s">
        <v>96</v>
      </c>
      <c r="T708" t="s">
        <v>104</v>
      </c>
    </row>
    <row r="709" spans="1:21" x14ac:dyDescent="0.3">
      <c r="A709" t="s">
        <v>814</v>
      </c>
      <c r="B709" s="1">
        <v>46088</v>
      </c>
      <c r="C709" s="1">
        <v>46089</v>
      </c>
      <c r="D709" s="1">
        <v>46091</v>
      </c>
      <c r="E709" s="1">
        <v>46092</v>
      </c>
      <c r="F709" t="s">
        <v>34</v>
      </c>
      <c r="G709" t="s">
        <v>52</v>
      </c>
      <c r="H709" t="s">
        <v>23</v>
      </c>
      <c r="I709" t="s">
        <v>44</v>
      </c>
      <c r="J709">
        <v>269</v>
      </c>
      <c r="K709">
        <v>385.9</v>
      </c>
      <c r="L709">
        <v>3423000</v>
      </c>
      <c r="M709" t="b">
        <v>0</v>
      </c>
      <c r="N709" t="b">
        <v>0</v>
      </c>
      <c r="O709">
        <v>1500</v>
      </c>
      <c r="P709" t="b">
        <v>0</v>
      </c>
      <c r="Q709" t="b">
        <v>0</v>
      </c>
      <c r="R709" t="b">
        <v>0</v>
      </c>
      <c r="S709" t="s">
        <v>101</v>
      </c>
      <c r="T709" t="s">
        <v>118</v>
      </c>
      <c r="U709">
        <v>1</v>
      </c>
    </row>
    <row r="710" spans="1:21" x14ac:dyDescent="0.3">
      <c r="A710" t="s">
        <v>815</v>
      </c>
      <c r="B710" s="1">
        <v>46032</v>
      </c>
      <c r="C710" s="1">
        <v>46032</v>
      </c>
      <c r="D710" s="1">
        <v>46034</v>
      </c>
      <c r="E710" s="1">
        <v>46034</v>
      </c>
      <c r="F710" t="s">
        <v>34</v>
      </c>
      <c r="G710" t="s">
        <v>57</v>
      </c>
      <c r="H710" t="s">
        <v>21</v>
      </c>
      <c r="I710" t="s">
        <v>44</v>
      </c>
      <c r="J710">
        <v>163.69999999999999</v>
      </c>
      <c r="K710">
        <v>414</v>
      </c>
      <c r="L710">
        <v>1854000</v>
      </c>
      <c r="M710" t="b">
        <v>0</v>
      </c>
      <c r="N710" t="b">
        <v>0</v>
      </c>
      <c r="O710">
        <v>1500</v>
      </c>
      <c r="P710" t="b">
        <v>0</v>
      </c>
      <c r="Q710" t="b">
        <v>0</v>
      </c>
      <c r="R710" t="b">
        <v>0</v>
      </c>
      <c r="S710" t="s">
        <v>96</v>
      </c>
      <c r="T710" t="s">
        <v>104</v>
      </c>
    </row>
    <row r="711" spans="1:21" x14ac:dyDescent="0.3">
      <c r="A711" t="s">
        <v>816</v>
      </c>
      <c r="B711" s="1">
        <v>46144</v>
      </c>
      <c r="C711" s="1">
        <v>46146</v>
      </c>
      <c r="D711" s="1">
        <v>46148</v>
      </c>
      <c r="E711" s="1">
        <v>46148</v>
      </c>
      <c r="F711" t="s">
        <v>32</v>
      </c>
      <c r="G711" t="s">
        <v>55</v>
      </c>
      <c r="H711" t="s">
        <v>21</v>
      </c>
      <c r="I711" t="s">
        <v>43</v>
      </c>
      <c r="J711">
        <v>132</v>
      </c>
      <c r="K711">
        <v>1003.5</v>
      </c>
      <c r="L711">
        <v>2525000</v>
      </c>
      <c r="M711" t="b">
        <v>0</v>
      </c>
      <c r="N711" t="b">
        <v>0</v>
      </c>
      <c r="O711">
        <v>5000</v>
      </c>
      <c r="P711" t="b">
        <v>0</v>
      </c>
      <c r="Q711" t="b">
        <v>0</v>
      </c>
      <c r="R711" t="b">
        <v>0</v>
      </c>
      <c r="S711" t="s">
        <v>96</v>
      </c>
      <c r="T711" t="s">
        <v>102</v>
      </c>
    </row>
    <row r="712" spans="1:21" x14ac:dyDescent="0.3">
      <c r="A712" t="s">
        <v>817</v>
      </c>
      <c r="B712" s="1">
        <v>46176</v>
      </c>
      <c r="C712" s="1">
        <v>46177</v>
      </c>
      <c r="D712" s="1">
        <v>46180</v>
      </c>
      <c r="E712" s="1">
        <v>46180</v>
      </c>
      <c r="F712" t="s">
        <v>31</v>
      </c>
      <c r="G712" t="s">
        <v>63</v>
      </c>
      <c r="H712" t="s">
        <v>22</v>
      </c>
      <c r="I712" t="s">
        <v>45</v>
      </c>
      <c r="J712">
        <v>307.7</v>
      </c>
      <c r="K712">
        <v>208.9</v>
      </c>
      <c r="L712">
        <v>3178000</v>
      </c>
      <c r="M712" t="b">
        <v>0</v>
      </c>
      <c r="N712" t="b">
        <v>0</v>
      </c>
      <c r="O712">
        <v>1000</v>
      </c>
      <c r="P712" t="b">
        <v>0</v>
      </c>
      <c r="Q712" t="b">
        <v>0</v>
      </c>
      <c r="R712" t="b">
        <v>0</v>
      </c>
      <c r="S712" t="s">
        <v>96</v>
      </c>
      <c r="T712" t="s">
        <v>99</v>
      </c>
    </row>
    <row r="713" spans="1:21" x14ac:dyDescent="0.3">
      <c r="A713" t="s">
        <v>818</v>
      </c>
      <c r="B713" s="1">
        <v>46092</v>
      </c>
      <c r="C713" s="1">
        <v>46093</v>
      </c>
      <c r="D713" s="1">
        <v>46094</v>
      </c>
      <c r="E713" s="1">
        <v>46093</v>
      </c>
      <c r="F713" t="s">
        <v>32</v>
      </c>
      <c r="G713" t="s">
        <v>57</v>
      </c>
      <c r="H713" t="s">
        <v>23</v>
      </c>
      <c r="I713" t="s">
        <v>45</v>
      </c>
      <c r="J713">
        <v>16.3</v>
      </c>
      <c r="K713">
        <v>775.8</v>
      </c>
      <c r="L713">
        <v>873000</v>
      </c>
      <c r="M713" t="b">
        <v>0</v>
      </c>
      <c r="N713" t="b">
        <v>0</v>
      </c>
      <c r="O713">
        <v>1000</v>
      </c>
      <c r="P713" t="b">
        <v>0</v>
      </c>
      <c r="Q713" t="b">
        <v>0</v>
      </c>
      <c r="R713" t="b">
        <v>0</v>
      </c>
      <c r="S713" t="s">
        <v>96</v>
      </c>
      <c r="T713" t="s">
        <v>118</v>
      </c>
    </row>
    <row r="714" spans="1:21" x14ac:dyDescent="0.3">
      <c r="A714" t="s">
        <v>819</v>
      </c>
      <c r="B714" s="1">
        <v>46162</v>
      </c>
      <c r="C714" s="1">
        <v>46163</v>
      </c>
      <c r="D714" s="1">
        <v>46167</v>
      </c>
      <c r="E714" s="1">
        <v>46168</v>
      </c>
      <c r="F714" t="s">
        <v>31</v>
      </c>
      <c r="G714" t="s">
        <v>60</v>
      </c>
      <c r="H714" t="s">
        <v>23</v>
      </c>
      <c r="I714" t="s">
        <v>45</v>
      </c>
      <c r="J714">
        <v>626.1</v>
      </c>
      <c r="K714">
        <v>142.69999999999999</v>
      </c>
      <c r="L714">
        <v>5898000</v>
      </c>
      <c r="M714" t="b">
        <v>0</v>
      </c>
      <c r="N714" t="b">
        <v>0</v>
      </c>
      <c r="O714">
        <v>1000</v>
      </c>
      <c r="P714" t="b">
        <v>0</v>
      </c>
      <c r="Q714" t="b">
        <v>0</v>
      </c>
      <c r="R714" t="b">
        <v>0</v>
      </c>
      <c r="S714" t="s">
        <v>101</v>
      </c>
      <c r="T714" t="s">
        <v>102</v>
      </c>
      <c r="U714">
        <v>1</v>
      </c>
    </row>
    <row r="715" spans="1:21" x14ac:dyDescent="0.3">
      <c r="A715" t="s">
        <v>820</v>
      </c>
      <c r="B715" s="1">
        <v>46149</v>
      </c>
      <c r="C715" s="1">
        <v>46150</v>
      </c>
      <c r="D715" s="1">
        <v>46153</v>
      </c>
      <c r="E715" s="1">
        <v>46153</v>
      </c>
      <c r="F715" t="s">
        <v>34</v>
      </c>
      <c r="G715" t="s">
        <v>53</v>
      </c>
      <c r="H715" t="s">
        <v>22</v>
      </c>
      <c r="I715" t="s">
        <v>44</v>
      </c>
      <c r="J715">
        <v>303.5</v>
      </c>
      <c r="K715">
        <v>1297</v>
      </c>
      <c r="L715">
        <v>4009000</v>
      </c>
      <c r="M715" t="b">
        <v>0</v>
      </c>
      <c r="N715" t="b">
        <v>0</v>
      </c>
      <c r="O715">
        <v>1500</v>
      </c>
      <c r="P715" t="b">
        <v>0</v>
      </c>
      <c r="Q715" t="b">
        <v>0</v>
      </c>
      <c r="R715" t="b">
        <v>0</v>
      </c>
      <c r="S715" t="s">
        <v>96</v>
      </c>
      <c r="T715" t="s">
        <v>102</v>
      </c>
    </row>
    <row r="716" spans="1:21" x14ac:dyDescent="0.3">
      <c r="A716" t="s">
        <v>821</v>
      </c>
      <c r="B716" s="1">
        <v>46028</v>
      </c>
      <c r="C716" s="1">
        <v>46029</v>
      </c>
      <c r="D716" s="1">
        <v>46032</v>
      </c>
      <c r="E716" s="1">
        <v>46032</v>
      </c>
      <c r="F716" t="s">
        <v>32</v>
      </c>
      <c r="G716" t="s">
        <v>54</v>
      </c>
      <c r="H716" t="s">
        <v>22</v>
      </c>
      <c r="I716" t="s">
        <v>44</v>
      </c>
      <c r="J716">
        <v>562</v>
      </c>
      <c r="K716">
        <v>1085.7</v>
      </c>
      <c r="L716">
        <v>6744000</v>
      </c>
      <c r="M716" t="b">
        <v>0</v>
      </c>
      <c r="N716" t="b">
        <v>0</v>
      </c>
      <c r="O716">
        <v>1500</v>
      </c>
      <c r="P716" t="b">
        <v>0</v>
      </c>
      <c r="Q716" t="b">
        <v>0</v>
      </c>
      <c r="R716" t="b">
        <v>0</v>
      </c>
      <c r="S716" t="s">
        <v>96</v>
      </c>
      <c r="T716" t="s">
        <v>104</v>
      </c>
    </row>
    <row r="717" spans="1:21" x14ac:dyDescent="0.3">
      <c r="A717" t="s">
        <v>822</v>
      </c>
      <c r="B717" s="1">
        <v>46177</v>
      </c>
      <c r="C717" s="1">
        <v>46179</v>
      </c>
      <c r="D717" s="1">
        <v>46180</v>
      </c>
      <c r="E717" s="1">
        <v>46180</v>
      </c>
      <c r="F717" t="s">
        <v>34</v>
      </c>
      <c r="G717" t="s">
        <v>55</v>
      </c>
      <c r="H717" t="s">
        <v>20</v>
      </c>
      <c r="I717" t="s">
        <v>45</v>
      </c>
      <c r="J717">
        <v>54.3</v>
      </c>
      <c r="K717">
        <v>215.6</v>
      </c>
      <c r="L717">
        <v>819000</v>
      </c>
      <c r="M717" t="b">
        <v>0</v>
      </c>
      <c r="N717" t="b">
        <v>0</v>
      </c>
      <c r="O717">
        <v>1000</v>
      </c>
      <c r="P717" t="b">
        <v>0</v>
      </c>
      <c r="Q717" t="b">
        <v>0</v>
      </c>
      <c r="R717" t="b">
        <v>0</v>
      </c>
      <c r="S717" t="s">
        <v>96</v>
      </c>
      <c r="T717" t="s">
        <v>99</v>
      </c>
    </row>
    <row r="718" spans="1:21" x14ac:dyDescent="0.3">
      <c r="A718" t="s">
        <v>823</v>
      </c>
      <c r="B718" s="1">
        <v>46193</v>
      </c>
      <c r="C718" s="1">
        <v>46193</v>
      </c>
      <c r="D718" s="1">
        <v>46195</v>
      </c>
      <c r="F718" t="s">
        <v>32</v>
      </c>
      <c r="G718" t="s">
        <v>57</v>
      </c>
      <c r="H718" t="s">
        <v>23</v>
      </c>
      <c r="I718" t="s">
        <v>43</v>
      </c>
      <c r="J718">
        <v>15.2</v>
      </c>
      <c r="K718">
        <v>2020</v>
      </c>
      <c r="L718">
        <v>1792000</v>
      </c>
      <c r="M718" t="b">
        <v>0</v>
      </c>
      <c r="N718" t="b">
        <v>0</v>
      </c>
      <c r="O718">
        <v>5000</v>
      </c>
      <c r="P718" t="b">
        <v>0</v>
      </c>
      <c r="Q718" t="b">
        <v>0</v>
      </c>
      <c r="R718" t="b">
        <v>0</v>
      </c>
      <c r="S718" t="s">
        <v>203</v>
      </c>
      <c r="T718" t="s">
        <v>99</v>
      </c>
    </row>
    <row r="719" spans="1:21" x14ac:dyDescent="0.3">
      <c r="A719" t="s">
        <v>824</v>
      </c>
      <c r="B719" s="1">
        <v>46106</v>
      </c>
      <c r="C719" s="1">
        <v>46107</v>
      </c>
      <c r="D719" s="1">
        <v>46108</v>
      </c>
      <c r="E719" s="1">
        <v>46108</v>
      </c>
      <c r="F719" t="s">
        <v>32</v>
      </c>
      <c r="G719" t="s">
        <v>57</v>
      </c>
      <c r="H719" t="s">
        <v>22</v>
      </c>
      <c r="I719" t="s">
        <v>43</v>
      </c>
      <c r="J719">
        <v>18.899999999999999</v>
      </c>
      <c r="K719">
        <v>4034.6</v>
      </c>
      <c r="L719">
        <v>2604000</v>
      </c>
      <c r="M719" t="b">
        <v>0</v>
      </c>
      <c r="N719" t="b">
        <v>0</v>
      </c>
      <c r="O719">
        <v>5000</v>
      </c>
      <c r="P719" t="b">
        <v>0</v>
      </c>
      <c r="Q719" t="b">
        <v>0</v>
      </c>
      <c r="R719" t="b">
        <v>0</v>
      </c>
      <c r="S719" t="s">
        <v>96</v>
      </c>
      <c r="T719" t="s">
        <v>118</v>
      </c>
    </row>
    <row r="720" spans="1:21" x14ac:dyDescent="0.3">
      <c r="A720" t="s">
        <v>825</v>
      </c>
      <c r="B720" s="1">
        <v>46165</v>
      </c>
      <c r="C720" s="1">
        <v>46166</v>
      </c>
      <c r="D720" s="1">
        <v>46170</v>
      </c>
      <c r="E720" s="1">
        <v>46172</v>
      </c>
      <c r="F720" t="s">
        <v>34</v>
      </c>
      <c r="G720" t="s">
        <v>62</v>
      </c>
      <c r="H720" t="s">
        <v>24</v>
      </c>
      <c r="I720" t="s">
        <v>44</v>
      </c>
      <c r="J720">
        <v>750.4</v>
      </c>
      <c r="K720">
        <v>1362.2</v>
      </c>
      <c r="L720">
        <v>7838000</v>
      </c>
      <c r="M720" t="b">
        <v>0</v>
      </c>
      <c r="N720" t="b">
        <v>0</v>
      </c>
      <c r="O720">
        <v>1500</v>
      </c>
      <c r="P720" t="b">
        <v>0</v>
      </c>
      <c r="Q720" t="b">
        <v>0</v>
      </c>
      <c r="R720" t="b">
        <v>0</v>
      </c>
      <c r="S720" t="s">
        <v>101</v>
      </c>
      <c r="T720" t="s">
        <v>102</v>
      </c>
      <c r="U720">
        <v>2</v>
      </c>
    </row>
    <row r="721" spans="1:21" x14ac:dyDescent="0.3">
      <c r="A721" t="s">
        <v>826</v>
      </c>
      <c r="B721" s="1">
        <v>46033</v>
      </c>
      <c r="C721" s="1">
        <v>46034</v>
      </c>
      <c r="D721" s="1">
        <v>46035</v>
      </c>
      <c r="E721" s="1">
        <v>46035</v>
      </c>
      <c r="F721" t="s">
        <v>34</v>
      </c>
      <c r="G721" t="s">
        <v>61</v>
      </c>
      <c r="H721" t="s">
        <v>21</v>
      </c>
      <c r="I721" t="s">
        <v>43</v>
      </c>
      <c r="J721">
        <v>21.5</v>
      </c>
      <c r="K721">
        <v>551.70000000000005</v>
      </c>
      <c r="L721">
        <v>1181000</v>
      </c>
      <c r="M721" t="b">
        <v>0</v>
      </c>
      <c r="N721" t="b">
        <v>0</v>
      </c>
      <c r="O721">
        <v>5000</v>
      </c>
      <c r="P721" t="b">
        <v>0</v>
      </c>
      <c r="Q721" t="b">
        <v>0</v>
      </c>
      <c r="R721" t="b">
        <v>0</v>
      </c>
      <c r="S721" t="s">
        <v>96</v>
      </c>
      <c r="T721" t="s">
        <v>104</v>
      </c>
    </row>
    <row r="722" spans="1:21" x14ac:dyDescent="0.3">
      <c r="A722" t="s">
        <v>827</v>
      </c>
      <c r="B722" s="1">
        <v>46177</v>
      </c>
      <c r="C722" s="1">
        <v>46178</v>
      </c>
      <c r="D722" s="1">
        <v>46180</v>
      </c>
      <c r="E722" s="1">
        <v>46180</v>
      </c>
      <c r="F722" t="s">
        <v>34</v>
      </c>
      <c r="G722" t="s">
        <v>58</v>
      </c>
      <c r="H722" t="s">
        <v>22</v>
      </c>
      <c r="I722" t="s">
        <v>42</v>
      </c>
      <c r="J722">
        <v>159.6</v>
      </c>
      <c r="K722">
        <v>9509.1</v>
      </c>
      <c r="L722">
        <v>6749000</v>
      </c>
      <c r="M722" t="b">
        <v>0</v>
      </c>
      <c r="N722" t="b">
        <v>0</v>
      </c>
      <c r="O722">
        <v>16000</v>
      </c>
      <c r="P722" t="b">
        <v>0</v>
      </c>
      <c r="Q722" t="b">
        <v>0</v>
      </c>
      <c r="R722" t="b">
        <v>0</v>
      </c>
      <c r="S722" t="s">
        <v>96</v>
      </c>
      <c r="T722" t="s">
        <v>99</v>
      </c>
    </row>
    <row r="723" spans="1:21" x14ac:dyDescent="0.3">
      <c r="A723" t="s">
        <v>828</v>
      </c>
      <c r="B723" s="1">
        <v>46075</v>
      </c>
      <c r="C723" s="1">
        <v>46076</v>
      </c>
      <c r="D723" s="1">
        <v>46080</v>
      </c>
      <c r="E723" s="1">
        <v>46080</v>
      </c>
      <c r="F723" t="s">
        <v>31</v>
      </c>
      <c r="G723" t="s">
        <v>54</v>
      </c>
      <c r="H723" t="s">
        <v>24</v>
      </c>
      <c r="I723" t="s">
        <v>44</v>
      </c>
      <c r="J723">
        <v>479.5</v>
      </c>
      <c r="K723">
        <v>214.2</v>
      </c>
      <c r="L723">
        <v>4205000</v>
      </c>
      <c r="M723" t="b">
        <v>0</v>
      </c>
      <c r="N723" t="b">
        <v>0</v>
      </c>
      <c r="O723">
        <v>1500</v>
      </c>
      <c r="P723" t="b">
        <v>0</v>
      </c>
      <c r="Q723" t="b">
        <v>0</v>
      </c>
      <c r="R723" t="b">
        <v>0</v>
      </c>
      <c r="S723" t="s">
        <v>96</v>
      </c>
      <c r="T723" t="s">
        <v>115</v>
      </c>
    </row>
    <row r="724" spans="1:21" x14ac:dyDescent="0.3">
      <c r="A724" t="s">
        <v>829</v>
      </c>
      <c r="B724" s="1">
        <v>46170</v>
      </c>
      <c r="C724" s="1">
        <v>46171</v>
      </c>
      <c r="D724" s="1">
        <v>46175</v>
      </c>
      <c r="E724" s="1">
        <v>46176</v>
      </c>
      <c r="F724" t="s">
        <v>31</v>
      </c>
      <c r="G724" t="s">
        <v>62</v>
      </c>
      <c r="H724" t="s">
        <v>21</v>
      </c>
      <c r="I724" t="s">
        <v>44</v>
      </c>
      <c r="J724">
        <v>683.2</v>
      </c>
      <c r="K724">
        <v>524</v>
      </c>
      <c r="L724">
        <v>7947000</v>
      </c>
      <c r="M724" t="b">
        <v>0</v>
      </c>
      <c r="N724" t="b">
        <v>0</v>
      </c>
      <c r="O724">
        <v>1500</v>
      </c>
      <c r="P724" t="b">
        <v>0</v>
      </c>
      <c r="Q724" t="b">
        <v>0</v>
      </c>
      <c r="R724" t="b">
        <v>0</v>
      </c>
      <c r="S724" t="s">
        <v>101</v>
      </c>
      <c r="T724" t="s">
        <v>102</v>
      </c>
      <c r="U724">
        <v>1</v>
      </c>
    </row>
    <row r="725" spans="1:21" x14ac:dyDescent="0.3">
      <c r="A725" t="s">
        <v>830</v>
      </c>
      <c r="B725" s="1">
        <v>46165</v>
      </c>
      <c r="C725" s="1">
        <v>46166</v>
      </c>
      <c r="D725" s="1">
        <v>46169</v>
      </c>
      <c r="E725" s="1">
        <v>46169</v>
      </c>
      <c r="F725" t="s">
        <v>31</v>
      </c>
      <c r="G725" t="s">
        <v>59</v>
      </c>
      <c r="H725" t="s">
        <v>20</v>
      </c>
      <c r="I725" t="s">
        <v>43</v>
      </c>
      <c r="J725">
        <v>303.2</v>
      </c>
      <c r="K725">
        <v>2346.5</v>
      </c>
      <c r="L725">
        <v>5659000</v>
      </c>
      <c r="M725" t="b">
        <v>0</v>
      </c>
      <c r="N725" t="b">
        <v>0</v>
      </c>
      <c r="O725">
        <v>5000</v>
      </c>
      <c r="P725" t="b">
        <v>0</v>
      </c>
      <c r="Q725" t="b">
        <v>0</v>
      </c>
      <c r="R725" t="b">
        <v>0</v>
      </c>
      <c r="S725" t="s">
        <v>96</v>
      </c>
      <c r="T725" t="s">
        <v>102</v>
      </c>
    </row>
    <row r="726" spans="1:21" x14ac:dyDescent="0.3">
      <c r="A726" t="s">
        <v>831</v>
      </c>
      <c r="B726" s="1">
        <v>46123</v>
      </c>
      <c r="C726" s="1">
        <v>46124</v>
      </c>
      <c r="D726" s="1">
        <v>46128</v>
      </c>
      <c r="E726" s="1">
        <v>46128</v>
      </c>
      <c r="F726" t="s">
        <v>33</v>
      </c>
      <c r="G726" t="s">
        <v>56</v>
      </c>
      <c r="H726" t="s">
        <v>21</v>
      </c>
      <c r="I726" t="s">
        <v>43</v>
      </c>
      <c r="J726">
        <v>1466.7</v>
      </c>
      <c r="K726">
        <v>4157.7</v>
      </c>
      <c r="L726">
        <v>19183000</v>
      </c>
      <c r="M726" t="b">
        <v>0</v>
      </c>
      <c r="N726" t="b">
        <v>0</v>
      </c>
      <c r="O726">
        <v>5000</v>
      </c>
      <c r="P726" t="b">
        <v>0</v>
      </c>
      <c r="Q726" t="b">
        <v>0</v>
      </c>
      <c r="R726" t="b">
        <v>0</v>
      </c>
      <c r="S726" t="s">
        <v>96</v>
      </c>
      <c r="T726" t="s">
        <v>112</v>
      </c>
    </row>
    <row r="727" spans="1:21" x14ac:dyDescent="0.3">
      <c r="A727" t="s">
        <v>832</v>
      </c>
      <c r="B727" s="1">
        <v>46079</v>
      </c>
      <c r="C727" s="1">
        <v>46080</v>
      </c>
      <c r="D727" s="1">
        <v>46083</v>
      </c>
      <c r="E727" s="1">
        <v>46085</v>
      </c>
      <c r="F727" t="s">
        <v>34</v>
      </c>
      <c r="G727" t="s">
        <v>54</v>
      </c>
      <c r="H727" t="s">
        <v>22</v>
      </c>
      <c r="I727" t="s">
        <v>43</v>
      </c>
      <c r="J727">
        <v>444.3</v>
      </c>
      <c r="K727">
        <v>1139.5999999999999</v>
      </c>
      <c r="L727">
        <v>5502000</v>
      </c>
      <c r="M727" t="b">
        <v>0</v>
      </c>
      <c r="N727" t="b">
        <v>0</v>
      </c>
      <c r="O727">
        <v>5000</v>
      </c>
      <c r="P727" t="b">
        <v>0</v>
      </c>
      <c r="Q727" t="b">
        <v>0</v>
      </c>
      <c r="R727" t="b">
        <v>0</v>
      </c>
      <c r="S727" t="s">
        <v>101</v>
      </c>
      <c r="T727" t="s">
        <v>115</v>
      </c>
      <c r="U727">
        <v>2</v>
      </c>
    </row>
    <row r="728" spans="1:21" x14ac:dyDescent="0.3">
      <c r="A728" t="s">
        <v>833</v>
      </c>
      <c r="B728" s="1">
        <v>46119</v>
      </c>
      <c r="C728" s="1">
        <v>46120</v>
      </c>
      <c r="D728" s="1">
        <v>46124</v>
      </c>
      <c r="E728" s="1">
        <v>46124</v>
      </c>
      <c r="F728" t="s">
        <v>34</v>
      </c>
      <c r="G728" t="s">
        <v>56</v>
      </c>
      <c r="H728" t="s">
        <v>23</v>
      </c>
      <c r="I728" t="s">
        <v>44</v>
      </c>
      <c r="J728">
        <v>926.3</v>
      </c>
      <c r="K728">
        <v>766.6</v>
      </c>
      <c r="L728">
        <v>9615000</v>
      </c>
      <c r="M728" t="b">
        <v>0</v>
      </c>
      <c r="N728" t="b">
        <v>0</v>
      </c>
      <c r="O728">
        <v>1500</v>
      </c>
      <c r="P728" t="b">
        <v>0</v>
      </c>
      <c r="Q728" t="b">
        <v>0</v>
      </c>
      <c r="R728" t="b">
        <v>0</v>
      </c>
      <c r="S728" t="s">
        <v>96</v>
      </c>
      <c r="T728" t="s">
        <v>112</v>
      </c>
    </row>
    <row r="729" spans="1:21" x14ac:dyDescent="0.3">
      <c r="A729" t="s">
        <v>834</v>
      </c>
      <c r="B729" s="1">
        <v>46106</v>
      </c>
      <c r="C729" s="1">
        <v>46107</v>
      </c>
      <c r="D729" s="1">
        <v>46109</v>
      </c>
      <c r="E729" s="1">
        <v>46109</v>
      </c>
      <c r="F729" t="s">
        <v>31</v>
      </c>
      <c r="G729" t="s">
        <v>53</v>
      </c>
      <c r="H729" t="s">
        <v>21</v>
      </c>
      <c r="I729" t="s">
        <v>45</v>
      </c>
      <c r="J729">
        <v>286.10000000000002</v>
      </c>
      <c r="K729">
        <v>408.8</v>
      </c>
      <c r="L729">
        <v>2985000</v>
      </c>
      <c r="M729" t="b">
        <v>0</v>
      </c>
      <c r="N729" t="b">
        <v>0</v>
      </c>
      <c r="O729">
        <v>1000</v>
      </c>
      <c r="P729" t="b">
        <v>0</v>
      </c>
      <c r="Q729" t="b">
        <v>0</v>
      </c>
      <c r="R729" t="b">
        <v>0</v>
      </c>
      <c r="S729" t="s">
        <v>96</v>
      </c>
      <c r="T729" t="s">
        <v>118</v>
      </c>
    </row>
    <row r="730" spans="1:21" x14ac:dyDescent="0.3">
      <c r="A730" t="s">
        <v>835</v>
      </c>
      <c r="B730" s="1">
        <v>46146</v>
      </c>
      <c r="C730" s="1">
        <v>46147</v>
      </c>
      <c r="D730" s="1">
        <v>46151</v>
      </c>
      <c r="E730" s="1">
        <v>46151</v>
      </c>
      <c r="F730" t="s">
        <v>31</v>
      </c>
      <c r="G730" t="s">
        <v>52</v>
      </c>
      <c r="H730" t="s">
        <v>20</v>
      </c>
      <c r="I730" t="s">
        <v>44</v>
      </c>
      <c r="J730">
        <v>307.10000000000002</v>
      </c>
      <c r="K730">
        <v>1019.2</v>
      </c>
      <c r="L730">
        <v>3801000</v>
      </c>
      <c r="M730" t="b">
        <v>0</v>
      </c>
      <c r="N730" t="b">
        <v>0</v>
      </c>
      <c r="O730">
        <v>1500</v>
      </c>
      <c r="P730" t="b">
        <v>0</v>
      </c>
      <c r="Q730" t="b">
        <v>0</v>
      </c>
      <c r="R730" t="b">
        <v>0</v>
      </c>
      <c r="S730" t="s">
        <v>96</v>
      </c>
      <c r="T730" t="s">
        <v>102</v>
      </c>
    </row>
    <row r="731" spans="1:21" x14ac:dyDescent="0.3">
      <c r="A731" t="s">
        <v>836</v>
      </c>
      <c r="B731" s="1">
        <v>46155</v>
      </c>
      <c r="C731" s="1">
        <v>46156</v>
      </c>
      <c r="D731" s="1">
        <v>46157</v>
      </c>
      <c r="E731" s="1">
        <v>46157</v>
      </c>
      <c r="F731" t="s">
        <v>31</v>
      </c>
      <c r="G731" t="s">
        <v>61</v>
      </c>
      <c r="H731" t="s">
        <v>22</v>
      </c>
      <c r="I731" t="s">
        <v>44</v>
      </c>
      <c r="J731">
        <v>46.8</v>
      </c>
      <c r="K731">
        <v>810</v>
      </c>
      <c r="L731">
        <v>1405000</v>
      </c>
      <c r="M731" t="b">
        <v>0</v>
      </c>
      <c r="N731" t="b">
        <v>0</v>
      </c>
      <c r="O731">
        <v>1500</v>
      </c>
      <c r="P731" t="b">
        <v>0</v>
      </c>
      <c r="Q731" t="b">
        <v>0</v>
      </c>
      <c r="R731" t="b">
        <v>0</v>
      </c>
      <c r="S731" t="s">
        <v>96</v>
      </c>
      <c r="T731" t="s">
        <v>102</v>
      </c>
    </row>
    <row r="732" spans="1:21" x14ac:dyDescent="0.3">
      <c r="A732" t="s">
        <v>837</v>
      </c>
      <c r="B732" s="1">
        <v>46083</v>
      </c>
      <c r="C732" s="1">
        <v>46085</v>
      </c>
      <c r="D732" s="1">
        <v>46089</v>
      </c>
      <c r="E732" s="1">
        <v>46089</v>
      </c>
      <c r="F732" t="s">
        <v>34</v>
      </c>
      <c r="G732" t="s">
        <v>62</v>
      </c>
      <c r="H732" t="s">
        <v>22</v>
      </c>
      <c r="I732" t="s">
        <v>43</v>
      </c>
      <c r="J732">
        <v>663.6</v>
      </c>
      <c r="K732">
        <v>3916.5</v>
      </c>
      <c r="L732">
        <v>11532000</v>
      </c>
      <c r="M732" t="b">
        <v>0</v>
      </c>
      <c r="N732" t="b">
        <v>0</v>
      </c>
      <c r="O732">
        <v>5000</v>
      </c>
      <c r="P732" t="b">
        <v>0</v>
      </c>
      <c r="Q732" t="b">
        <v>0</v>
      </c>
      <c r="R732" t="b">
        <v>0</v>
      </c>
      <c r="S732" t="s">
        <v>96</v>
      </c>
      <c r="T732" t="s">
        <v>118</v>
      </c>
    </row>
    <row r="733" spans="1:21" x14ac:dyDescent="0.3">
      <c r="A733" t="s">
        <v>838</v>
      </c>
      <c r="B733" s="1">
        <v>46169</v>
      </c>
      <c r="C733" s="1">
        <v>46170</v>
      </c>
      <c r="D733" s="1">
        <v>46172</v>
      </c>
      <c r="E733" s="1">
        <v>46173</v>
      </c>
      <c r="F733" t="s">
        <v>31</v>
      </c>
      <c r="G733" t="s">
        <v>52</v>
      </c>
      <c r="H733" t="s">
        <v>21</v>
      </c>
      <c r="I733" t="s">
        <v>43</v>
      </c>
      <c r="J733">
        <v>297.2</v>
      </c>
      <c r="K733">
        <v>1063.5999999999999</v>
      </c>
      <c r="L733">
        <v>4540000</v>
      </c>
      <c r="M733" t="b">
        <v>0</v>
      </c>
      <c r="N733" t="b">
        <v>0</v>
      </c>
      <c r="O733">
        <v>5000</v>
      </c>
      <c r="P733" t="b">
        <v>0</v>
      </c>
      <c r="Q733" t="b">
        <v>0</v>
      </c>
      <c r="R733" t="b">
        <v>0</v>
      </c>
      <c r="S733" t="s">
        <v>101</v>
      </c>
      <c r="T733" t="s">
        <v>102</v>
      </c>
      <c r="U733">
        <v>1</v>
      </c>
    </row>
    <row r="734" spans="1:21" x14ac:dyDescent="0.3">
      <c r="A734" t="s">
        <v>839</v>
      </c>
      <c r="B734" s="1">
        <v>46188</v>
      </c>
      <c r="C734" s="1">
        <v>46189</v>
      </c>
      <c r="D734" s="1">
        <v>46190</v>
      </c>
      <c r="E734" s="1">
        <v>46191</v>
      </c>
      <c r="F734" t="s">
        <v>31</v>
      </c>
      <c r="G734" t="s">
        <v>55</v>
      </c>
      <c r="H734" t="s">
        <v>21</v>
      </c>
      <c r="I734" t="s">
        <v>43</v>
      </c>
      <c r="J734">
        <v>23.6</v>
      </c>
      <c r="K734">
        <v>1447.2</v>
      </c>
      <c r="L734">
        <v>1638000</v>
      </c>
      <c r="M734" t="b">
        <v>0</v>
      </c>
      <c r="N734" t="b">
        <v>0</v>
      </c>
      <c r="O734">
        <v>5000</v>
      </c>
      <c r="P734" t="b">
        <v>0</v>
      </c>
      <c r="Q734" t="b">
        <v>0</v>
      </c>
      <c r="R734" t="b">
        <v>0</v>
      </c>
      <c r="S734" t="s">
        <v>101</v>
      </c>
      <c r="T734" t="s">
        <v>99</v>
      </c>
      <c r="U734">
        <v>1</v>
      </c>
    </row>
    <row r="735" spans="1:21" x14ac:dyDescent="0.3">
      <c r="A735" t="s">
        <v>840</v>
      </c>
      <c r="B735" s="1">
        <v>46168</v>
      </c>
      <c r="C735" s="1">
        <v>46169</v>
      </c>
      <c r="D735" s="1">
        <v>46171</v>
      </c>
      <c r="E735" s="1">
        <v>46171</v>
      </c>
      <c r="F735" t="s">
        <v>32</v>
      </c>
      <c r="G735" t="s">
        <v>55</v>
      </c>
      <c r="H735" t="s">
        <v>21</v>
      </c>
      <c r="I735" t="s">
        <v>42</v>
      </c>
      <c r="J735">
        <v>123.4</v>
      </c>
      <c r="K735">
        <v>6189.1</v>
      </c>
      <c r="L735">
        <v>4600000</v>
      </c>
      <c r="M735" t="b">
        <v>0</v>
      </c>
      <c r="N735" t="b">
        <v>0</v>
      </c>
      <c r="O735">
        <v>16000</v>
      </c>
      <c r="P735" t="b">
        <v>0</v>
      </c>
      <c r="Q735" t="b">
        <v>0</v>
      </c>
      <c r="R735" t="b">
        <v>0</v>
      </c>
      <c r="S735" t="s">
        <v>96</v>
      </c>
      <c r="T735" t="s">
        <v>102</v>
      </c>
    </row>
    <row r="736" spans="1:21" x14ac:dyDescent="0.3">
      <c r="A736" t="s">
        <v>841</v>
      </c>
      <c r="B736" s="1">
        <v>46101</v>
      </c>
      <c r="C736" s="1">
        <v>46102</v>
      </c>
      <c r="D736" s="1">
        <v>46106</v>
      </c>
      <c r="E736" s="1">
        <v>46107</v>
      </c>
      <c r="F736" t="s">
        <v>34</v>
      </c>
      <c r="G736" t="s">
        <v>62</v>
      </c>
      <c r="H736" t="s">
        <v>22</v>
      </c>
      <c r="I736" t="s">
        <v>44</v>
      </c>
      <c r="J736">
        <v>753.6</v>
      </c>
      <c r="K736">
        <v>745.5</v>
      </c>
      <c r="L736">
        <v>8726000</v>
      </c>
      <c r="M736" t="b">
        <v>0</v>
      </c>
      <c r="N736" t="b">
        <v>0</v>
      </c>
      <c r="O736">
        <v>1500</v>
      </c>
      <c r="P736" t="b">
        <v>0</v>
      </c>
      <c r="Q736" t="b">
        <v>0</v>
      </c>
      <c r="R736" t="b">
        <v>0</v>
      </c>
      <c r="S736" t="s">
        <v>101</v>
      </c>
      <c r="T736" t="s">
        <v>118</v>
      </c>
      <c r="U736">
        <v>1</v>
      </c>
    </row>
    <row r="737" spans="1:21" x14ac:dyDescent="0.3">
      <c r="A737" t="s">
        <v>842</v>
      </c>
      <c r="B737" s="1">
        <v>46147</v>
      </c>
      <c r="C737" s="1">
        <v>46148</v>
      </c>
      <c r="D737" s="1">
        <v>46150</v>
      </c>
      <c r="E737" s="1">
        <v>46151</v>
      </c>
      <c r="F737" t="s">
        <v>32</v>
      </c>
      <c r="G737" t="s">
        <v>59</v>
      </c>
      <c r="H737" t="s">
        <v>23</v>
      </c>
      <c r="I737" t="s">
        <v>42</v>
      </c>
      <c r="J737">
        <v>163.5</v>
      </c>
      <c r="K737">
        <v>2587.4</v>
      </c>
      <c r="L737">
        <v>4694000</v>
      </c>
      <c r="M737" t="b">
        <v>0</v>
      </c>
      <c r="N737" t="b">
        <v>0</v>
      </c>
      <c r="O737">
        <v>16000</v>
      </c>
      <c r="P737" t="b">
        <v>0</v>
      </c>
      <c r="Q737" t="b">
        <v>0</v>
      </c>
      <c r="R737" t="b">
        <v>0</v>
      </c>
      <c r="S737" t="s">
        <v>101</v>
      </c>
      <c r="T737" t="s">
        <v>102</v>
      </c>
      <c r="U737">
        <v>1</v>
      </c>
    </row>
    <row r="738" spans="1:21" x14ac:dyDescent="0.3">
      <c r="A738" t="s">
        <v>843</v>
      </c>
      <c r="B738" s="1">
        <v>46119</v>
      </c>
      <c r="C738" s="1">
        <v>46120</v>
      </c>
      <c r="D738" s="1">
        <v>46123</v>
      </c>
      <c r="E738" s="1">
        <v>46123</v>
      </c>
      <c r="F738" t="s">
        <v>31</v>
      </c>
      <c r="G738" t="s">
        <v>54</v>
      </c>
      <c r="H738" t="s">
        <v>20</v>
      </c>
      <c r="I738" t="s">
        <v>45</v>
      </c>
      <c r="J738">
        <v>472.3</v>
      </c>
      <c r="K738">
        <v>279.3</v>
      </c>
      <c r="L738">
        <v>4614000</v>
      </c>
      <c r="M738" t="b">
        <v>0</v>
      </c>
      <c r="N738" t="b">
        <v>0</v>
      </c>
      <c r="O738">
        <v>1000</v>
      </c>
      <c r="P738" t="b">
        <v>0</v>
      </c>
      <c r="Q738" t="b">
        <v>0</v>
      </c>
      <c r="R738" t="b">
        <v>0</v>
      </c>
      <c r="S738" t="s">
        <v>96</v>
      </c>
      <c r="T738" t="s">
        <v>112</v>
      </c>
    </row>
    <row r="739" spans="1:21" x14ac:dyDescent="0.3">
      <c r="A739" t="s">
        <v>844</v>
      </c>
      <c r="B739" s="1">
        <v>46175</v>
      </c>
      <c r="C739" s="1">
        <v>46177</v>
      </c>
      <c r="D739" s="1">
        <v>46178</v>
      </c>
      <c r="E739" s="1">
        <v>46178</v>
      </c>
      <c r="F739" t="s">
        <v>34</v>
      </c>
      <c r="G739" t="s">
        <v>55</v>
      </c>
      <c r="H739" t="s">
        <v>20</v>
      </c>
      <c r="I739" t="s">
        <v>42</v>
      </c>
      <c r="J739">
        <v>54.6</v>
      </c>
      <c r="K739">
        <v>14805.3</v>
      </c>
      <c r="L739">
        <v>5777000</v>
      </c>
      <c r="M739" t="b">
        <v>0</v>
      </c>
      <c r="N739" t="b">
        <v>0</v>
      </c>
      <c r="O739">
        <v>16000</v>
      </c>
      <c r="P739" t="b">
        <v>0</v>
      </c>
      <c r="Q739" t="b">
        <v>0</v>
      </c>
      <c r="R739" t="b">
        <v>0</v>
      </c>
      <c r="S739" t="s">
        <v>96</v>
      </c>
      <c r="T739" t="s">
        <v>99</v>
      </c>
    </row>
    <row r="740" spans="1:21" x14ac:dyDescent="0.3">
      <c r="A740" t="s">
        <v>845</v>
      </c>
      <c r="B740" s="1">
        <v>46089</v>
      </c>
      <c r="C740" s="1">
        <v>46090</v>
      </c>
      <c r="D740" s="1">
        <v>46094</v>
      </c>
      <c r="E740" s="1">
        <v>46094</v>
      </c>
      <c r="F740" t="s">
        <v>32</v>
      </c>
      <c r="G740" t="s">
        <v>58</v>
      </c>
      <c r="H740" t="s">
        <v>21</v>
      </c>
      <c r="I740" t="s">
        <v>43</v>
      </c>
      <c r="J740">
        <v>311</v>
      </c>
      <c r="K740">
        <v>1322.2</v>
      </c>
      <c r="L740">
        <v>5107000</v>
      </c>
      <c r="M740" t="b">
        <v>0</v>
      </c>
      <c r="N740" t="b">
        <v>0</v>
      </c>
      <c r="O740">
        <v>5000</v>
      </c>
      <c r="P740" t="b">
        <v>0</v>
      </c>
      <c r="Q740" t="b">
        <v>0</v>
      </c>
      <c r="R740" t="b">
        <v>0</v>
      </c>
      <c r="S740" t="s">
        <v>96</v>
      </c>
      <c r="T740" t="s">
        <v>118</v>
      </c>
    </row>
    <row r="741" spans="1:21" x14ac:dyDescent="0.3">
      <c r="A741" t="s">
        <v>846</v>
      </c>
      <c r="B741" s="1">
        <v>46024</v>
      </c>
      <c r="C741" s="1">
        <v>46025</v>
      </c>
      <c r="D741" s="1">
        <v>46028</v>
      </c>
      <c r="E741" s="1">
        <v>46028</v>
      </c>
      <c r="F741" t="s">
        <v>31</v>
      </c>
      <c r="G741" t="s">
        <v>54</v>
      </c>
      <c r="H741" t="s">
        <v>24</v>
      </c>
      <c r="I741" t="s">
        <v>43</v>
      </c>
      <c r="J741">
        <v>509.4</v>
      </c>
      <c r="K741">
        <v>1882.3</v>
      </c>
      <c r="L741">
        <v>7377000</v>
      </c>
      <c r="M741" t="b">
        <v>0</v>
      </c>
      <c r="N741" t="b">
        <v>0</v>
      </c>
      <c r="O741">
        <v>5000</v>
      </c>
      <c r="P741" t="b">
        <v>0</v>
      </c>
      <c r="Q741" t="b">
        <v>0</v>
      </c>
      <c r="R741" t="b">
        <v>0</v>
      </c>
      <c r="S741" t="s">
        <v>96</v>
      </c>
      <c r="T741" t="s">
        <v>104</v>
      </c>
    </row>
    <row r="742" spans="1:21" x14ac:dyDescent="0.3">
      <c r="A742" t="s">
        <v>847</v>
      </c>
      <c r="B742" s="1">
        <v>46103</v>
      </c>
      <c r="C742" s="1">
        <v>46104</v>
      </c>
      <c r="D742" s="1">
        <v>46108</v>
      </c>
      <c r="E742" s="1">
        <v>46108</v>
      </c>
      <c r="F742" t="s">
        <v>34</v>
      </c>
      <c r="G742" t="s">
        <v>56</v>
      </c>
      <c r="H742" t="s">
        <v>20</v>
      </c>
      <c r="I742" t="s">
        <v>44</v>
      </c>
      <c r="J742">
        <v>913.9</v>
      </c>
      <c r="K742">
        <v>616.6</v>
      </c>
      <c r="L742">
        <v>8418000</v>
      </c>
      <c r="M742" t="b">
        <v>0</v>
      </c>
      <c r="N742" t="b">
        <v>0</v>
      </c>
      <c r="O742">
        <v>1500</v>
      </c>
      <c r="P742" t="b">
        <v>0</v>
      </c>
      <c r="Q742" t="b">
        <v>0</v>
      </c>
      <c r="R742" t="b">
        <v>0</v>
      </c>
      <c r="S742" t="s">
        <v>96</v>
      </c>
      <c r="T742" t="s">
        <v>118</v>
      </c>
    </row>
    <row r="743" spans="1:21" x14ac:dyDescent="0.3">
      <c r="A743" t="s">
        <v>848</v>
      </c>
      <c r="B743" s="1">
        <v>46141</v>
      </c>
      <c r="C743" s="1">
        <v>46141</v>
      </c>
      <c r="D743" s="1">
        <v>46144</v>
      </c>
      <c r="E743" s="1">
        <v>46144</v>
      </c>
      <c r="F743" t="s">
        <v>32</v>
      </c>
      <c r="G743" t="s">
        <v>60</v>
      </c>
      <c r="H743" t="s">
        <v>23</v>
      </c>
      <c r="I743" t="s">
        <v>45</v>
      </c>
      <c r="J743">
        <v>460.9</v>
      </c>
      <c r="K743">
        <v>823.9</v>
      </c>
      <c r="L743">
        <v>4913000</v>
      </c>
      <c r="M743" t="b">
        <v>0</v>
      </c>
      <c r="N743" t="b">
        <v>0</v>
      </c>
      <c r="O743">
        <v>1000</v>
      </c>
      <c r="P743" t="b">
        <v>0</v>
      </c>
      <c r="Q743" t="b">
        <v>0</v>
      </c>
      <c r="R743" t="b">
        <v>0</v>
      </c>
      <c r="S743" t="s">
        <v>96</v>
      </c>
      <c r="T743" t="s">
        <v>112</v>
      </c>
    </row>
    <row r="744" spans="1:21" x14ac:dyDescent="0.3">
      <c r="A744" t="s">
        <v>849</v>
      </c>
      <c r="B744" s="1">
        <v>46163</v>
      </c>
      <c r="C744" s="1">
        <v>46163</v>
      </c>
      <c r="D744" s="1">
        <v>46167</v>
      </c>
      <c r="E744" s="1">
        <v>46167</v>
      </c>
      <c r="F744" t="s">
        <v>33</v>
      </c>
      <c r="G744" t="s">
        <v>58</v>
      </c>
      <c r="H744" t="s">
        <v>23</v>
      </c>
      <c r="I744" t="s">
        <v>42</v>
      </c>
      <c r="J744">
        <v>715.6</v>
      </c>
      <c r="K744">
        <v>3294.1</v>
      </c>
      <c r="L744">
        <v>15131000</v>
      </c>
      <c r="M744" t="b">
        <v>0</v>
      </c>
      <c r="N744" t="b">
        <v>0</v>
      </c>
      <c r="O744">
        <v>16000</v>
      </c>
      <c r="P744" t="b">
        <v>0</v>
      </c>
      <c r="Q744" t="b">
        <v>0</v>
      </c>
      <c r="R744" t="b">
        <v>0</v>
      </c>
      <c r="S744" t="s">
        <v>96</v>
      </c>
      <c r="T744" t="s">
        <v>102</v>
      </c>
    </row>
    <row r="745" spans="1:21" x14ac:dyDescent="0.3">
      <c r="A745" t="s">
        <v>850</v>
      </c>
      <c r="B745" s="1">
        <v>46184</v>
      </c>
      <c r="C745" s="1">
        <v>46184</v>
      </c>
      <c r="D745" s="1">
        <v>46188</v>
      </c>
      <c r="E745" s="1">
        <v>46188</v>
      </c>
      <c r="F745" t="s">
        <v>34</v>
      </c>
      <c r="G745" t="s">
        <v>63</v>
      </c>
      <c r="H745" t="s">
        <v>22</v>
      </c>
      <c r="I745" t="s">
        <v>42</v>
      </c>
      <c r="J745">
        <v>336.8</v>
      </c>
      <c r="K745">
        <v>7008.2</v>
      </c>
      <c r="L745">
        <v>9462000</v>
      </c>
      <c r="M745" t="b">
        <v>0</v>
      </c>
      <c r="N745" t="b">
        <v>0</v>
      </c>
      <c r="O745">
        <v>16000</v>
      </c>
      <c r="P745" t="b">
        <v>0</v>
      </c>
      <c r="Q745" t="b">
        <v>0</v>
      </c>
      <c r="R745" t="b">
        <v>0</v>
      </c>
      <c r="S745" t="s">
        <v>96</v>
      </c>
      <c r="T745" t="s">
        <v>99</v>
      </c>
    </row>
    <row r="746" spans="1:21" x14ac:dyDescent="0.3">
      <c r="A746" t="s">
        <v>851</v>
      </c>
      <c r="B746" s="1">
        <v>46153</v>
      </c>
      <c r="C746" s="1">
        <v>46154</v>
      </c>
      <c r="D746" s="1">
        <v>46157</v>
      </c>
      <c r="E746" s="1">
        <v>46156</v>
      </c>
      <c r="F746" t="s">
        <v>34</v>
      </c>
      <c r="G746" t="s">
        <v>63</v>
      </c>
      <c r="H746" t="s">
        <v>20</v>
      </c>
      <c r="I746" t="s">
        <v>42</v>
      </c>
      <c r="J746">
        <v>320.39999999999998</v>
      </c>
      <c r="K746">
        <v>5091.8</v>
      </c>
      <c r="L746">
        <v>7840000</v>
      </c>
      <c r="M746" t="b">
        <v>0</v>
      </c>
      <c r="N746" t="b">
        <v>0</v>
      </c>
      <c r="O746">
        <v>16000</v>
      </c>
      <c r="P746" t="b">
        <v>0</v>
      </c>
      <c r="Q746" t="b">
        <v>0</v>
      </c>
      <c r="R746" t="b">
        <v>0</v>
      </c>
      <c r="S746" t="s">
        <v>96</v>
      </c>
      <c r="T746" t="s">
        <v>102</v>
      </c>
    </row>
    <row r="747" spans="1:21" x14ac:dyDescent="0.3">
      <c r="A747" t="s">
        <v>852</v>
      </c>
      <c r="B747" s="1">
        <v>46201</v>
      </c>
      <c r="C747" s="1">
        <v>46203</v>
      </c>
      <c r="D747" s="1">
        <v>46204</v>
      </c>
      <c r="E747" s="1">
        <v>46204</v>
      </c>
      <c r="F747" t="s">
        <v>32</v>
      </c>
      <c r="G747" t="s">
        <v>57</v>
      </c>
      <c r="H747" t="s">
        <v>21</v>
      </c>
      <c r="I747" t="s">
        <v>44</v>
      </c>
      <c r="J747">
        <v>19.100000000000001</v>
      </c>
      <c r="K747">
        <v>942.5</v>
      </c>
      <c r="L747">
        <v>1175000</v>
      </c>
      <c r="M747" t="b">
        <v>0</v>
      </c>
      <c r="N747" t="b">
        <v>0</v>
      </c>
      <c r="O747">
        <v>1500</v>
      </c>
      <c r="P747" t="b">
        <v>0</v>
      </c>
      <c r="Q747" t="b">
        <v>0</v>
      </c>
      <c r="R747" t="b">
        <v>0</v>
      </c>
      <c r="S747" t="s">
        <v>96</v>
      </c>
      <c r="T747" t="s">
        <v>99</v>
      </c>
    </row>
    <row r="748" spans="1:21" x14ac:dyDescent="0.3">
      <c r="A748" t="s">
        <v>853</v>
      </c>
      <c r="B748" s="1">
        <v>46085</v>
      </c>
      <c r="C748" s="1">
        <v>46086</v>
      </c>
      <c r="D748" s="1">
        <v>46088</v>
      </c>
      <c r="E748" s="1">
        <v>46088</v>
      </c>
      <c r="F748" t="s">
        <v>34</v>
      </c>
      <c r="G748" t="s">
        <v>58</v>
      </c>
      <c r="H748" t="s">
        <v>20</v>
      </c>
      <c r="I748" t="s">
        <v>45</v>
      </c>
      <c r="J748">
        <v>158.80000000000001</v>
      </c>
      <c r="K748">
        <v>773.4</v>
      </c>
      <c r="L748">
        <v>2055000</v>
      </c>
      <c r="M748" t="b">
        <v>0</v>
      </c>
      <c r="N748" t="b">
        <v>0</v>
      </c>
      <c r="O748">
        <v>1000</v>
      </c>
      <c r="P748" t="b">
        <v>0</v>
      </c>
      <c r="Q748" t="b">
        <v>0</v>
      </c>
      <c r="R748" t="b">
        <v>0</v>
      </c>
      <c r="S748" t="s">
        <v>96</v>
      </c>
      <c r="T748" t="s">
        <v>118</v>
      </c>
    </row>
    <row r="749" spans="1:21" x14ac:dyDescent="0.3">
      <c r="A749" t="s">
        <v>854</v>
      </c>
      <c r="B749" s="1">
        <v>46048</v>
      </c>
      <c r="C749" s="1">
        <v>46049</v>
      </c>
      <c r="D749" s="1">
        <v>46051</v>
      </c>
      <c r="E749" s="1">
        <v>46051</v>
      </c>
      <c r="F749" t="s">
        <v>34</v>
      </c>
      <c r="G749" t="s">
        <v>58</v>
      </c>
      <c r="H749" t="s">
        <v>22</v>
      </c>
      <c r="I749" t="s">
        <v>44</v>
      </c>
      <c r="J749">
        <v>151.4</v>
      </c>
      <c r="K749">
        <v>1365.4</v>
      </c>
      <c r="L749">
        <v>2355000</v>
      </c>
      <c r="M749" t="b">
        <v>0</v>
      </c>
      <c r="N749" t="b">
        <v>0</v>
      </c>
      <c r="O749">
        <v>1500</v>
      </c>
      <c r="P749" t="b">
        <v>0</v>
      </c>
      <c r="Q749" t="b">
        <v>0</v>
      </c>
      <c r="R749" t="b">
        <v>0</v>
      </c>
      <c r="S749" t="s">
        <v>96</v>
      </c>
      <c r="T749" t="s">
        <v>104</v>
      </c>
    </row>
    <row r="750" spans="1:21" x14ac:dyDescent="0.3">
      <c r="A750" t="s">
        <v>855</v>
      </c>
      <c r="B750" s="1">
        <v>46048</v>
      </c>
      <c r="C750" s="1">
        <v>46049</v>
      </c>
      <c r="D750" s="1">
        <v>46052</v>
      </c>
      <c r="E750" s="1">
        <v>46052</v>
      </c>
      <c r="F750" t="s">
        <v>32</v>
      </c>
      <c r="G750" t="s">
        <v>55</v>
      </c>
      <c r="H750" t="s">
        <v>20</v>
      </c>
      <c r="I750" t="s">
        <v>43</v>
      </c>
      <c r="J750">
        <v>136.80000000000001</v>
      </c>
      <c r="K750">
        <v>1169.5999999999999</v>
      </c>
      <c r="L750">
        <v>2852000</v>
      </c>
      <c r="M750" t="b">
        <v>0</v>
      </c>
      <c r="N750" t="b">
        <v>0</v>
      </c>
      <c r="O750">
        <v>5000</v>
      </c>
      <c r="P750" t="b">
        <v>0</v>
      </c>
      <c r="Q750" t="b">
        <v>0</v>
      </c>
      <c r="R750" t="b">
        <v>0</v>
      </c>
      <c r="S750" t="s">
        <v>96</v>
      </c>
      <c r="T750" t="s">
        <v>104</v>
      </c>
    </row>
    <row r="751" spans="1:21" x14ac:dyDescent="0.3">
      <c r="A751" t="s">
        <v>856</v>
      </c>
      <c r="B751" s="1">
        <v>46164</v>
      </c>
      <c r="C751" s="1">
        <v>46165</v>
      </c>
      <c r="D751" s="1">
        <v>46166</v>
      </c>
      <c r="E751" s="1">
        <v>46166</v>
      </c>
      <c r="F751" t="s">
        <v>34</v>
      </c>
      <c r="G751" t="s">
        <v>61</v>
      </c>
      <c r="H751" t="s">
        <v>22</v>
      </c>
      <c r="I751" t="s">
        <v>44</v>
      </c>
      <c r="J751">
        <v>21.1</v>
      </c>
      <c r="K751">
        <v>1364.7</v>
      </c>
      <c r="L751">
        <v>1432000</v>
      </c>
      <c r="M751" t="b">
        <v>0</v>
      </c>
      <c r="N751" t="b">
        <v>0</v>
      </c>
      <c r="O751">
        <v>1500</v>
      </c>
      <c r="P751" t="b">
        <v>0</v>
      </c>
      <c r="Q751" t="b">
        <v>0</v>
      </c>
      <c r="R751" t="b">
        <v>0</v>
      </c>
      <c r="S751" t="s">
        <v>96</v>
      </c>
      <c r="T751" t="s">
        <v>102</v>
      </c>
    </row>
    <row r="752" spans="1:21" x14ac:dyDescent="0.3">
      <c r="A752" t="s">
        <v>857</v>
      </c>
      <c r="B752" s="1">
        <v>46040</v>
      </c>
      <c r="C752" s="1">
        <v>46040</v>
      </c>
      <c r="D752" s="1">
        <v>46042</v>
      </c>
      <c r="E752" s="1">
        <v>46042</v>
      </c>
      <c r="F752" t="s">
        <v>32</v>
      </c>
      <c r="G752" t="s">
        <v>59</v>
      </c>
      <c r="H752" t="s">
        <v>24</v>
      </c>
      <c r="I752" t="s">
        <v>45</v>
      </c>
      <c r="J752">
        <v>183.7</v>
      </c>
      <c r="K752">
        <v>594.6</v>
      </c>
      <c r="L752">
        <v>2400000</v>
      </c>
      <c r="M752" t="b">
        <v>0</v>
      </c>
      <c r="N752" t="b">
        <v>0</v>
      </c>
      <c r="O752">
        <v>1000</v>
      </c>
      <c r="P752" t="b">
        <v>0</v>
      </c>
      <c r="Q752" t="b">
        <v>0</v>
      </c>
      <c r="R752" t="b">
        <v>0</v>
      </c>
      <c r="S752" t="s">
        <v>96</v>
      </c>
      <c r="T752" t="s">
        <v>104</v>
      </c>
    </row>
    <row r="753" spans="1:21" x14ac:dyDescent="0.3">
      <c r="A753" t="s">
        <v>858</v>
      </c>
      <c r="B753" s="1">
        <v>46030</v>
      </c>
      <c r="C753" s="1">
        <v>46030</v>
      </c>
      <c r="D753" s="1">
        <v>46033</v>
      </c>
      <c r="E753" s="1">
        <v>46033</v>
      </c>
      <c r="F753" t="s">
        <v>34</v>
      </c>
      <c r="G753" t="s">
        <v>59</v>
      </c>
      <c r="H753" t="s">
        <v>23</v>
      </c>
      <c r="I753" t="s">
        <v>45</v>
      </c>
      <c r="J753">
        <v>322.60000000000002</v>
      </c>
      <c r="K753">
        <v>397.8</v>
      </c>
      <c r="L753">
        <v>3056000</v>
      </c>
      <c r="M753" t="b">
        <v>0</v>
      </c>
      <c r="N753" t="b">
        <v>0</v>
      </c>
      <c r="O753">
        <v>1000</v>
      </c>
      <c r="P753" t="b">
        <v>0</v>
      </c>
      <c r="Q753" t="b">
        <v>0</v>
      </c>
      <c r="R753" t="b">
        <v>0</v>
      </c>
      <c r="S753" t="s">
        <v>96</v>
      </c>
      <c r="T753" t="s">
        <v>104</v>
      </c>
    </row>
    <row r="754" spans="1:21" x14ac:dyDescent="0.3">
      <c r="A754" t="s">
        <v>859</v>
      </c>
      <c r="B754" s="1">
        <v>46094</v>
      </c>
      <c r="C754" s="1">
        <v>46096</v>
      </c>
      <c r="D754" s="1">
        <v>46098</v>
      </c>
      <c r="E754" s="1">
        <v>46099</v>
      </c>
      <c r="F754" t="s">
        <v>32</v>
      </c>
      <c r="G754" t="s">
        <v>53</v>
      </c>
      <c r="H754" t="s">
        <v>22</v>
      </c>
      <c r="I754" t="s">
        <v>43</v>
      </c>
      <c r="J754">
        <v>273.5</v>
      </c>
      <c r="K754">
        <v>1417.4</v>
      </c>
      <c r="L754">
        <v>4370000</v>
      </c>
      <c r="M754" t="b">
        <v>0</v>
      </c>
      <c r="N754" t="b">
        <v>0</v>
      </c>
      <c r="O754">
        <v>5000</v>
      </c>
      <c r="P754" t="b">
        <v>0</v>
      </c>
      <c r="Q754" t="b">
        <v>0</v>
      </c>
      <c r="R754" t="b">
        <v>0</v>
      </c>
      <c r="S754" t="s">
        <v>101</v>
      </c>
      <c r="T754" t="s">
        <v>118</v>
      </c>
      <c r="U754">
        <v>1</v>
      </c>
    </row>
    <row r="755" spans="1:21" x14ac:dyDescent="0.3">
      <c r="A755" t="s">
        <v>860</v>
      </c>
      <c r="B755" s="1">
        <v>46174</v>
      </c>
      <c r="C755" s="1">
        <v>46176</v>
      </c>
      <c r="D755" s="1">
        <v>46178</v>
      </c>
      <c r="E755" s="1">
        <v>46178</v>
      </c>
      <c r="F755" t="s">
        <v>32</v>
      </c>
      <c r="G755" t="s">
        <v>63</v>
      </c>
      <c r="H755" t="s">
        <v>21</v>
      </c>
      <c r="I755" t="s">
        <v>43</v>
      </c>
      <c r="J755">
        <v>178.5</v>
      </c>
      <c r="K755">
        <v>634.29999999999995</v>
      </c>
      <c r="L755">
        <v>3226000</v>
      </c>
      <c r="M755" t="b">
        <v>0</v>
      </c>
      <c r="N755" t="b">
        <v>0</v>
      </c>
      <c r="O755">
        <v>5000</v>
      </c>
      <c r="P755" t="b">
        <v>0</v>
      </c>
      <c r="Q755" t="b">
        <v>0</v>
      </c>
      <c r="R755" t="b">
        <v>0</v>
      </c>
      <c r="S755" t="s">
        <v>96</v>
      </c>
      <c r="T755" t="s">
        <v>99</v>
      </c>
    </row>
    <row r="756" spans="1:21" x14ac:dyDescent="0.3">
      <c r="A756" t="s">
        <v>861</v>
      </c>
      <c r="B756" s="1">
        <v>46057</v>
      </c>
      <c r="C756" s="1">
        <v>46058</v>
      </c>
      <c r="D756" s="1">
        <v>46059</v>
      </c>
      <c r="E756" s="1">
        <v>46060</v>
      </c>
      <c r="F756" t="s">
        <v>33</v>
      </c>
      <c r="G756" t="s">
        <v>60</v>
      </c>
      <c r="H756" t="s">
        <v>24</v>
      </c>
      <c r="I756" t="s">
        <v>43</v>
      </c>
      <c r="J756">
        <v>13.3</v>
      </c>
      <c r="K756">
        <v>3489.5</v>
      </c>
      <c r="L756">
        <v>2328000</v>
      </c>
      <c r="M756" t="b">
        <v>0</v>
      </c>
      <c r="N756" t="b">
        <v>0</v>
      </c>
      <c r="O756">
        <v>5000</v>
      </c>
      <c r="P756" t="b">
        <v>0</v>
      </c>
      <c r="Q756" t="b">
        <v>0</v>
      </c>
      <c r="R756" t="b">
        <v>0</v>
      </c>
      <c r="S756" t="s">
        <v>101</v>
      </c>
      <c r="T756" t="s">
        <v>115</v>
      </c>
      <c r="U756">
        <v>1</v>
      </c>
    </row>
    <row r="757" spans="1:21" x14ac:dyDescent="0.3">
      <c r="A757" t="s">
        <v>862</v>
      </c>
      <c r="B757" s="1">
        <v>46185</v>
      </c>
      <c r="C757" s="1">
        <v>46187</v>
      </c>
      <c r="D757" s="1">
        <v>46188</v>
      </c>
      <c r="E757" s="1">
        <v>46189</v>
      </c>
      <c r="F757" t="s">
        <v>34</v>
      </c>
      <c r="G757" t="s">
        <v>61</v>
      </c>
      <c r="H757" t="s">
        <v>24</v>
      </c>
      <c r="I757" t="s">
        <v>45</v>
      </c>
      <c r="J757">
        <v>22.3</v>
      </c>
      <c r="K757">
        <v>136.5</v>
      </c>
      <c r="L757">
        <v>574000</v>
      </c>
      <c r="M757" t="b">
        <v>0</v>
      </c>
      <c r="N757" t="b">
        <v>0</v>
      </c>
      <c r="O757">
        <v>1000</v>
      </c>
      <c r="P757" t="b">
        <v>0</v>
      </c>
      <c r="Q757" t="b">
        <v>0</v>
      </c>
      <c r="R757" t="b">
        <v>0</v>
      </c>
      <c r="S757" t="s">
        <v>101</v>
      </c>
      <c r="T757" t="s">
        <v>99</v>
      </c>
      <c r="U757">
        <v>1</v>
      </c>
    </row>
    <row r="758" spans="1:21" x14ac:dyDescent="0.3">
      <c r="A758" t="s">
        <v>863</v>
      </c>
      <c r="B758" s="1">
        <v>46032</v>
      </c>
      <c r="C758" s="1">
        <v>46033</v>
      </c>
      <c r="D758" s="1">
        <v>46036</v>
      </c>
      <c r="E758" s="1">
        <v>46036</v>
      </c>
      <c r="F758" t="s">
        <v>31</v>
      </c>
      <c r="G758" t="s">
        <v>60</v>
      </c>
      <c r="H758" t="s">
        <v>20</v>
      </c>
      <c r="I758" t="s">
        <v>43</v>
      </c>
      <c r="J758">
        <v>567.20000000000005</v>
      </c>
      <c r="K758">
        <v>2031.2</v>
      </c>
      <c r="L758">
        <v>10422000</v>
      </c>
      <c r="M758" t="b">
        <v>0</v>
      </c>
      <c r="N758" t="b">
        <v>0</v>
      </c>
      <c r="O758">
        <v>5000</v>
      </c>
      <c r="P758" t="b">
        <v>0</v>
      </c>
      <c r="Q758" t="b">
        <v>0</v>
      </c>
      <c r="R758" t="b">
        <v>0</v>
      </c>
      <c r="S758" t="s">
        <v>96</v>
      </c>
      <c r="T758" t="s">
        <v>104</v>
      </c>
    </row>
    <row r="759" spans="1:21" x14ac:dyDescent="0.3">
      <c r="A759" t="s">
        <v>864</v>
      </c>
      <c r="B759" s="1">
        <v>46123</v>
      </c>
      <c r="C759" s="1">
        <v>46124</v>
      </c>
      <c r="D759" s="1">
        <v>46127</v>
      </c>
      <c r="E759" s="1">
        <v>46127</v>
      </c>
      <c r="F759" t="s">
        <v>34</v>
      </c>
      <c r="G759" t="s">
        <v>59</v>
      </c>
      <c r="H759" t="s">
        <v>24</v>
      </c>
      <c r="I759" t="s">
        <v>42</v>
      </c>
      <c r="J759">
        <v>311.8</v>
      </c>
      <c r="K759">
        <v>14216.8</v>
      </c>
      <c r="L759">
        <v>10431000</v>
      </c>
      <c r="M759" t="b">
        <v>0</v>
      </c>
      <c r="N759" t="b">
        <v>0</v>
      </c>
      <c r="O759">
        <v>16000</v>
      </c>
      <c r="P759" t="b">
        <v>0</v>
      </c>
      <c r="Q759" t="b">
        <v>0</v>
      </c>
      <c r="R759" t="b">
        <v>0</v>
      </c>
      <c r="S759" t="s">
        <v>96</v>
      </c>
      <c r="T759" t="s">
        <v>112</v>
      </c>
    </row>
    <row r="760" spans="1:21" x14ac:dyDescent="0.3">
      <c r="A760" t="s">
        <v>865</v>
      </c>
      <c r="B760" s="1">
        <v>46109</v>
      </c>
      <c r="C760" s="1">
        <v>46111</v>
      </c>
      <c r="D760" s="1">
        <v>46114</v>
      </c>
      <c r="E760" s="1">
        <v>46116</v>
      </c>
      <c r="F760" t="s">
        <v>34</v>
      </c>
      <c r="G760" t="s">
        <v>63</v>
      </c>
      <c r="H760" t="s">
        <v>22</v>
      </c>
      <c r="I760" t="s">
        <v>45</v>
      </c>
      <c r="J760">
        <v>375.4</v>
      </c>
      <c r="K760">
        <v>598</v>
      </c>
      <c r="L760">
        <v>3894000</v>
      </c>
      <c r="M760" t="b">
        <v>0</v>
      </c>
      <c r="N760" t="b">
        <v>0</v>
      </c>
      <c r="O760">
        <v>1000</v>
      </c>
      <c r="P760" t="b">
        <v>0</v>
      </c>
      <c r="Q760" t="b">
        <v>0</v>
      </c>
      <c r="R760" t="b">
        <v>0</v>
      </c>
      <c r="S760" t="s">
        <v>101</v>
      </c>
      <c r="T760" t="s">
        <v>118</v>
      </c>
      <c r="U760">
        <v>2</v>
      </c>
    </row>
    <row r="761" spans="1:21" x14ac:dyDescent="0.3">
      <c r="A761" t="s">
        <v>866</v>
      </c>
      <c r="B761" s="1">
        <v>46117</v>
      </c>
      <c r="C761" s="1">
        <v>46118</v>
      </c>
      <c r="D761" s="1">
        <v>46122</v>
      </c>
      <c r="E761" s="1">
        <v>46123</v>
      </c>
      <c r="F761" t="s">
        <v>34</v>
      </c>
      <c r="G761" t="s">
        <v>60</v>
      </c>
      <c r="H761" t="s">
        <v>22</v>
      </c>
      <c r="I761" t="s">
        <v>45</v>
      </c>
      <c r="J761">
        <v>653.6</v>
      </c>
      <c r="K761">
        <v>163.1</v>
      </c>
      <c r="L761">
        <v>5041000</v>
      </c>
      <c r="M761" t="b">
        <v>0</v>
      </c>
      <c r="N761" t="b">
        <v>0</v>
      </c>
      <c r="O761">
        <v>1000</v>
      </c>
      <c r="P761" t="b">
        <v>0</v>
      </c>
      <c r="Q761" t="b">
        <v>0</v>
      </c>
      <c r="R761" t="b">
        <v>0</v>
      </c>
      <c r="S761" t="s">
        <v>101</v>
      </c>
      <c r="T761" t="s">
        <v>112</v>
      </c>
      <c r="U761">
        <v>1</v>
      </c>
    </row>
    <row r="762" spans="1:21" x14ac:dyDescent="0.3">
      <c r="A762" t="s">
        <v>867</v>
      </c>
      <c r="B762" s="1">
        <v>46142</v>
      </c>
      <c r="C762" s="1">
        <v>46143</v>
      </c>
      <c r="D762" s="1">
        <v>46146</v>
      </c>
      <c r="E762" s="1">
        <v>46145</v>
      </c>
      <c r="F762" t="s">
        <v>33</v>
      </c>
      <c r="G762" t="s">
        <v>53</v>
      </c>
      <c r="H762" t="s">
        <v>21</v>
      </c>
      <c r="I762" t="s">
        <v>42</v>
      </c>
      <c r="J762">
        <v>583.29999999999995</v>
      </c>
      <c r="K762">
        <v>3530.7</v>
      </c>
      <c r="L762">
        <v>11294000</v>
      </c>
      <c r="M762" t="b">
        <v>0</v>
      </c>
      <c r="N762" t="b">
        <v>0</v>
      </c>
      <c r="O762">
        <v>16000</v>
      </c>
      <c r="P762" t="b">
        <v>0</v>
      </c>
      <c r="Q762" t="b">
        <v>0</v>
      </c>
      <c r="R762" t="b">
        <v>0</v>
      </c>
      <c r="S762" t="s">
        <v>96</v>
      </c>
      <c r="T762" t="s">
        <v>102</v>
      </c>
    </row>
    <row r="763" spans="1:21" x14ac:dyDescent="0.3">
      <c r="A763" t="s">
        <v>868</v>
      </c>
      <c r="B763" s="1">
        <v>46201</v>
      </c>
      <c r="C763" s="1">
        <v>46203</v>
      </c>
      <c r="D763" s="1">
        <v>46205</v>
      </c>
      <c r="E763" s="1">
        <v>46205</v>
      </c>
      <c r="F763" t="s">
        <v>31</v>
      </c>
      <c r="G763" t="s">
        <v>62</v>
      </c>
      <c r="H763" t="s">
        <v>21</v>
      </c>
      <c r="I763" t="s">
        <v>44</v>
      </c>
      <c r="J763">
        <v>151.5</v>
      </c>
      <c r="K763">
        <v>1055.5999999999999</v>
      </c>
      <c r="L763">
        <v>2459000</v>
      </c>
      <c r="M763" t="b">
        <v>0</v>
      </c>
      <c r="N763" t="b">
        <v>0</v>
      </c>
      <c r="O763">
        <v>1500</v>
      </c>
      <c r="P763" t="b">
        <v>0</v>
      </c>
      <c r="Q763" t="b">
        <v>0</v>
      </c>
      <c r="R763" t="b">
        <v>0</v>
      </c>
      <c r="S763" t="s">
        <v>96</v>
      </c>
      <c r="T763" t="s">
        <v>99</v>
      </c>
    </row>
    <row r="764" spans="1:21" x14ac:dyDescent="0.3">
      <c r="A764" t="s">
        <v>869</v>
      </c>
      <c r="B764" s="1">
        <v>46116</v>
      </c>
      <c r="C764" s="1">
        <v>46117</v>
      </c>
      <c r="D764" s="1">
        <v>46119</v>
      </c>
      <c r="E764" s="1">
        <v>46119</v>
      </c>
      <c r="F764" t="s">
        <v>31</v>
      </c>
      <c r="G764" t="s">
        <v>57</v>
      </c>
      <c r="H764" t="s">
        <v>20</v>
      </c>
      <c r="I764" t="s">
        <v>43</v>
      </c>
      <c r="J764">
        <v>121</v>
      </c>
      <c r="K764">
        <v>3112.9</v>
      </c>
      <c r="L764">
        <v>3322000</v>
      </c>
      <c r="M764" t="b">
        <v>0</v>
      </c>
      <c r="N764" t="b">
        <v>0</v>
      </c>
      <c r="O764">
        <v>5000</v>
      </c>
      <c r="P764" t="b">
        <v>0</v>
      </c>
      <c r="Q764" t="b">
        <v>0</v>
      </c>
      <c r="R764" t="b">
        <v>0</v>
      </c>
      <c r="S764" t="s">
        <v>96</v>
      </c>
      <c r="T764" t="s">
        <v>112</v>
      </c>
    </row>
    <row r="765" spans="1:21" x14ac:dyDescent="0.3">
      <c r="A765" t="s">
        <v>870</v>
      </c>
      <c r="B765" s="1">
        <v>46032</v>
      </c>
      <c r="C765" s="1">
        <v>46033</v>
      </c>
      <c r="D765" s="1">
        <v>46034</v>
      </c>
      <c r="E765" s="1">
        <v>46034</v>
      </c>
      <c r="F765" t="s">
        <v>31</v>
      </c>
      <c r="G765" t="s">
        <v>61</v>
      </c>
      <c r="H765" t="s">
        <v>23</v>
      </c>
      <c r="I765" t="s">
        <v>42</v>
      </c>
      <c r="J765">
        <v>62.6</v>
      </c>
      <c r="K765">
        <v>3462.1</v>
      </c>
      <c r="L765">
        <v>3599000</v>
      </c>
      <c r="M765" t="b">
        <v>0</v>
      </c>
      <c r="N765" t="b">
        <v>0</v>
      </c>
      <c r="O765">
        <v>16000</v>
      </c>
      <c r="P765" t="b">
        <v>0</v>
      </c>
      <c r="Q765" t="b">
        <v>0</v>
      </c>
      <c r="R765" t="b">
        <v>0</v>
      </c>
      <c r="S765" t="s">
        <v>96</v>
      </c>
      <c r="T765" t="s">
        <v>104</v>
      </c>
    </row>
    <row r="766" spans="1:21" x14ac:dyDescent="0.3">
      <c r="A766" t="s">
        <v>871</v>
      </c>
      <c r="B766" s="1">
        <v>46181</v>
      </c>
      <c r="C766" s="1">
        <v>46182</v>
      </c>
      <c r="D766" s="1">
        <v>46184</v>
      </c>
      <c r="E766" s="1">
        <v>46184</v>
      </c>
      <c r="F766" t="s">
        <v>34</v>
      </c>
      <c r="G766" t="s">
        <v>57</v>
      </c>
      <c r="H766" t="s">
        <v>24</v>
      </c>
      <c r="I766" t="s">
        <v>44</v>
      </c>
      <c r="J766">
        <v>162.30000000000001</v>
      </c>
      <c r="K766">
        <v>337.4</v>
      </c>
      <c r="L766">
        <v>2278000</v>
      </c>
      <c r="M766" t="b">
        <v>0</v>
      </c>
      <c r="N766" t="b">
        <v>0</v>
      </c>
      <c r="O766">
        <v>1500</v>
      </c>
      <c r="P766" t="b">
        <v>0</v>
      </c>
      <c r="Q766" t="b">
        <v>0</v>
      </c>
      <c r="R766" t="b">
        <v>0</v>
      </c>
      <c r="S766" t="s">
        <v>96</v>
      </c>
      <c r="T766" t="s">
        <v>99</v>
      </c>
    </row>
    <row r="767" spans="1:21" x14ac:dyDescent="0.3">
      <c r="A767" t="s">
        <v>872</v>
      </c>
      <c r="B767" s="1">
        <v>46023</v>
      </c>
      <c r="C767" s="1">
        <v>46024</v>
      </c>
      <c r="D767" s="1">
        <v>46027</v>
      </c>
      <c r="E767" s="1">
        <v>46027</v>
      </c>
      <c r="F767" t="s">
        <v>31</v>
      </c>
      <c r="G767" t="s">
        <v>54</v>
      </c>
      <c r="H767" t="s">
        <v>21</v>
      </c>
      <c r="I767" t="s">
        <v>43</v>
      </c>
      <c r="J767">
        <v>446.8</v>
      </c>
      <c r="K767">
        <v>3852.1</v>
      </c>
      <c r="L767">
        <v>7084000</v>
      </c>
      <c r="M767" t="b">
        <v>0</v>
      </c>
      <c r="N767" t="b">
        <v>0</v>
      </c>
      <c r="O767">
        <v>5000</v>
      </c>
      <c r="P767" t="b">
        <v>0</v>
      </c>
      <c r="Q767" t="b">
        <v>0</v>
      </c>
      <c r="R767" t="b">
        <v>0</v>
      </c>
      <c r="S767" t="s">
        <v>96</v>
      </c>
      <c r="T767" t="s">
        <v>104</v>
      </c>
    </row>
    <row r="768" spans="1:21" x14ac:dyDescent="0.3">
      <c r="A768" t="s">
        <v>873</v>
      </c>
      <c r="B768" s="1">
        <v>46157</v>
      </c>
      <c r="C768" s="1">
        <v>46159</v>
      </c>
      <c r="D768" s="1">
        <v>46161</v>
      </c>
      <c r="E768" s="1">
        <v>46161</v>
      </c>
      <c r="F768" t="s">
        <v>31</v>
      </c>
      <c r="G768" t="s">
        <v>63</v>
      </c>
      <c r="H768" t="s">
        <v>20</v>
      </c>
      <c r="I768" t="s">
        <v>44</v>
      </c>
      <c r="J768">
        <v>296.10000000000002</v>
      </c>
      <c r="K768">
        <v>582.29999999999995</v>
      </c>
      <c r="L768">
        <v>3198000</v>
      </c>
      <c r="M768" t="b">
        <v>0</v>
      </c>
      <c r="N768" t="b">
        <v>0</v>
      </c>
      <c r="O768">
        <v>1500</v>
      </c>
      <c r="P768" t="b">
        <v>0</v>
      </c>
      <c r="Q768" t="b">
        <v>0</v>
      </c>
      <c r="R768" t="b">
        <v>0</v>
      </c>
      <c r="S768" t="s">
        <v>96</v>
      </c>
      <c r="T768" t="s">
        <v>102</v>
      </c>
    </row>
    <row r="769" spans="1:21" x14ac:dyDescent="0.3">
      <c r="A769" t="s">
        <v>874</v>
      </c>
      <c r="B769" s="1">
        <v>46064</v>
      </c>
      <c r="C769" s="1">
        <v>46064</v>
      </c>
      <c r="D769" s="1">
        <v>46067</v>
      </c>
      <c r="E769" s="1">
        <v>46067</v>
      </c>
      <c r="F769" t="s">
        <v>32</v>
      </c>
      <c r="G769" t="s">
        <v>60</v>
      </c>
      <c r="H769" t="s">
        <v>20</v>
      </c>
      <c r="I769" t="s">
        <v>45</v>
      </c>
      <c r="J769">
        <v>458.2</v>
      </c>
      <c r="K769">
        <v>465.2</v>
      </c>
      <c r="L769">
        <v>4914000</v>
      </c>
      <c r="M769" t="b">
        <v>0</v>
      </c>
      <c r="N769" t="b">
        <v>0</v>
      </c>
      <c r="O769">
        <v>1000</v>
      </c>
      <c r="P769" t="b">
        <v>0</v>
      </c>
      <c r="Q769" t="b">
        <v>0</v>
      </c>
      <c r="R769" t="b">
        <v>0</v>
      </c>
      <c r="S769" t="s">
        <v>96</v>
      </c>
      <c r="T769" t="s">
        <v>115</v>
      </c>
    </row>
    <row r="770" spans="1:21" x14ac:dyDescent="0.3">
      <c r="A770" t="s">
        <v>875</v>
      </c>
      <c r="B770" s="1">
        <v>46136</v>
      </c>
      <c r="C770" s="1">
        <v>46137</v>
      </c>
      <c r="D770" s="1">
        <v>46141</v>
      </c>
      <c r="E770" s="1">
        <v>46142</v>
      </c>
      <c r="F770" t="s">
        <v>34</v>
      </c>
      <c r="G770" t="s">
        <v>60</v>
      </c>
      <c r="H770" t="s">
        <v>23</v>
      </c>
      <c r="I770" t="s">
        <v>44</v>
      </c>
      <c r="J770">
        <v>682.7</v>
      </c>
      <c r="K770">
        <v>326.7</v>
      </c>
      <c r="L770">
        <v>7255000</v>
      </c>
      <c r="M770" t="b">
        <v>0</v>
      </c>
      <c r="N770" t="b">
        <v>0</v>
      </c>
      <c r="O770">
        <v>1500</v>
      </c>
      <c r="P770" t="b">
        <v>0</v>
      </c>
      <c r="Q770" t="b">
        <v>0</v>
      </c>
      <c r="R770" t="b">
        <v>0</v>
      </c>
      <c r="S770" t="s">
        <v>101</v>
      </c>
      <c r="T770" t="s">
        <v>112</v>
      </c>
      <c r="U770">
        <v>1</v>
      </c>
    </row>
    <row r="771" spans="1:21" x14ac:dyDescent="0.3">
      <c r="A771" t="s">
        <v>876</v>
      </c>
      <c r="B771" s="1">
        <v>46177</v>
      </c>
      <c r="C771" s="1">
        <v>46178</v>
      </c>
      <c r="D771" s="1">
        <v>46180</v>
      </c>
      <c r="E771" s="1">
        <v>46180</v>
      </c>
      <c r="F771" t="s">
        <v>31</v>
      </c>
      <c r="G771" t="s">
        <v>63</v>
      </c>
      <c r="H771" t="s">
        <v>21</v>
      </c>
      <c r="I771" t="s">
        <v>43</v>
      </c>
      <c r="J771">
        <v>296.5</v>
      </c>
      <c r="K771">
        <v>4331.5</v>
      </c>
      <c r="L771">
        <v>5946000</v>
      </c>
      <c r="M771" t="b">
        <v>0</v>
      </c>
      <c r="N771" t="b">
        <v>0</v>
      </c>
      <c r="O771">
        <v>5000</v>
      </c>
      <c r="P771" t="b">
        <v>0</v>
      </c>
      <c r="Q771" t="b">
        <v>0</v>
      </c>
      <c r="R771" t="b">
        <v>0</v>
      </c>
      <c r="S771" t="s">
        <v>96</v>
      </c>
      <c r="T771" t="s">
        <v>99</v>
      </c>
    </row>
    <row r="772" spans="1:21" x14ac:dyDescent="0.3">
      <c r="A772" t="s">
        <v>877</v>
      </c>
      <c r="B772" s="1">
        <v>46052</v>
      </c>
      <c r="C772" s="1">
        <v>46053</v>
      </c>
      <c r="D772" s="1">
        <v>46057</v>
      </c>
      <c r="E772" s="1">
        <v>46056</v>
      </c>
      <c r="F772" t="s">
        <v>31</v>
      </c>
      <c r="G772" t="s">
        <v>53</v>
      </c>
      <c r="H772" t="s">
        <v>22</v>
      </c>
      <c r="I772" t="s">
        <v>42</v>
      </c>
      <c r="J772">
        <v>316.60000000000002</v>
      </c>
      <c r="K772">
        <v>10131.4</v>
      </c>
      <c r="L772">
        <v>10025000</v>
      </c>
      <c r="M772" t="b">
        <v>0</v>
      </c>
      <c r="N772" t="b">
        <v>0</v>
      </c>
      <c r="O772">
        <v>16000</v>
      </c>
      <c r="P772" t="b">
        <v>0</v>
      </c>
      <c r="Q772" t="b">
        <v>0</v>
      </c>
      <c r="R772" t="b">
        <v>0</v>
      </c>
      <c r="S772" t="s">
        <v>96</v>
      </c>
      <c r="T772" t="s">
        <v>104</v>
      </c>
    </row>
    <row r="773" spans="1:21" x14ac:dyDescent="0.3">
      <c r="A773" t="s">
        <v>878</v>
      </c>
      <c r="B773" s="1">
        <v>46137</v>
      </c>
      <c r="C773" s="1">
        <v>46138</v>
      </c>
      <c r="D773" s="1">
        <v>46141</v>
      </c>
      <c r="E773" s="1">
        <v>46141</v>
      </c>
      <c r="F773" t="s">
        <v>32</v>
      </c>
      <c r="G773" t="s">
        <v>60</v>
      </c>
      <c r="H773" t="s">
        <v>20</v>
      </c>
      <c r="I773" t="s">
        <v>44</v>
      </c>
      <c r="J773">
        <v>462.9</v>
      </c>
      <c r="K773">
        <v>731.7</v>
      </c>
      <c r="L773">
        <v>5370000</v>
      </c>
      <c r="M773" t="b">
        <v>0</v>
      </c>
      <c r="N773" t="b">
        <v>0</v>
      </c>
      <c r="O773">
        <v>1500</v>
      </c>
      <c r="P773" t="b">
        <v>0</v>
      </c>
      <c r="Q773" t="b">
        <v>0</v>
      </c>
      <c r="R773" t="b">
        <v>0</v>
      </c>
      <c r="S773" t="s">
        <v>96</v>
      </c>
      <c r="T773" t="s">
        <v>112</v>
      </c>
    </row>
    <row r="774" spans="1:21" x14ac:dyDescent="0.3">
      <c r="A774" t="s">
        <v>879</v>
      </c>
      <c r="B774" s="1">
        <v>46069</v>
      </c>
      <c r="C774" s="1">
        <v>46070</v>
      </c>
      <c r="D774" s="1">
        <v>46072</v>
      </c>
      <c r="E774" s="1">
        <v>46072</v>
      </c>
      <c r="F774" t="s">
        <v>34</v>
      </c>
      <c r="G774" t="s">
        <v>57</v>
      </c>
      <c r="H774" t="s">
        <v>21</v>
      </c>
      <c r="I774" t="s">
        <v>43</v>
      </c>
      <c r="J774">
        <v>164.4</v>
      </c>
      <c r="K774">
        <v>1500.3</v>
      </c>
      <c r="L774">
        <v>3416000</v>
      </c>
      <c r="M774" t="b">
        <v>0</v>
      </c>
      <c r="N774" t="b">
        <v>0</v>
      </c>
      <c r="O774">
        <v>5000</v>
      </c>
      <c r="P774" t="b">
        <v>0</v>
      </c>
      <c r="Q774" t="b">
        <v>0</v>
      </c>
      <c r="R774" t="b">
        <v>0</v>
      </c>
      <c r="S774" t="s">
        <v>96</v>
      </c>
      <c r="T774" t="s">
        <v>115</v>
      </c>
    </row>
    <row r="775" spans="1:21" x14ac:dyDescent="0.3">
      <c r="A775" t="s">
        <v>880</v>
      </c>
      <c r="B775" s="1">
        <v>46128</v>
      </c>
      <c r="C775" s="1">
        <v>46130</v>
      </c>
      <c r="D775" s="1">
        <v>46133</v>
      </c>
      <c r="E775" s="1">
        <v>46134</v>
      </c>
      <c r="F775" t="s">
        <v>32</v>
      </c>
      <c r="G775" t="s">
        <v>62</v>
      </c>
      <c r="H775" t="s">
        <v>23</v>
      </c>
      <c r="I775" t="s">
        <v>42</v>
      </c>
      <c r="J775">
        <v>555.1</v>
      </c>
      <c r="K775">
        <v>3572.5</v>
      </c>
      <c r="L775">
        <v>10254000</v>
      </c>
      <c r="M775" t="b">
        <v>0</v>
      </c>
      <c r="N775" t="b">
        <v>0</v>
      </c>
      <c r="O775">
        <v>16000</v>
      </c>
      <c r="P775" t="b">
        <v>0</v>
      </c>
      <c r="Q775" t="b">
        <v>0</v>
      </c>
      <c r="R775" t="b">
        <v>0</v>
      </c>
      <c r="S775" t="s">
        <v>101</v>
      </c>
      <c r="T775" t="s">
        <v>112</v>
      </c>
      <c r="U775">
        <v>1</v>
      </c>
    </row>
    <row r="776" spans="1:21" x14ac:dyDescent="0.3">
      <c r="A776" t="s">
        <v>881</v>
      </c>
      <c r="B776" s="1">
        <v>46129</v>
      </c>
      <c r="C776" s="1">
        <v>46130</v>
      </c>
      <c r="D776" s="1">
        <v>46133</v>
      </c>
      <c r="E776" s="1">
        <v>46133</v>
      </c>
      <c r="F776" t="s">
        <v>32</v>
      </c>
      <c r="G776" t="s">
        <v>58</v>
      </c>
      <c r="H776" t="s">
        <v>20</v>
      </c>
      <c r="I776" t="s">
        <v>43</v>
      </c>
      <c r="J776">
        <v>297.10000000000002</v>
      </c>
      <c r="K776">
        <v>3339.6</v>
      </c>
      <c r="L776">
        <v>5658000</v>
      </c>
      <c r="M776" t="b">
        <v>0</v>
      </c>
      <c r="N776" t="b">
        <v>0</v>
      </c>
      <c r="O776">
        <v>5000</v>
      </c>
      <c r="P776" t="b">
        <v>0</v>
      </c>
      <c r="Q776" t="b">
        <v>0</v>
      </c>
      <c r="R776" t="b">
        <v>0</v>
      </c>
      <c r="S776" t="s">
        <v>96</v>
      </c>
      <c r="T776" t="s">
        <v>112</v>
      </c>
    </row>
    <row r="777" spans="1:21" x14ac:dyDescent="0.3">
      <c r="A777" t="s">
        <v>882</v>
      </c>
      <c r="B777" s="1">
        <v>46030</v>
      </c>
      <c r="C777" s="1">
        <v>46031</v>
      </c>
      <c r="D777" s="1">
        <v>46036</v>
      </c>
      <c r="E777" s="1">
        <v>46036</v>
      </c>
      <c r="F777" t="s">
        <v>34</v>
      </c>
      <c r="G777" t="s">
        <v>56</v>
      </c>
      <c r="H777" t="s">
        <v>24</v>
      </c>
      <c r="I777" t="s">
        <v>44</v>
      </c>
      <c r="J777">
        <v>931.1</v>
      </c>
      <c r="K777">
        <v>1186.8</v>
      </c>
      <c r="L777">
        <v>9709000</v>
      </c>
      <c r="M777" t="b">
        <v>0</v>
      </c>
      <c r="N777" t="b">
        <v>0</v>
      </c>
      <c r="O777">
        <v>1500</v>
      </c>
      <c r="P777" t="b">
        <v>0</v>
      </c>
      <c r="Q777" t="b">
        <v>0</v>
      </c>
      <c r="R777" t="b">
        <v>0</v>
      </c>
      <c r="S777" t="s">
        <v>96</v>
      </c>
      <c r="T777" t="s">
        <v>104</v>
      </c>
    </row>
    <row r="778" spans="1:21" x14ac:dyDescent="0.3">
      <c r="A778" t="s">
        <v>883</v>
      </c>
      <c r="B778" s="1">
        <v>46125</v>
      </c>
      <c r="C778" s="1">
        <v>46126</v>
      </c>
      <c r="D778" s="1">
        <v>46130</v>
      </c>
      <c r="E778" s="1">
        <v>46129</v>
      </c>
      <c r="F778" t="s">
        <v>33</v>
      </c>
      <c r="G778" t="s">
        <v>54</v>
      </c>
      <c r="H778" t="s">
        <v>20</v>
      </c>
      <c r="I778" t="s">
        <v>45</v>
      </c>
      <c r="J778">
        <v>983.2</v>
      </c>
      <c r="K778">
        <v>480.1</v>
      </c>
      <c r="L778">
        <v>8542000</v>
      </c>
      <c r="M778" t="b">
        <v>0</v>
      </c>
      <c r="N778" t="b">
        <v>0</v>
      </c>
      <c r="O778">
        <v>1000</v>
      </c>
      <c r="P778" t="b">
        <v>0</v>
      </c>
      <c r="Q778" t="b">
        <v>0</v>
      </c>
      <c r="R778" t="b">
        <v>0</v>
      </c>
      <c r="S778" t="s">
        <v>96</v>
      </c>
      <c r="T778" t="s">
        <v>112</v>
      </c>
    </row>
    <row r="779" spans="1:21" x14ac:dyDescent="0.3">
      <c r="A779" t="s">
        <v>884</v>
      </c>
      <c r="B779" s="1">
        <v>46140</v>
      </c>
      <c r="C779" s="1">
        <v>46141</v>
      </c>
      <c r="D779" s="1">
        <v>46144</v>
      </c>
      <c r="E779" s="1">
        <v>46145</v>
      </c>
      <c r="F779" t="s">
        <v>31</v>
      </c>
      <c r="G779" t="s">
        <v>54</v>
      </c>
      <c r="H779" t="s">
        <v>24</v>
      </c>
      <c r="I779" t="s">
        <v>43</v>
      </c>
      <c r="J779">
        <v>497.9</v>
      </c>
      <c r="K779">
        <v>2881.3</v>
      </c>
      <c r="L779">
        <v>7705000</v>
      </c>
      <c r="M779" t="b">
        <v>0</v>
      </c>
      <c r="N779" t="b">
        <v>0</v>
      </c>
      <c r="O779">
        <v>5000</v>
      </c>
      <c r="P779" t="b">
        <v>0</v>
      </c>
      <c r="Q779" t="b">
        <v>0</v>
      </c>
      <c r="R779" t="b">
        <v>0</v>
      </c>
      <c r="S779" t="s">
        <v>101</v>
      </c>
      <c r="T779" t="s">
        <v>112</v>
      </c>
      <c r="U779">
        <v>1</v>
      </c>
    </row>
    <row r="780" spans="1:21" x14ac:dyDescent="0.3">
      <c r="A780" t="s">
        <v>885</v>
      </c>
      <c r="B780" s="1">
        <v>46162</v>
      </c>
      <c r="C780" s="1">
        <v>46163</v>
      </c>
      <c r="D780" s="1">
        <v>46165</v>
      </c>
      <c r="E780" s="1">
        <v>46165</v>
      </c>
      <c r="F780" t="s">
        <v>31</v>
      </c>
      <c r="G780" t="s">
        <v>61</v>
      </c>
      <c r="H780" t="s">
        <v>24</v>
      </c>
      <c r="I780" t="s">
        <v>42</v>
      </c>
      <c r="J780">
        <v>58.2</v>
      </c>
      <c r="K780">
        <v>13560.2</v>
      </c>
      <c r="L780">
        <v>5839000</v>
      </c>
      <c r="M780" t="b">
        <v>0</v>
      </c>
      <c r="N780" t="b">
        <v>0</v>
      </c>
      <c r="O780">
        <v>16000</v>
      </c>
      <c r="P780" t="b">
        <v>0</v>
      </c>
      <c r="Q780" t="b">
        <v>0</v>
      </c>
      <c r="R780" t="b">
        <v>0</v>
      </c>
      <c r="S780" t="s">
        <v>96</v>
      </c>
      <c r="T780" t="s">
        <v>102</v>
      </c>
    </row>
    <row r="781" spans="1:21" x14ac:dyDescent="0.3">
      <c r="A781" t="s">
        <v>886</v>
      </c>
      <c r="B781" s="1">
        <v>46112</v>
      </c>
      <c r="C781" s="1">
        <v>46113</v>
      </c>
      <c r="D781" s="1">
        <v>46115</v>
      </c>
      <c r="E781" s="1">
        <v>46115</v>
      </c>
      <c r="F781" t="s">
        <v>32</v>
      </c>
      <c r="G781" t="s">
        <v>61</v>
      </c>
      <c r="H781" t="s">
        <v>21</v>
      </c>
      <c r="I781" t="s">
        <v>42</v>
      </c>
      <c r="J781">
        <v>167.1</v>
      </c>
      <c r="K781">
        <v>10254.700000000001</v>
      </c>
      <c r="L781">
        <v>5684000</v>
      </c>
      <c r="M781" t="b">
        <v>0</v>
      </c>
      <c r="N781" t="b">
        <v>0</v>
      </c>
      <c r="O781">
        <v>16000</v>
      </c>
      <c r="P781" t="b">
        <v>0</v>
      </c>
      <c r="Q781" t="b">
        <v>0</v>
      </c>
      <c r="R781" t="b">
        <v>0</v>
      </c>
      <c r="S781" t="s">
        <v>96</v>
      </c>
      <c r="T781" t="s">
        <v>112</v>
      </c>
    </row>
    <row r="782" spans="1:21" x14ac:dyDescent="0.3">
      <c r="A782" t="s">
        <v>887</v>
      </c>
      <c r="B782" s="1">
        <v>46151</v>
      </c>
      <c r="C782" s="1">
        <v>46152</v>
      </c>
      <c r="D782" s="1">
        <v>46156</v>
      </c>
      <c r="E782" s="1">
        <v>46156</v>
      </c>
      <c r="F782" t="s">
        <v>33</v>
      </c>
      <c r="G782" t="s">
        <v>58</v>
      </c>
      <c r="H782" t="s">
        <v>22</v>
      </c>
      <c r="I782" t="s">
        <v>44</v>
      </c>
      <c r="J782">
        <v>738.8</v>
      </c>
      <c r="K782">
        <v>175.2</v>
      </c>
      <c r="L782">
        <v>7618000</v>
      </c>
      <c r="M782" t="b">
        <v>0</v>
      </c>
      <c r="N782" t="b">
        <v>0</v>
      </c>
      <c r="O782">
        <v>1500</v>
      </c>
      <c r="P782" t="b">
        <v>0</v>
      </c>
      <c r="Q782" t="b">
        <v>0</v>
      </c>
      <c r="R782" t="b">
        <v>0</v>
      </c>
      <c r="S782" t="s">
        <v>96</v>
      </c>
      <c r="T782" t="s">
        <v>102</v>
      </c>
    </row>
    <row r="783" spans="1:21" x14ac:dyDescent="0.3">
      <c r="A783" t="s">
        <v>888</v>
      </c>
      <c r="B783" s="1">
        <v>46150</v>
      </c>
      <c r="C783" s="1">
        <v>46151</v>
      </c>
      <c r="D783" s="1">
        <v>46155</v>
      </c>
      <c r="E783" s="1">
        <v>46155</v>
      </c>
      <c r="F783" t="s">
        <v>34</v>
      </c>
      <c r="G783" t="s">
        <v>59</v>
      </c>
      <c r="H783" t="s">
        <v>22</v>
      </c>
      <c r="I783" t="s">
        <v>42</v>
      </c>
      <c r="J783">
        <v>324.8</v>
      </c>
      <c r="K783">
        <v>8743.4</v>
      </c>
      <c r="L783">
        <v>9165000</v>
      </c>
      <c r="M783" t="b">
        <v>0</v>
      </c>
      <c r="N783" t="b">
        <v>0</v>
      </c>
      <c r="O783">
        <v>16000</v>
      </c>
      <c r="P783" t="b">
        <v>0</v>
      </c>
      <c r="Q783" t="b">
        <v>0</v>
      </c>
      <c r="R783" t="b">
        <v>0</v>
      </c>
      <c r="S783" t="s">
        <v>96</v>
      </c>
      <c r="T783" t="s">
        <v>102</v>
      </c>
    </row>
    <row r="784" spans="1:21" x14ac:dyDescent="0.3">
      <c r="A784" t="s">
        <v>889</v>
      </c>
      <c r="B784" s="1">
        <v>46113</v>
      </c>
      <c r="C784" s="1">
        <v>46114</v>
      </c>
      <c r="D784" s="1">
        <v>46117</v>
      </c>
      <c r="E784" s="1">
        <v>46117</v>
      </c>
      <c r="F784" t="s">
        <v>33</v>
      </c>
      <c r="G784" t="s">
        <v>53</v>
      </c>
      <c r="H784" t="s">
        <v>22</v>
      </c>
      <c r="I784" t="s">
        <v>43</v>
      </c>
      <c r="J784">
        <v>557.1</v>
      </c>
      <c r="K784">
        <v>3319.7</v>
      </c>
      <c r="L784">
        <v>7927000</v>
      </c>
      <c r="M784" t="b">
        <v>0</v>
      </c>
      <c r="N784" t="b">
        <v>0</v>
      </c>
      <c r="O784">
        <v>5000</v>
      </c>
      <c r="P784" t="b">
        <v>0</v>
      </c>
      <c r="Q784" t="b">
        <v>0</v>
      </c>
      <c r="R784" t="b">
        <v>0</v>
      </c>
      <c r="S784" t="s">
        <v>96</v>
      </c>
      <c r="T784" t="s">
        <v>112</v>
      </c>
    </row>
    <row r="785" spans="1:21" x14ac:dyDescent="0.3">
      <c r="A785" t="s">
        <v>890</v>
      </c>
      <c r="B785" s="1">
        <v>46185</v>
      </c>
      <c r="C785" s="1">
        <v>46186</v>
      </c>
      <c r="D785" s="1">
        <v>46188</v>
      </c>
      <c r="E785" s="1">
        <v>46189</v>
      </c>
      <c r="F785" t="s">
        <v>31</v>
      </c>
      <c r="G785" t="s">
        <v>52</v>
      </c>
      <c r="H785" t="s">
        <v>22</v>
      </c>
      <c r="I785" t="s">
        <v>43</v>
      </c>
      <c r="J785">
        <v>275.5</v>
      </c>
      <c r="K785">
        <v>4090.2</v>
      </c>
      <c r="L785">
        <v>5224000</v>
      </c>
      <c r="M785" t="b">
        <v>0</v>
      </c>
      <c r="N785" t="b">
        <v>0</v>
      </c>
      <c r="O785">
        <v>5000</v>
      </c>
      <c r="P785" t="b">
        <v>0</v>
      </c>
      <c r="Q785" t="b">
        <v>0</v>
      </c>
      <c r="R785" t="b">
        <v>0</v>
      </c>
      <c r="S785" t="s">
        <v>101</v>
      </c>
      <c r="T785" t="s">
        <v>99</v>
      </c>
      <c r="U785">
        <v>1</v>
      </c>
    </row>
    <row r="786" spans="1:21" x14ac:dyDescent="0.3">
      <c r="A786" t="s">
        <v>891</v>
      </c>
      <c r="B786" s="1">
        <v>46140</v>
      </c>
      <c r="C786" s="1">
        <v>46140</v>
      </c>
      <c r="D786" s="1">
        <v>46142</v>
      </c>
      <c r="E786" s="1">
        <v>46142</v>
      </c>
      <c r="F786" t="s">
        <v>34</v>
      </c>
      <c r="G786" t="s">
        <v>59</v>
      </c>
      <c r="H786" t="s">
        <v>20</v>
      </c>
      <c r="I786" t="s">
        <v>43</v>
      </c>
      <c r="J786">
        <v>296.89999999999998</v>
      </c>
      <c r="K786">
        <v>2567.1</v>
      </c>
      <c r="L786">
        <v>4793000</v>
      </c>
      <c r="M786" t="b">
        <v>0</v>
      </c>
      <c r="N786" t="b">
        <v>0</v>
      </c>
      <c r="O786">
        <v>5000</v>
      </c>
      <c r="P786" t="b">
        <v>0</v>
      </c>
      <c r="Q786" t="b">
        <v>0</v>
      </c>
      <c r="R786" t="b">
        <v>0</v>
      </c>
      <c r="S786" t="s">
        <v>96</v>
      </c>
      <c r="T786" t="s">
        <v>112</v>
      </c>
    </row>
    <row r="787" spans="1:21" x14ac:dyDescent="0.3">
      <c r="A787" t="s">
        <v>892</v>
      </c>
      <c r="B787" s="1">
        <v>46167</v>
      </c>
      <c r="C787" s="1">
        <v>46168</v>
      </c>
      <c r="D787" s="1">
        <v>46171</v>
      </c>
      <c r="E787" s="1">
        <v>46171</v>
      </c>
      <c r="F787" t="s">
        <v>31</v>
      </c>
      <c r="G787" t="s">
        <v>54</v>
      </c>
      <c r="H787" t="s">
        <v>21</v>
      </c>
      <c r="I787" t="s">
        <v>45</v>
      </c>
      <c r="J787">
        <v>531.9</v>
      </c>
      <c r="K787">
        <v>350.3</v>
      </c>
      <c r="L787">
        <v>4826000</v>
      </c>
      <c r="M787" t="b">
        <v>0</v>
      </c>
      <c r="N787" t="b">
        <v>0</v>
      </c>
      <c r="O787">
        <v>1000</v>
      </c>
      <c r="P787" t="b">
        <v>0</v>
      </c>
      <c r="Q787" t="b">
        <v>0</v>
      </c>
      <c r="R787" t="b">
        <v>0</v>
      </c>
      <c r="S787" t="s">
        <v>96</v>
      </c>
      <c r="T787" t="s">
        <v>102</v>
      </c>
    </row>
    <row r="788" spans="1:21" x14ac:dyDescent="0.3">
      <c r="A788" t="s">
        <v>893</v>
      </c>
      <c r="B788" s="1">
        <v>46178</v>
      </c>
      <c r="C788" s="1">
        <v>46180</v>
      </c>
      <c r="D788" s="1">
        <v>46184</v>
      </c>
      <c r="E788" s="1">
        <v>46184</v>
      </c>
      <c r="F788" t="s">
        <v>32</v>
      </c>
      <c r="G788" t="s">
        <v>52</v>
      </c>
      <c r="H788" t="s">
        <v>24</v>
      </c>
      <c r="I788" t="s">
        <v>43</v>
      </c>
      <c r="J788">
        <v>326.89999999999998</v>
      </c>
      <c r="K788">
        <v>1215.9000000000001</v>
      </c>
      <c r="L788">
        <v>5161000</v>
      </c>
      <c r="M788" t="b">
        <v>0</v>
      </c>
      <c r="N788" t="b">
        <v>0</v>
      </c>
      <c r="O788">
        <v>5000</v>
      </c>
      <c r="P788" t="b">
        <v>0</v>
      </c>
      <c r="Q788" t="b">
        <v>0</v>
      </c>
      <c r="R788" t="b">
        <v>0</v>
      </c>
      <c r="S788" t="s">
        <v>96</v>
      </c>
      <c r="T788" t="s">
        <v>99</v>
      </c>
    </row>
    <row r="789" spans="1:21" x14ac:dyDescent="0.3">
      <c r="A789" t="s">
        <v>894</v>
      </c>
      <c r="B789" s="1">
        <v>46034</v>
      </c>
      <c r="C789" s="1">
        <v>46036</v>
      </c>
      <c r="D789" s="1">
        <v>46038</v>
      </c>
      <c r="E789" s="1">
        <v>46038</v>
      </c>
      <c r="F789" t="s">
        <v>34</v>
      </c>
      <c r="G789" t="s">
        <v>58</v>
      </c>
      <c r="H789" t="s">
        <v>22</v>
      </c>
      <c r="I789" t="s">
        <v>44</v>
      </c>
      <c r="J789">
        <v>141.1</v>
      </c>
      <c r="K789">
        <v>836.4</v>
      </c>
      <c r="L789">
        <v>2182000</v>
      </c>
      <c r="M789" t="b">
        <v>0</v>
      </c>
      <c r="N789" t="b">
        <v>0</v>
      </c>
      <c r="O789">
        <v>1500</v>
      </c>
      <c r="P789" t="b">
        <v>0</v>
      </c>
      <c r="Q789" t="b">
        <v>0</v>
      </c>
      <c r="R789" t="b">
        <v>0</v>
      </c>
      <c r="S789" t="s">
        <v>96</v>
      </c>
      <c r="T789" t="s">
        <v>104</v>
      </c>
    </row>
    <row r="790" spans="1:21" x14ac:dyDescent="0.3">
      <c r="A790" t="s">
        <v>895</v>
      </c>
      <c r="B790" s="1">
        <v>46103</v>
      </c>
      <c r="C790" s="1">
        <v>46104</v>
      </c>
      <c r="D790" s="1">
        <v>46108</v>
      </c>
      <c r="E790" s="1">
        <v>46108</v>
      </c>
      <c r="F790" t="s">
        <v>31</v>
      </c>
      <c r="G790" t="s">
        <v>56</v>
      </c>
      <c r="H790" t="s">
        <v>21</v>
      </c>
      <c r="I790" t="s">
        <v>42</v>
      </c>
      <c r="J790">
        <v>888.2</v>
      </c>
      <c r="K790">
        <v>13218</v>
      </c>
      <c r="L790">
        <v>18695000</v>
      </c>
      <c r="M790" t="b">
        <v>0</v>
      </c>
      <c r="N790" t="b">
        <v>0</v>
      </c>
      <c r="O790">
        <v>16000</v>
      </c>
      <c r="P790" t="b">
        <v>0</v>
      </c>
      <c r="Q790" t="b">
        <v>0</v>
      </c>
      <c r="R790" t="b">
        <v>0</v>
      </c>
      <c r="S790" t="s">
        <v>96</v>
      </c>
      <c r="T790" t="s">
        <v>118</v>
      </c>
    </row>
    <row r="791" spans="1:21" x14ac:dyDescent="0.3">
      <c r="A791" t="s">
        <v>896</v>
      </c>
      <c r="B791" s="1">
        <v>46194</v>
      </c>
      <c r="C791" s="1">
        <v>46195</v>
      </c>
      <c r="D791" s="1">
        <v>46196</v>
      </c>
      <c r="E791" s="1">
        <v>46196</v>
      </c>
      <c r="F791" t="s">
        <v>34</v>
      </c>
      <c r="G791" t="s">
        <v>61</v>
      </c>
      <c r="H791" t="s">
        <v>24</v>
      </c>
      <c r="I791" t="s">
        <v>44</v>
      </c>
      <c r="J791">
        <v>26.3</v>
      </c>
      <c r="K791">
        <v>172.1</v>
      </c>
      <c r="L791">
        <v>734000</v>
      </c>
      <c r="M791" t="b">
        <v>0</v>
      </c>
      <c r="N791" t="b">
        <v>0</v>
      </c>
      <c r="O791">
        <v>1500</v>
      </c>
      <c r="P791" t="b">
        <v>0</v>
      </c>
      <c r="Q791" t="b">
        <v>0</v>
      </c>
      <c r="R791" t="b">
        <v>0</v>
      </c>
      <c r="S791" t="s">
        <v>96</v>
      </c>
      <c r="T791" t="s">
        <v>99</v>
      </c>
    </row>
    <row r="792" spans="1:21" x14ac:dyDescent="0.3">
      <c r="A792" t="s">
        <v>897</v>
      </c>
      <c r="B792" s="1">
        <v>46149</v>
      </c>
      <c r="C792" s="1">
        <v>46150</v>
      </c>
      <c r="D792" s="1">
        <v>46153</v>
      </c>
      <c r="E792" s="1">
        <v>46153</v>
      </c>
      <c r="F792" t="s">
        <v>32</v>
      </c>
      <c r="G792" t="s">
        <v>52</v>
      </c>
      <c r="H792" t="s">
        <v>20</v>
      </c>
      <c r="I792" t="s">
        <v>45</v>
      </c>
      <c r="J792">
        <v>352.1</v>
      </c>
      <c r="K792">
        <v>747.9</v>
      </c>
      <c r="L792">
        <v>3928000</v>
      </c>
      <c r="M792" t="b">
        <v>0</v>
      </c>
      <c r="N792" t="b">
        <v>0</v>
      </c>
      <c r="O792">
        <v>1000</v>
      </c>
      <c r="P792" t="b">
        <v>0</v>
      </c>
      <c r="Q792" t="b">
        <v>0</v>
      </c>
      <c r="R792" t="b">
        <v>0</v>
      </c>
      <c r="S792" t="s">
        <v>96</v>
      </c>
      <c r="T792" t="s">
        <v>102</v>
      </c>
    </row>
    <row r="793" spans="1:21" x14ac:dyDescent="0.3">
      <c r="A793" t="s">
        <v>898</v>
      </c>
      <c r="B793" s="1">
        <v>46089</v>
      </c>
      <c r="C793" s="1">
        <v>46089</v>
      </c>
      <c r="D793" s="1">
        <v>46092</v>
      </c>
      <c r="F793" t="s">
        <v>34</v>
      </c>
      <c r="G793" t="s">
        <v>59</v>
      </c>
      <c r="H793" t="s">
        <v>23</v>
      </c>
      <c r="I793" t="s">
        <v>43</v>
      </c>
      <c r="J793">
        <v>331.2</v>
      </c>
      <c r="K793">
        <v>1974.1</v>
      </c>
      <c r="L793">
        <v>5013000</v>
      </c>
      <c r="M793" t="b">
        <v>0</v>
      </c>
      <c r="N793" t="b">
        <v>0</v>
      </c>
      <c r="O793">
        <v>5000</v>
      </c>
      <c r="P793" t="b">
        <v>0</v>
      </c>
      <c r="Q793" t="b">
        <v>0</v>
      </c>
      <c r="R793" t="b">
        <v>0</v>
      </c>
      <c r="S793" t="s">
        <v>203</v>
      </c>
      <c r="T793" t="s">
        <v>118</v>
      </c>
    </row>
    <row r="794" spans="1:21" x14ac:dyDescent="0.3">
      <c r="A794" t="s">
        <v>899</v>
      </c>
      <c r="B794" s="1">
        <v>46111</v>
      </c>
      <c r="C794" s="1">
        <v>46112</v>
      </c>
      <c r="D794" s="1">
        <v>46116</v>
      </c>
      <c r="E794" s="1">
        <v>46116</v>
      </c>
      <c r="F794" t="s">
        <v>33</v>
      </c>
      <c r="G794" t="s">
        <v>61</v>
      </c>
      <c r="H794" t="s">
        <v>21</v>
      </c>
      <c r="I794" t="s">
        <v>44</v>
      </c>
      <c r="J794">
        <v>581.20000000000005</v>
      </c>
      <c r="K794">
        <v>962</v>
      </c>
      <c r="L794">
        <v>6651000</v>
      </c>
      <c r="M794" t="b">
        <v>0</v>
      </c>
      <c r="N794" t="b">
        <v>0</v>
      </c>
      <c r="O794">
        <v>1500</v>
      </c>
      <c r="P794" t="b">
        <v>0</v>
      </c>
      <c r="Q794" t="b">
        <v>0</v>
      </c>
      <c r="R794" t="b">
        <v>0</v>
      </c>
      <c r="S794" t="s">
        <v>96</v>
      </c>
      <c r="T794" t="s">
        <v>118</v>
      </c>
    </row>
    <row r="795" spans="1:21" x14ac:dyDescent="0.3">
      <c r="A795" t="s">
        <v>900</v>
      </c>
      <c r="B795" s="1">
        <v>46072</v>
      </c>
      <c r="C795" s="1">
        <v>46073</v>
      </c>
      <c r="D795" s="1">
        <v>46075</v>
      </c>
      <c r="E795" s="1">
        <v>46075</v>
      </c>
      <c r="F795" t="s">
        <v>33</v>
      </c>
      <c r="G795" t="s">
        <v>62</v>
      </c>
      <c r="H795" t="s">
        <v>24</v>
      </c>
      <c r="I795" t="s">
        <v>42</v>
      </c>
      <c r="J795">
        <v>139.30000000000001</v>
      </c>
      <c r="K795">
        <v>5309.2</v>
      </c>
      <c r="L795">
        <v>5512000</v>
      </c>
      <c r="M795" t="b">
        <v>0</v>
      </c>
      <c r="N795" t="b">
        <v>0</v>
      </c>
      <c r="O795">
        <v>16000</v>
      </c>
      <c r="P795" t="b">
        <v>0</v>
      </c>
      <c r="Q795" t="b">
        <v>0</v>
      </c>
      <c r="R795" t="b">
        <v>0</v>
      </c>
      <c r="S795" t="s">
        <v>96</v>
      </c>
      <c r="T795" t="s">
        <v>115</v>
      </c>
    </row>
    <row r="796" spans="1:21" x14ac:dyDescent="0.3">
      <c r="A796" t="s">
        <v>901</v>
      </c>
      <c r="B796" s="1">
        <v>46157</v>
      </c>
      <c r="C796" s="1">
        <v>46158</v>
      </c>
      <c r="D796" s="1">
        <v>46162</v>
      </c>
      <c r="E796" s="1">
        <v>46164</v>
      </c>
      <c r="F796" t="s">
        <v>34</v>
      </c>
      <c r="G796" t="s">
        <v>56</v>
      </c>
      <c r="H796" t="s">
        <v>22</v>
      </c>
      <c r="I796" t="s">
        <v>43</v>
      </c>
      <c r="J796">
        <v>859.7</v>
      </c>
      <c r="K796">
        <v>513.4</v>
      </c>
      <c r="L796">
        <v>12027000</v>
      </c>
      <c r="M796" t="b">
        <v>0</v>
      </c>
      <c r="N796" t="b">
        <v>0</v>
      </c>
      <c r="O796">
        <v>5000</v>
      </c>
      <c r="P796" t="b">
        <v>0</v>
      </c>
      <c r="Q796" t="b">
        <v>0</v>
      </c>
      <c r="R796" t="b">
        <v>0</v>
      </c>
      <c r="S796" t="s">
        <v>101</v>
      </c>
      <c r="T796" t="s">
        <v>102</v>
      </c>
      <c r="U796">
        <v>2</v>
      </c>
    </row>
    <row r="797" spans="1:21" x14ac:dyDescent="0.3">
      <c r="A797" t="s">
        <v>902</v>
      </c>
      <c r="B797" s="1">
        <v>46078</v>
      </c>
      <c r="C797" s="1">
        <v>46080</v>
      </c>
      <c r="D797" s="1">
        <v>46083</v>
      </c>
      <c r="E797" s="1">
        <v>46084</v>
      </c>
      <c r="F797" t="s">
        <v>32</v>
      </c>
      <c r="G797" t="s">
        <v>60</v>
      </c>
      <c r="H797" t="s">
        <v>20</v>
      </c>
      <c r="I797" t="s">
        <v>44</v>
      </c>
      <c r="J797">
        <v>489</v>
      </c>
      <c r="K797">
        <v>482.9</v>
      </c>
      <c r="L797">
        <v>5190000</v>
      </c>
      <c r="M797" t="b">
        <v>0</v>
      </c>
      <c r="N797" t="b">
        <v>0</v>
      </c>
      <c r="O797">
        <v>1500</v>
      </c>
      <c r="P797" t="b">
        <v>0</v>
      </c>
      <c r="Q797" t="b">
        <v>0</v>
      </c>
      <c r="R797" t="b">
        <v>0</v>
      </c>
      <c r="S797" t="s">
        <v>101</v>
      </c>
      <c r="T797" t="s">
        <v>115</v>
      </c>
      <c r="U797">
        <v>1</v>
      </c>
    </row>
    <row r="798" spans="1:21" x14ac:dyDescent="0.3">
      <c r="A798" t="s">
        <v>903</v>
      </c>
      <c r="B798" s="1">
        <v>46059</v>
      </c>
      <c r="C798" s="1">
        <v>46060</v>
      </c>
      <c r="D798" s="1">
        <v>46059</v>
      </c>
      <c r="E798" s="1">
        <v>46061</v>
      </c>
      <c r="F798" t="s">
        <v>31</v>
      </c>
      <c r="G798" t="s">
        <v>57</v>
      </c>
      <c r="H798" t="s">
        <v>21</v>
      </c>
      <c r="I798" t="s">
        <v>44</v>
      </c>
      <c r="J798">
        <v>130.1</v>
      </c>
      <c r="K798">
        <v>552.1</v>
      </c>
      <c r="L798">
        <v>1833000</v>
      </c>
      <c r="M798" t="b">
        <v>1</v>
      </c>
      <c r="N798" t="b">
        <v>0</v>
      </c>
      <c r="O798">
        <v>1500</v>
      </c>
      <c r="P798" t="b">
        <v>0</v>
      </c>
      <c r="Q798" t="b">
        <v>0</v>
      </c>
      <c r="R798" t="b">
        <v>1</v>
      </c>
      <c r="S798" t="s">
        <v>260</v>
      </c>
      <c r="T798" t="s">
        <v>115</v>
      </c>
    </row>
    <row r="799" spans="1:21" x14ac:dyDescent="0.3">
      <c r="A799" t="s">
        <v>904</v>
      </c>
      <c r="B799" s="1">
        <v>46177</v>
      </c>
      <c r="C799" s="1">
        <v>46179</v>
      </c>
      <c r="D799" s="1">
        <v>46181</v>
      </c>
      <c r="E799" s="1">
        <v>46181</v>
      </c>
      <c r="F799" t="s">
        <v>31</v>
      </c>
      <c r="G799" t="s">
        <v>57</v>
      </c>
      <c r="H799" t="s">
        <v>23</v>
      </c>
      <c r="I799" t="s">
        <v>43</v>
      </c>
      <c r="J799">
        <v>128.9</v>
      </c>
      <c r="K799">
        <v>1961.7</v>
      </c>
      <c r="L799">
        <v>3209000</v>
      </c>
      <c r="M799" t="b">
        <v>0</v>
      </c>
      <c r="N799" t="b">
        <v>0</v>
      </c>
      <c r="O799">
        <v>5000</v>
      </c>
      <c r="P799" t="b">
        <v>0</v>
      </c>
      <c r="Q799" t="b">
        <v>0</v>
      </c>
      <c r="R799" t="b">
        <v>0</v>
      </c>
      <c r="S799" t="s">
        <v>96</v>
      </c>
      <c r="T799" t="s">
        <v>99</v>
      </c>
    </row>
    <row r="800" spans="1:21" x14ac:dyDescent="0.3">
      <c r="A800" t="s">
        <v>905</v>
      </c>
      <c r="B800" s="1">
        <v>46027</v>
      </c>
      <c r="C800" s="1">
        <v>46028</v>
      </c>
      <c r="D800" s="1">
        <v>46030</v>
      </c>
      <c r="E800" s="1">
        <v>46030</v>
      </c>
      <c r="F800" t="s">
        <v>32</v>
      </c>
      <c r="G800" t="s">
        <v>59</v>
      </c>
      <c r="H800" t="s">
        <v>22</v>
      </c>
      <c r="I800" t="s">
        <v>45</v>
      </c>
      <c r="J800">
        <v>165.7</v>
      </c>
      <c r="K800">
        <v>118.8</v>
      </c>
      <c r="L800">
        <v>1931000</v>
      </c>
      <c r="M800" t="b">
        <v>0</v>
      </c>
      <c r="N800" t="b">
        <v>0</v>
      </c>
      <c r="O800">
        <v>1000</v>
      </c>
      <c r="P800" t="b">
        <v>0</v>
      </c>
      <c r="Q800" t="b">
        <v>0</v>
      </c>
      <c r="R800" t="b">
        <v>0</v>
      </c>
      <c r="S800" t="s">
        <v>96</v>
      </c>
      <c r="T800" t="s">
        <v>104</v>
      </c>
    </row>
    <row r="801" spans="1:21" x14ac:dyDescent="0.3">
      <c r="A801" t="s">
        <v>906</v>
      </c>
      <c r="B801" s="1">
        <v>46090</v>
      </c>
      <c r="C801" s="1">
        <v>46091</v>
      </c>
      <c r="D801" s="1">
        <v>46095</v>
      </c>
      <c r="E801" s="1">
        <v>46096</v>
      </c>
      <c r="F801" t="s">
        <v>32</v>
      </c>
      <c r="G801" t="s">
        <v>62</v>
      </c>
      <c r="H801" t="s">
        <v>22</v>
      </c>
      <c r="I801" t="s">
        <v>43</v>
      </c>
      <c r="J801">
        <v>647.79999999999995</v>
      </c>
      <c r="K801">
        <v>1811.3</v>
      </c>
      <c r="L801">
        <v>10292000</v>
      </c>
      <c r="M801" t="b">
        <v>0</v>
      </c>
      <c r="N801" t="b">
        <v>0</v>
      </c>
      <c r="O801">
        <v>5000</v>
      </c>
      <c r="P801" t="b">
        <v>0</v>
      </c>
      <c r="Q801" t="b">
        <v>0</v>
      </c>
      <c r="R801" t="b">
        <v>0</v>
      </c>
      <c r="S801" t="s">
        <v>101</v>
      </c>
      <c r="T801" t="s">
        <v>118</v>
      </c>
      <c r="U801">
        <v>1</v>
      </c>
    </row>
    <row r="802" spans="1:21" x14ac:dyDescent="0.3">
      <c r="A802" t="s">
        <v>907</v>
      </c>
      <c r="B802" s="1">
        <v>46050</v>
      </c>
      <c r="C802" s="1">
        <v>46051</v>
      </c>
      <c r="D802" s="1">
        <v>46052</v>
      </c>
      <c r="E802" s="1">
        <v>46053</v>
      </c>
      <c r="F802" t="s">
        <v>34</v>
      </c>
      <c r="G802" t="s">
        <v>55</v>
      </c>
      <c r="H802" t="s">
        <v>22</v>
      </c>
      <c r="I802" t="s">
        <v>45</v>
      </c>
      <c r="J802">
        <v>52.6</v>
      </c>
      <c r="K802">
        <v>536.79999999999995</v>
      </c>
      <c r="L802">
        <v>1175000</v>
      </c>
      <c r="M802" t="b">
        <v>0</v>
      </c>
      <c r="N802" t="b">
        <v>0</v>
      </c>
      <c r="O802">
        <v>1000</v>
      </c>
      <c r="P802" t="b">
        <v>0</v>
      </c>
      <c r="Q802" t="b">
        <v>0</v>
      </c>
      <c r="R802" t="b">
        <v>0</v>
      </c>
      <c r="S802" t="s">
        <v>101</v>
      </c>
      <c r="T802" t="s">
        <v>104</v>
      </c>
      <c r="U802">
        <v>1</v>
      </c>
    </row>
    <row r="803" spans="1:21" x14ac:dyDescent="0.3">
      <c r="A803" t="s">
        <v>908</v>
      </c>
      <c r="B803" s="1">
        <v>46067</v>
      </c>
      <c r="C803" s="1">
        <v>46069</v>
      </c>
      <c r="D803" s="1">
        <v>46071</v>
      </c>
      <c r="E803" s="1">
        <v>46071</v>
      </c>
      <c r="F803" t="s">
        <v>32</v>
      </c>
      <c r="G803" t="s">
        <v>59</v>
      </c>
      <c r="H803" t="s">
        <v>20</v>
      </c>
      <c r="I803" t="s">
        <v>44</v>
      </c>
      <c r="J803">
        <v>190.5</v>
      </c>
      <c r="K803">
        <v>781.9</v>
      </c>
      <c r="L803">
        <v>2408000</v>
      </c>
      <c r="M803" t="b">
        <v>0</v>
      </c>
      <c r="N803" t="b">
        <v>0</v>
      </c>
      <c r="O803">
        <v>1500</v>
      </c>
      <c r="P803" t="b">
        <v>0</v>
      </c>
      <c r="Q803" t="b">
        <v>0</v>
      </c>
      <c r="R803" t="b">
        <v>0</v>
      </c>
      <c r="S803" t="s">
        <v>96</v>
      </c>
      <c r="T803" t="s">
        <v>115</v>
      </c>
    </row>
    <row r="804" spans="1:21" x14ac:dyDescent="0.3">
      <c r="A804" t="s">
        <v>909</v>
      </c>
      <c r="B804" s="1">
        <v>46026</v>
      </c>
      <c r="C804" s="1">
        <v>46027</v>
      </c>
      <c r="D804" s="1">
        <v>46029</v>
      </c>
      <c r="E804" s="1">
        <v>46030</v>
      </c>
      <c r="F804" t="s">
        <v>34</v>
      </c>
      <c r="G804" t="s">
        <v>58</v>
      </c>
      <c r="H804" t="s">
        <v>21</v>
      </c>
      <c r="I804" t="s">
        <v>42</v>
      </c>
      <c r="J804">
        <v>138.30000000000001</v>
      </c>
      <c r="K804">
        <v>14190.6</v>
      </c>
      <c r="L804">
        <v>7212000</v>
      </c>
      <c r="M804" t="b">
        <v>0</v>
      </c>
      <c r="N804" t="b">
        <v>0</v>
      </c>
      <c r="O804">
        <v>16000</v>
      </c>
      <c r="P804" t="b">
        <v>0</v>
      </c>
      <c r="Q804" t="b">
        <v>0</v>
      </c>
      <c r="R804" t="b">
        <v>0</v>
      </c>
      <c r="S804" t="s">
        <v>101</v>
      </c>
      <c r="T804" t="s">
        <v>104</v>
      </c>
      <c r="U804">
        <v>1</v>
      </c>
    </row>
    <row r="805" spans="1:21" x14ac:dyDescent="0.3">
      <c r="A805" t="s">
        <v>910</v>
      </c>
      <c r="B805" s="1">
        <v>46055</v>
      </c>
      <c r="C805" s="1">
        <v>46056</v>
      </c>
      <c r="D805" s="1">
        <v>46055</v>
      </c>
      <c r="E805" s="1">
        <v>46060</v>
      </c>
      <c r="F805" t="s">
        <v>32</v>
      </c>
      <c r="G805" t="s">
        <v>62</v>
      </c>
      <c r="H805" t="s">
        <v>20</v>
      </c>
      <c r="I805" t="s">
        <v>43</v>
      </c>
      <c r="J805">
        <v>616.5</v>
      </c>
      <c r="K805">
        <v>2726.6</v>
      </c>
      <c r="L805">
        <v>8297000</v>
      </c>
      <c r="M805" t="b">
        <v>1</v>
      </c>
      <c r="N805" t="b">
        <v>0</v>
      </c>
      <c r="O805">
        <v>5000</v>
      </c>
      <c r="P805" t="b">
        <v>0</v>
      </c>
      <c r="Q805" t="b">
        <v>0</v>
      </c>
      <c r="R805" t="b">
        <v>1</v>
      </c>
      <c r="S805" t="s">
        <v>260</v>
      </c>
      <c r="T805" t="s">
        <v>115</v>
      </c>
    </row>
    <row r="806" spans="1:21" x14ac:dyDescent="0.3">
      <c r="A806" t="s">
        <v>911</v>
      </c>
      <c r="B806" s="1">
        <v>46048</v>
      </c>
      <c r="C806" s="1">
        <v>46049</v>
      </c>
      <c r="D806" s="1">
        <v>46051</v>
      </c>
      <c r="E806" s="1">
        <v>46052</v>
      </c>
      <c r="F806" t="s">
        <v>32</v>
      </c>
      <c r="G806" t="s">
        <v>63</v>
      </c>
      <c r="H806" t="s">
        <v>24</v>
      </c>
      <c r="I806" t="s">
        <v>45</v>
      </c>
      <c r="J806">
        <v>178.8</v>
      </c>
      <c r="K806">
        <v>773.7</v>
      </c>
      <c r="L806">
        <v>2405000</v>
      </c>
      <c r="M806" t="b">
        <v>0</v>
      </c>
      <c r="N806" t="b">
        <v>0</v>
      </c>
      <c r="O806">
        <v>1000</v>
      </c>
      <c r="P806" t="b">
        <v>0</v>
      </c>
      <c r="Q806" t="b">
        <v>0</v>
      </c>
      <c r="R806" t="b">
        <v>0</v>
      </c>
      <c r="S806" t="s">
        <v>101</v>
      </c>
      <c r="T806" t="s">
        <v>104</v>
      </c>
      <c r="U806">
        <v>1</v>
      </c>
    </row>
    <row r="807" spans="1:21" x14ac:dyDescent="0.3">
      <c r="A807" t="s">
        <v>912</v>
      </c>
      <c r="B807" s="1">
        <v>46180</v>
      </c>
      <c r="C807" s="1">
        <v>46181</v>
      </c>
      <c r="D807" s="1">
        <v>46184</v>
      </c>
      <c r="E807" s="1">
        <v>46184</v>
      </c>
      <c r="F807" t="s">
        <v>32</v>
      </c>
      <c r="G807" t="s">
        <v>60</v>
      </c>
      <c r="H807" t="s">
        <v>21</v>
      </c>
      <c r="I807" t="s">
        <v>43</v>
      </c>
      <c r="J807">
        <v>496</v>
      </c>
      <c r="K807">
        <v>675.9</v>
      </c>
      <c r="L807">
        <v>7375000</v>
      </c>
      <c r="M807" t="b">
        <v>0</v>
      </c>
      <c r="N807" t="b">
        <v>0</v>
      </c>
      <c r="O807">
        <v>5000</v>
      </c>
      <c r="P807" t="b">
        <v>0</v>
      </c>
      <c r="Q807" t="b">
        <v>0</v>
      </c>
      <c r="R807" t="b">
        <v>0</v>
      </c>
      <c r="S807" t="s">
        <v>96</v>
      </c>
      <c r="T807" t="s">
        <v>99</v>
      </c>
    </row>
    <row r="808" spans="1:21" x14ac:dyDescent="0.3">
      <c r="A808" t="s">
        <v>913</v>
      </c>
      <c r="B808" s="1">
        <v>46040</v>
      </c>
      <c r="C808" s="1">
        <v>46040</v>
      </c>
      <c r="D808" s="1">
        <v>46041</v>
      </c>
      <c r="E808" s="1">
        <v>46041</v>
      </c>
      <c r="F808" t="s">
        <v>31</v>
      </c>
      <c r="G808" t="s">
        <v>55</v>
      </c>
      <c r="H808" t="s">
        <v>24</v>
      </c>
      <c r="I808" t="s">
        <v>43</v>
      </c>
      <c r="J808">
        <v>21.7</v>
      </c>
      <c r="K808">
        <v>4327</v>
      </c>
      <c r="L808">
        <v>2806000</v>
      </c>
      <c r="M808" t="b">
        <v>0</v>
      </c>
      <c r="N808" t="b">
        <v>0</v>
      </c>
      <c r="O808">
        <v>5000</v>
      </c>
      <c r="P808" t="b">
        <v>0</v>
      </c>
      <c r="Q808" t="b">
        <v>0</v>
      </c>
      <c r="R808" t="b">
        <v>0</v>
      </c>
      <c r="S808" t="s">
        <v>96</v>
      </c>
      <c r="T808" t="s">
        <v>104</v>
      </c>
    </row>
    <row r="809" spans="1:21" x14ac:dyDescent="0.3">
      <c r="A809" t="s">
        <v>914</v>
      </c>
      <c r="B809" s="1">
        <v>46074</v>
      </c>
      <c r="C809" s="1">
        <v>46075</v>
      </c>
      <c r="D809" s="1">
        <v>46079</v>
      </c>
      <c r="E809" s="1">
        <v>46079</v>
      </c>
      <c r="F809" t="s">
        <v>34</v>
      </c>
      <c r="G809" t="s">
        <v>62</v>
      </c>
      <c r="H809" t="s">
        <v>23</v>
      </c>
      <c r="I809" t="s">
        <v>44</v>
      </c>
      <c r="J809">
        <v>749.9</v>
      </c>
      <c r="K809">
        <v>1317.6</v>
      </c>
      <c r="L809">
        <v>7579000</v>
      </c>
      <c r="M809" t="b">
        <v>0</v>
      </c>
      <c r="N809" t="b">
        <v>0</v>
      </c>
      <c r="O809">
        <v>1500</v>
      </c>
      <c r="P809" t="b">
        <v>0</v>
      </c>
      <c r="Q809" t="b">
        <v>0</v>
      </c>
      <c r="R809" t="b">
        <v>0</v>
      </c>
      <c r="S809" t="s">
        <v>96</v>
      </c>
      <c r="T809" t="s">
        <v>115</v>
      </c>
    </row>
    <row r="810" spans="1:21" x14ac:dyDescent="0.3">
      <c r="A810" t="s">
        <v>915</v>
      </c>
      <c r="B810" s="1">
        <v>46104</v>
      </c>
      <c r="C810" s="1">
        <v>46106</v>
      </c>
      <c r="D810" s="1">
        <v>46108</v>
      </c>
      <c r="E810" s="1">
        <v>46108</v>
      </c>
      <c r="F810" t="s">
        <v>31</v>
      </c>
      <c r="G810" t="s">
        <v>63</v>
      </c>
      <c r="H810" t="s">
        <v>22</v>
      </c>
      <c r="I810" t="s">
        <v>42</v>
      </c>
      <c r="J810">
        <v>290.3</v>
      </c>
      <c r="K810">
        <v>6230.5</v>
      </c>
      <c r="L810">
        <v>9142000</v>
      </c>
      <c r="M810" t="b">
        <v>0</v>
      </c>
      <c r="N810" t="b">
        <v>0</v>
      </c>
      <c r="O810">
        <v>16000</v>
      </c>
      <c r="P810" t="b">
        <v>0</v>
      </c>
      <c r="Q810" t="b">
        <v>0</v>
      </c>
      <c r="R810" t="b">
        <v>0</v>
      </c>
      <c r="S810" t="s">
        <v>96</v>
      </c>
      <c r="T810" t="s">
        <v>118</v>
      </c>
    </row>
    <row r="811" spans="1:21" x14ac:dyDescent="0.3">
      <c r="A811" t="s">
        <v>916</v>
      </c>
      <c r="B811" s="1">
        <v>46109</v>
      </c>
      <c r="C811" s="1">
        <v>46111</v>
      </c>
      <c r="D811" s="1">
        <v>46114</v>
      </c>
      <c r="E811" s="1">
        <v>46114</v>
      </c>
      <c r="F811" t="s">
        <v>34</v>
      </c>
      <c r="G811" t="s">
        <v>54</v>
      </c>
      <c r="H811" t="s">
        <v>23</v>
      </c>
      <c r="I811" t="s">
        <v>45</v>
      </c>
      <c r="J811">
        <v>437</v>
      </c>
      <c r="K811">
        <v>378</v>
      </c>
      <c r="L811">
        <v>4220000</v>
      </c>
      <c r="M811" t="b">
        <v>0</v>
      </c>
      <c r="N811" t="b">
        <v>0</v>
      </c>
      <c r="O811">
        <v>1000</v>
      </c>
      <c r="P811" t="b">
        <v>0</v>
      </c>
      <c r="Q811" t="b">
        <v>0</v>
      </c>
      <c r="R811" t="b">
        <v>0</v>
      </c>
      <c r="S811" t="s">
        <v>96</v>
      </c>
      <c r="T811" t="s">
        <v>118</v>
      </c>
    </row>
    <row r="812" spans="1:21" x14ac:dyDescent="0.3">
      <c r="A812" t="s">
        <v>917</v>
      </c>
      <c r="B812" s="1">
        <v>46049</v>
      </c>
      <c r="C812" s="1">
        <v>46050</v>
      </c>
      <c r="D812" s="1">
        <v>46052</v>
      </c>
      <c r="E812" s="1">
        <v>46051</v>
      </c>
      <c r="F812" t="s">
        <v>33</v>
      </c>
      <c r="G812" t="s">
        <v>62</v>
      </c>
      <c r="H812" t="s">
        <v>23</v>
      </c>
      <c r="I812" t="s">
        <v>43</v>
      </c>
      <c r="J812">
        <v>147.5</v>
      </c>
      <c r="K812">
        <v>3366.6</v>
      </c>
      <c r="L812">
        <v>4175000</v>
      </c>
      <c r="M812" t="b">
        <v>0</v>
      </c>
      <c r="N812" t="b">
        <v>0</v>
      </c>
      <c r="O812">
        <v>5000</v>
      </c>
      <c r="P812" t="b">
        <v>0</v>
      </c>
      <c r="Q812" t="b">
        <v>0</v>
      </c>
      <c r="R812" t="b">
        <v>0</v>
      </c>
      <c r="S812" t="s">
        <v>96</v>
      </c>
      <c r="T812" t="s">
        <v>104</v>
      </c>
    </row>
    <row r="813" spans="1:21" x14ac:dyDescent="0.3">
      <c r="A813" t="s">
        <v>918</v>
      </c>
      <c r="B813" s="1">
        <v>46200</v>
      </c>
      <c r="C813" s="1">
        <v>46201</v>
      </c>
      <c r="D813" s="1">
        <v>46204</v>
      </c>
      <c r="E813" s="1">
        <v>46204</v>
      </c>
      <c r="F813" t="s">
        <v>34</v>
      </c>
      <c r="G813" t="s">
        <v>53</v>
      </c>
      <c r="H813" t="s">
        <v>20</v>
      </c>
      <c r="I813" t="s">
        <v>45</v>
      </c>
      <c r="J813">
        <v>319.39999999999998</v>
      </c>
      <c r="K813">
        <v>857.6</v>
      </c>
      <c r="L813">
        <v>3722000</v>
      </c>
      <c r="M813" t="b">
        <v>0</v>
      </c>
      <c r="N813" t="b">
        <v>0</v>
      </c>
      <c r="O813">
        <v>1000</v>
      </c>
      <c r="P813" t="b">
        <v>0</v>
      </c>
      <c r="Q813" t="b">
        <v>0</v>
      </c>
      <c r="R813" t="b">
        <v>0</v>
      </c>
      <c r="S813" t="s">
        <v>96</v>
      </c>
      <c r="T813" t="s">
        <v>99</v>
      </c>
    </row>
    <row r="814" spans="1:21" x14ac:dyDescent="0.3">
      <c r="A814" t="s">
        <v>919</v>
      </c>
      <c r="B814" s="1">
        <v>46050</v>
      </c>
      <c r="C814" s="1">
        <v>46050</v>
      </c>
      <c r="D814" s="1">
        <v>46052</v>
      </c>
      <c r="E814" s="1">
        <v>46053</v>
      </c>
      <c r="F814" t="s">
        <v>31</v>
      </c>
      <c r="G814" t="s">
        <v>58</v>
      </c>
      <c r="H814" t="s">
        <v>23</v>
      </c>
      <c r="I814" t="s">
        <v>43</v>
      </c>
      <c r="J814">
        <v>184.2</v>
      </c>
      <c r="K814">
        <v>3233.1</v>
      </c>
      <c r="L814">
        <v>4027000</v>
      </c>
      <c r="M814" t="b">
        <v>0</v>
      </c>
      <c r="N814" t="b">
        <v>0</v>
      </c>
      <c r="O814">
        <v>5000</v>
      </c>
      <c r="P814" t="b">
        <v>0</v>
      </c>
      <c r="Q814" t="b">
        <v>0</v>
      </c>
      <c r="R814" t="b">
        <v>0</v>
      </c>
      <c r="S814" t="s">
        <v>101</v>
      </c>
      <c r="T814" t="s">
        <v>104</v>
      </c>
      <c r="U814">
        <v>1</v>
      </c>
    </row>
    <row r="815" spans="1:21" x14ac:dyDescent="0.3">
      <c r="A815" t="s">
        <v>920</v>
      </c>
      <c r="B815" s="1">
        <v>46202</v>
      </c>
      <c r="C815" s="1">
        <v>46202</v>
      </c>
      <c r="D815" s="1">
        <v>46205</v>
      </c>
      <c r="E815" s="1">
        <v>46205</v>
      </c>
      <c r="F815" t="s">
        <v>31</v>
      </c>
      <c r="G815" t="s">
        <v>59</v>
      </c>
      <c r="H815" t="s">
        <v>21</v>
      </c>
      <c r="I815" t="s">
        <v>44</v>
      </c>
      <c r="J815">
        <v>304.10000000000002</v>
      </c>
      <c r="K815">
        <v>514.20000000000005</v>
      </c>
      <c r="L815">
        <v>3750000</v>
      </c>
      <c r="M815" t="b">
        <v>0</v>
      </c>
      <c r="N815" t="b">
        <v>0</v>
      </c>
      <c r="O815">
        <v>1500</v>
      </c>
      <c r="P815" t="b">
        <v>0</v>
      </c>
      <c r="Q815" t="b">
        <v>0</v>
      </c>
      <c r="R815" t="b">
        <v>0</v>
      </c>
      <c r="S815" t="s">
        <v>96</v>
      </c>
      <c r="T815" t="s">
        <v>99</v>
      </c>
    </row>
    <row r="816" spans="1:21" x14ac:dyDescent="0.3">
      <c r="A816" t="s">
        <v>921</v>
      </c>
      <c r="B816" s="1">
        <v>46182</v>
      </c>
      <c r="C816" s="1">
        <v>46183</v>
      </c>
      <c r="D816" s="1">
        <v>46187</v>
      </c>
      <c r="E816" s="1">
        <v>46187</v>
      </c>
      <c r="F816" t="s">
        <v>34</v>
      </c>
      <c r="G816" t="s">
        <v>60</v>
      </c>
      <c r="H816" t="s">
        <v>23</v>
      </c>
      <c r="I816" t="s">
        <v>45</v>
      </c>
      <c r="J816">
        <v>634</v>
      </c>
      <c r="K816">
        <v>869</v>
      </c>
      <c r="L816">
        <v>6357000</v>
      </c>
      <c r="M816" t="b">
        <v>0</v>
      </c>
      <c r="N816" t="b">
        <v>0</v>
      </c>
      <c r="O816">
        <v>1000</v>
      </c>
      <c r="P816" t="b">
        <v>0</v>
      </c>
      <c r="Q816" t="b">
        <v>0</v>
      </c>
      <c r="R816" t="b">
        <v>0</v>
      </c>
      <c r="S816" t="s">
        <v>96</v>
      </c>
      <c r="T816" t="s">
        <v>99</v>
      </c>
    </row>
    <row r="817" spans="1:21" x14ac:dyDescent="0.3">
      <c r="A817" t="s">
        <v>922</v>
      </c>
      <c r="B817" s="1">
        <v>46181</v>
      </c>
      <c r="C817" s="1">
        <v>46182</v>
      </c>
      <c r="D817" s="1">
        <v>46184</v>
      </c>
      <c r="E817" s="1">
        <v>46184</v>
      </c>
      <c r="F817" t="s">
        <v>31</v>
      </c>
      <c r="G817" t="s">
        <v>63</v>
      </c>
      <c r="H817" t="s">
        <v>21</v>
      </c>
      <c r="I817" t="s">
        <v>44</v>
      </c>
      <c r="J817">
        <v>279</v>
      </c>
      <c r="K817">
        <v>913.1</v>
      </c>
      <c r="L817">
        <v>3465000</v>
      </c>
      <c r="M817" t="b">
        <v>0</v>
      </c>
      <c r="N817" t="b">
        <v>0</v>
      </c>
      <c r="O817">
        <v>1500</v>
      </c>
      <c r="P817" t="b">
        <v>0</v>
      </c>
      <c r="Q817" t="b">
        <v>0</v>
      </c>
      <c r="R817" t="b">
        <v>0</v>
      </c>
      <c r="S817" t="s">
        <v>96</v>
      </c>
      <c r="T817" t="s">
        <v>99</v>
      </c>
    </row>
    <row r="818" spans="1:21" x14ac:dyDescent="0.3">
      <c r="A818" t="s">
        <v>923</v>
      </c>
      <c r="B818" s="1">
        <v>46065</v>
      </c>
      <c r="C818" s="1">
        <v>46066</v>
      </c>
      <c r="D818" s="1">
        <v>46070</v>
      </c>
      <c r="E818" s="1">
        <v>46071</v>
      </c>
      <c r="F818" t="s">
        <v>34</v>
      </c>
      <c r="G818" t="s">
        <v>62</v>
      </c>
      <c r="H818" t="s">
        <v>20</v>
      </c>
      <c r="I818" t="s">
        <v>42</v>
      </c>
      <c r="J818">
        <v>774.7</v>
      </c>
      <c r="K818">
        <v>5129.3</v>
      </c>
      <c r="L818">
        <v>15719000</v>
      </c>
      <c r="M818" t="b">
        <v>0</v>
      </c>
      <c r="N818" t="b">
        <v>0</v>
      </c>
      <c r="O818">
        <v>16000</v>
      </c>
      <c r="P818" t="b">
        <v>0</v>
      </c>
      <c r="Q818" t="b">
        <v>0</v>
      </c>
      <c r="R818" t="b">
        <v>0</v>
      </c>
      <c r="S818" t="s">
        <v>101</v>
      </c>
      <c r="T818" t="s">
        <v>115</v>
      </c>
      <c r="U818">
        <v>1</v>
      </c>
    </row>
    <row r="819" spans="1:21" x14ac:dyDescent="0.3">
      <c r="A819" t="s">
        <v>924</v>
      </c>
      <c r="B819" s="1">
        <v>46187</v>
      </c>
      <c r="C819" s="1">
        <v>46188</v>
      </c>
      <c r="D819" s="1">
        <v>46190</v>
      </c>
      <c r="E819" s="1">
        <v>46190</v>
      </c>
      <c r="F819" t="s">
        <v>34</v>
      </c>
      <c r="G819" t="s">
        <v>58</v>
      </c>
      <c r="H819" t="s">
        <v>24</v>
      </c>
      <c r="I819" t="s">
        <v>42</v>
      </c>
      <c r="J819">
        <v>137.30000000000001</v>
      </c>
      <c r="K819">
        <v>13290.1</v>
      </c>
      <c r="L819">
        <v>6694000</v>
      </c>
      <c r="M819" t="b">
        <v>0</v>
      </c>
      <c r="N819" t="b">
        <v>0</v>
      </c>
      <c r="O819">
        <v>16000</v>
      </c>
      <c r="P819" t="b">
        <v>0</v>
      </c>
      <c r="Q819" t="b">
        <v>0</v>
      </c>
      <c r="R819" t="b">
        <v>0</v>
      </c>
      <c r="S819" t="s">
        <v>96</v>
      </c>
      <c r="T819" t="s">
        <v>99</v>
      </c>
    </row>
    <row r="820" spans="1:21" x14ac:dyDescent="0.3">
      <c r="A820" t="s">
        <v>925</v>
      </c>
      <c r="B820" s="1">
        <v>46153</v>
      </c>
      <c r="C820" s="1">
        <v>46155</v>
      </c>
      <c r="D820" s="1">
        <v>46157</v>
      </c>
      <c r="E820" s="1">
        <v>46157</v>
      </c>
      <c r="F820" t="s">
        <v>34</v>
      </c>
      <c r="G820" t="s">
        <v>57</v>
      </c>
      <c r="H820" t="s">
        <v>20</v>
      </c>
      <c r="I820" t="s">
        <v>43</v>
      </c>
      <c r="J820">
        <v>152</v>
      </c>
      <c r="K820">
        <v>1870.2</v>
      </c>
      <c r="L820">
        <v>3586000</v>
      </c>
      <c r="M820" t="b">
        <v>0</v>
      </c>
      <c r="N820" t="b">
        <v>0</v>
      </c>
      <c r="O820">
        <v>5000</v>
      </c>
      <c r="P820" t="b">
        <v>0</v>
      </c>
      <c r="Q820" t="b">
        <v>0</v>
      </c>
      <c r="R820" t="b">
        <v>0</v>
      </c>
      <c r="S820" t="s">
        <v>96</v>
      </c>
      <c r="T820" t="s">
        <v>102</v>
      </c>
    </row>
    <row r="821" spans="1:21" x14ac:dyDescent="0.3">
      <c r="A821" t="s">
        <v>926</v>
      </c>
      <c r="B821" s="1">
        <v>46044</v>
      </c>
      <c r="C821" s="1">
        <v>46044</v>
      </c>
      <c r="D821" s="1">
        <v>46046</v>
      </c>
      <c r="E821" s="1">
        <v>46046</v>
      </c>
      <c r="F821" t="s">
        <v>32</v>
      </c>
      <c r="G821" t="s">
        <v>61</v>
      </c>
      <c r="H821" t="s">
        <v>21</v>
      </c>
      <c r="I821" t="s">
        <v>43</v>
      </c>
      <c r="J821">
        <v>149.30000000000001</v>
      </c>
      <c r="K821">
        <v>3117.8</v>
      </c>
      <c r="L821">
        <v>3877000</v>
      </c>
      <c r="M821" t="b">
        <v>0</v>
      </c>
      <c r="N821" t="b">
        <v>0</v>
      </c>
      <c r="O821">
        <v>5000</v>
      </c>
      <c r="P821" t="b">
        <v>0</v>
      </c>
      <c r="Q821" t="b">
        <v>0</v>
      </c>
      <c r="R821" t="b">
        <v>0</v>
      </c>
      <c r="S821" t="s">
        <v>96</v>
      </c>
      <c r="T821" t="s">
        <v>104</v>
      </c>
    </row>
    <row r="822" spans="1:21" x14ac:dyDescent="0.3">
      <c r="A822" t="s">
        <v>927</v>
      </c>
      <c r="B822" s="1">
        <v>46074</v>
      </c>
      <c r="C822" s="1">
        <v>46075</v>
      </c>
      <c r="D822" s="1">
        <v>46076</v>
      </c>
      <c r="E822" s="1">
        <v>46076</v>
      </c>
      <c r="F822" t="s">
        <v>34</v>
      </c>
      <c r="G822" t="s">
        <v>55</v>
      </c>
      <c r="H822" t="s">
        <v>22</v>
      </c>
      <c r="I822" t="s">
        <v>43</v>
      </c>
      <c r="J822">
        <v>59.7</v>
      </c>
      <c r="K822">
        <v>1944.5</v>
      </c>
      <c r="L822">
        <v>2329000</v>
      </c>
      <c r="M822" t="b">
        <v>0</v>
      </c>
      <c r="N822" t="b">
        <v>0</v>
      </c>
      <c r="O822">
        <v>5000</v>
      </c>
      <c r="P822" t="b">
        <v>0</v>
      </c>
      <c r="Q822" t="b">
        <v>0</v>
      </c>
      <c r="R822" t="b">
        <v>0</v>
      </c>
      <c r="S822" t="s">
        <v>96</v>
      </c>
      <c r="T822" t="s">
        <v>115</v>
      </c>
    </row>
    <row r="823" spans="1:21" x14ac:dyDescent="0.3">
      <c r="A823" t="s">
        <v>928</v>
      </c>
      <c r="B823" s="1">
        <v>46202</v>
      </c>
      <c r="C823" s="1">
        <v>46203</v>
      </c>
      <c r="D823" s="1">
        <v>46205</v>
      </c>
      <c r="E823" s="1">
        <v>46205</v>
      </c>
      <c r="F823" t="s">
        <v>31</v>
      </c>
      <c r="G823" t="s">
        <v>53</v>
      </c>
      <c r="H823" t="s">
        <v>21</v>
      </c>
      <c r="I823" t="s">
        <v>44</v>
      </c>
      <c r="J823">
        <v>295.89999999999998</v>
      </c>
      <c r="K823">
        <v>326.7</v>
      </c>
      <c r="L823">
        <v>3797000</v>
      </c>
      <c r="M823" t="b">
        <v>0</v>
      </c>
      <c r="N823" t="b">
        <v>0</v>
      </c>
      <c r="O823">
        <v>1500</v>
      </c>
      <c r="P823" t="b">
        <v>0</v>
      </c>
      <c r="Q823" t="b">
        <v>0</v>
      </c>
      <c r="R823" t="b">
        <v>0</v>
      </c>
      <c r="S823" t="s">
        <v>96</v>
      </c>
      <c r="T823" t="s">
        <v>99</v>
      </c>
    </row>
    <row r="824" spans="1:21" x14ac:dyDescent="0.3">
      <c r="A824" t="s">
        <v>929</v>
      </c>
      <c r="B824" s="1">
        <v>46140</v>
      </c>
      <c r="C824" s="1">
        <v>46142</v>
      </c>
      <c r="D824" s="1">
        <v>46144</v>
      </c>
      <c r="E824" s="1">
        <v>46144</v>
      </c>
      <c r="F824" t="s">
        <v>34</v>
      </c>
      <c r="G824" t="s">
        <v>58</v>
      </c>
      <c r="H824" t="s">
        <v>20</v>
      </c>
      <c r="I824" t="s">
        <v>43</v>
      </c>
      <c r="J824">
        <v>145.5</v>
      </c>
      <c r="K824">
        <v>591</v>
      </c>
      <c r="L824">
        <v>2584000</v>
      </c>
      <c r="M824" t="b">
        <v>0</v>
      </c>
      <c r="N824" t="b">
        <v>0</v>
      </c>
      <c r="O824">
        <v>5000</v>
      </c>
      <c r="P824" t="b">
        <v>0</v>
      </c>
      <c r="Q824" t="b">
        <v>0</v>
      </c>
      <c r="R824" t="b">
        <v>0</v>
      </c>
      <c r="S824" t="s">
        <v>96</v>
      </c>
      <c r="T824" t="s">
        <v>112</v>
      </c>
    </row>
    <row r="825" spans="1:21" x14ac:dyDescent="0.3">
      <c r="A825" t="s">
        <v>930</v>
      </c>
      <c r="B825" s="1">
        <v>46030</v>
      </c>
      <c r="C825" s="1">
        <v>46031</v>
      </c>
      <c r="D825" s="1">
        <v>46033</v>
      </c>
      <c r="E825" s="1">
        <v>46033</v>
      </c>
      <c r="F825" t="s">
        <v>34</v>
      </c>
      <c r="G825" t="s">
        <v>58</v>
      </c>
      <c r="H825" t="s">
        <v>23</v>
      </c>
      <c r="I825" t="s">
        <v>42</v>
      </c>
      <c r="J825">
        <v>153.6</v>
      </c>
      <c r="K825">
        <v>12736.8</v>
      </c>
      <c r="L825">
        <v>6226000</v>
      </c>
      <c r="M825" t="b">
        <v>0</v>
      </c>
      <c r="N825" t="b">
        <v>0</v>
      </c>
      <c r="O825">
        <v>16000</v>
      </c>
      <c r="P825" t="b">
        <v>0</v>
      </c>
      <c r="Q825" t="b">
        <v>0</v>
      </c>
      <c r="R825" t="b">
        <v>0</v>
      </c>
      <c r="S825" t="s">
        <v>96</v>
      </c>
      <c r="T825" t="s">
        <v>104</v>
      </c>
    </row>
    <row r="826" spans="1:21" x14ac:dyDescent="0.3">
      <c r="A826" t="s">
        <v>931</v>
      </c>
      <c r="B826" s="1">
        <v>46185</v>
      </c>
      <c r="C826" s="1">
        <v>46186</v>
      </c>
      <c r="D826" s="1">
        <v>46188</v>
      </c>
      <c r="E826" s="1">
        <v>46187</v>
      </c>
      <c r="F826" t="s">
        <v>31</v>
      </c>
      <c r="G826" t="s">
        <v>58</v>
      </c>
      <c r="H826" t="s">
        <v>20</v>
      </c>
      <c r="I826" t="s">
        <v>44</v>
      </c>
      <c r="J826">
        <v>187.5</v>
      </c>
      <c r="K826">
        <v>810.1</v>
      </c>
      <c r="L826">
        <v>2478000</v>
      </c>
      <c r="M826" t="b">
        <v>0</v>
      </c>
      <c r="N826" t="b">
        <v>0</v>
      </c>
      <c r="O826">
        <v>1500</v>
      </c>
      <c r="P826" t="b">
        <v>0</v>
      </c>
      <c r="Q826" t="b">
        <v>0</v>
      </c>
      <c r="R826" t="b">
        <v>0</v>
      </c>
      <c r="S826" t="s">
        <v>96</v>
      </c>
      <c r="T826" t="s">
        <v>99</v>
      </c>
    </row>
    <row r="827" spans="1:21" x14ac:dyDescent="0.3">
      <c r="A827" t="s">
        <v>932</v>
      </c>
      <c r="B827" s="1">
        <v>46092</v>
      </c>
      <c r="C827" s="1">
        <v>46093</v>
      </c>
      <c r="D827" s="1">
        <v>46096</v>
      </c>
      <c r="E827" s="1">
        <v>46097</v>
      </c>
      <c r="F827" t="s">
        <v>34</v>
      </c>
      <c r="G827" t="s">
        <v>63</v>
      </c>
      <c r="H827" t="s">
        <v>20</v>
      </c>
      <c r="I827" t="s">
        <v>43</v>
      </c>
      <c r="J827">
        <v>324.2</v>
      </c>
      <c r="K827">
        <v>1838.8</v>
      </c>
      <c r="L827">
        <v>4574000</v>
      </c>
      <c r="M827" t="b">
        <v>0</v>
      </c>
      <c r="N827" t="b">
        <v>0</v>
      </c>
      <c r="O827">
        <v>5000</v>
      </c>
      <c r="P827" t="b">
        <v>0</v>
      </c>
      <c r="Q827" t="b">
        <v>0</v>
      </c>
      <c r="R827" t="b">
        <v>0</v>
      </c>
      <c r="S827" t="s">
        <v>101</v>
      </c>
      <c r="T827" t="s">
        <v>118</v>
      </c>
      <c r="U827">
        <v>1</v>
      </c>
    </row>
    <row r="828" spans="1:21" x14ac:dyDescent="0.3">
      <c r="A828" t="s">
        <v>933</v>
      </c>
      <c r="B828" s="1">
        <v>46098</v>
      </c>
      <c r="C828" s="1">
        <v>46099</v>
      </c>
      <c r="D828" s="1">
        <v>46100</v>
      </c>
      <c r="E828" s="1">
        <v>46100</v>
      </c>
      <c r="F828" t="s">
        <v>31</v>
      </c>
      <c r="G828" t="s">
        <v>61</v>
      </c>
      <c r="H828" t="s">
        <v>22</v>
      </c>
      <c r="I828" t="s">
        <v>43</v>
      </c>
      <c r="J828">
        <v>52.4</v>
      </c>
      <c r="K828">
        <v>794.3</v>
      </c>
      <c r="L828">
        <v>1763000</v>
      </c>
      <c r="M828" t="b">
        <v>0</v>
      </c>
      <c r="N828" t="b">
        <v>0</v>
      </c>
      <c r="O828">
        <v>5000</v>
      </c>
      <c r="P828" t="b">
        <v>0</v>
      </c>
      <c r="Q828" t="b">
        <v>0</v>
      </c>
      <c r="R828" t="b">
        <v>0</v>
      </c>
      <c r="S828" t="s">
        <v>96</v>
      </c>
      <c r="T828" t="s">
        <v>118</v>
      </c>
    </row>
    <row r="829" spans="1:21" x14ac:dyDescent="0.3">
      <c r="A829" t="s">
        <v>934</v>
      </c>
      <c r="B829" s="1">
        <v>46026</v>
      </c>
      <c r="C829" s="1">
        <v>46027</v>
      </c>
      <c r="D829" s="1">
        <v>46030</v>
      </c>
      <c r="E829" s="1">
        <v>46030</v>
      </c>
      <c r="F829" t="s">
        <v>34</v>
      </c>
      <c r="G829" t="s">
        <v>63</v>
      </c>
      <c r="H829" t="s">
        <v>22</v>
      </c>
      <c r="I829" t="s">
        <v>43</v>
      </c>
      <c r="J829">
        <v>347</v>
      </c>
      <c r="K829">
        <v>3771</v>
      </c>
      <c r="L829">
        <v>6427000</v>
      </c>
      <c r="M829" t="b">
        <v>0</v>
      </c>
      <c r="N829" t="b">
        <v>0</v>
      </c>
      <c r="O829">
        <v>5000</v>
      </c>
      <c r="P829" t="b">
        <v>0</v>
      </c>
      <c r="Q829" t="b">
        <v>0</v>
      </c>
      <c r="R829" t="b">
        <v>0</v>
      </c>
      <c r="S829" t="s">
        <v>96</v>
      </c>
      <c r="T829" t="s">
        <v>104</v>
      </c>
    </row>
    <row r="830" spans="1:21" x14ac:dyDescent="0.3">
      <c r="A830" t="s">
        <v>935</v>
      </c>
      <c r="B830" s="1">
        <v>46052</v>
      </c>
      <c r="C830" s="1">
        <v>46053</v>
      </c>
      <c r="D830" s="1">
        <v>46056</v>
      </c>
      <c r="E830" s="1">
        <v>46056</v>
      </c>
      <c r="F830" t="s">
        <v>32</v>
      </c>
      <c r="G830" t="s">
        <v>60</v>
      </c>
      <c r="H830" t="s">
        <v>21</v>
      </c>
      <c r="I830" t="s">
        <v>42</v>
      </c>
      <c r="J830">
        <v>484.6</v>
      </c>
      <c r="K830">
        <v>9050.1</v>
      </c>
      <c r="L830">
        <v>11809000</v>
      </c>
      <c r="M830" t="b">
        <v>0</v>
      </c>
      <c r="N830" t="b">
        <v>0</v>
      </c>
      <c r="O830">
        <v>16000</v>
      </c>
      <c r="P830" t="b">
        <v>0</v>
      </c>
      <c r="Q830" t="b">
        <v>0</v>
      </c>
      <c r="R830" t="b">
        <v>0</v>
      </c>
      <c r="S830" t="s">
        <v>96</v>
      </c>
      <c r="T830" t="s">
        <v>104</v>
      </c>
    </row>
    <row r="831" spans="1:21" x14ac:dyDescent="0.3">
      <c r="A831" t="s">
        <v>936</v>
      </c>
      <c r="B831" s="1">
        <v>46192</v>
      </c>
      <c r="C831" s="1">
        <v>46194</v>
      </c>
      <c r="D831" s="1">
        <v>46197</v>
      </c>
      <c r="E831" s="1">
        <v>46198</v>
      </c>
      <c r="F831" t="s">
        <v>32</v>
      </c>
      <c r="G831" t="s">
        <v>59</v>
      </c>
      <c r="H831" t="s">
        <v>23</v>
      </c>
      <c r="I831" t="s">
        <v>43</v>
      </c>
      <c r="J831">
        <v>175.5</v>
      </c>
      <c r="K831">
        <v>744.9</v>
      </c>
      <c r="L831">
        <v>2948000</v>
      </c>
      <c r="M831" t="b">
        <v>0</v>
      </c>
      <c r="N831" t="b">
        <v>0</v>
      </c>
      <c r="O831">
        <v>5000</v>
      </c>
      <c r="P831" t="b">
        <v>0</v>
      </c>
      <c r="Q831" t="b">
        <v>0</v>
      </c>
      <c r="R831" t="b">
        <v>0</v>
      </c>
      <c r="S831" t="s">
        <v>101</v>
      </c>
      <c r="T831" t="s">
        <v>99</v>
      </c>
      <c r="U831">
        <v>1</v>
      </c>
    </row>
    <row r="832" spans="1:21" x14ac:dyDescent="0.3">
      <c r="A832" t="s">
        <v>937</v>
      </c>
      <c r="B832" s="1">
        <v>46129</v>
      </c>
      <c r="C832" s="1">
        <v>46130</v>
      </c>
      <c r="D832" s="1">
        <v>46134</v>
      </c>
      <c r="E832" s="1">
        <v>46134</v>
      </c>
      <c r="F832" t="s">
        <v>34</v>
      </c>
      <c r="G832" t="s">
        <v>56</v>
      </c>
      <c r="H832" t="s">
        <v>20</v>
      </c>
      <c r="I832" t="s">
        <v>44</v>
      </c>
      <c r="J832">
        <v>897.3</v>
      </c>
      <c r="K832">
        <v>493.8</v>
      </c>
      <c r="L832">
        <v>10042000</v>
      </c>
      <c r="M832" t="b">
        <v>0</v>
      </c>
      <c r="N832" t="b">
        <v>0</v>
      </c>
      <c r="O832">
        <v>1500</v>
      </c>
      <c r="P832" t="b">
        <v>0</v>
      </c>
      <c r="Q832" t="b">
        <v>0</v>
      </c>
      <c r="R832" t="b">
        <v>0</v>
      </c>
      <c r="S832" t="s">
        <v>96</v>
      </c>
      <c r="T832" t="s">
        <v>112</v>
      </c>
    </row>
    <row r="833" spans="1:21" x14ac:dyDescent="0.3">
      <c r="A833" t="s">
        <v>938</v>
      </c>
      <c r="B833" s="1">
        <v>46148</v>
      </c>
      <c r="C833" s="1">
        <v>46149</v>
      </c>
      <c r="D833" s="1">
        <v>46150</v>
      </c>
      <c r="E833" s="1">
        <v>46150</v>
      </c>
      <c r="F833" t="s">
        <v>32</v>
      </c>
      <c r="G833" t="s">
        <v>57</v>
      </c>
      <c r="H833" t="s">
        <v>21</v>
      </c>
      <c r="I833" t="s">
        <v>42</v>
      </c>
      <c r="J833">
        <v>17.399999999999999</v>
      </c>
      <c r="K833">
        <v>5204.2</v>
      </c>
      <c r="L833">
        <v>2842000</v>
      </c>
      <c r="M833" t="b">
        <v>0</v>
      </c>
      <c r="N833" t="b">
        <v>0</v>
      </c>
      <c r="O833">
        <v>16000</v>
      </c>
      <c r="P833" t="b">
        <v>0</v>
      </c>
      <c r="Q833" t="b">
        <v>0</v>
      </c>
      <c r="R833" t="b">
        <v>0</v>
      </c>
      <c r="S833" t="s">
        <v>96</v>
      </c>
      <c r="T833" t="s">
        <v>102</v>
      </c>
    </row>
    <row r="834" spans="1:21" x14ac:dyDescent="0.3">
      <c r="A834" t="s">
        <v>939</v>
      </c>
      <c r="B834" s="1">
        <v>46044</v>
      </c>
      <c r="C834" s="1">
        <v>46046</v>
      </c>
      <c r="D834" s="1">
        <v>46049</v>
      </c>
      <c r="E834" s="1">
        <v>46049</v>
      </c>
      <c r="F834" t="s">
        <v>34</v>
      </c>
      <c r="G834" t="s">
        <v>54</v>
      </c>
      <c r="H834" t="s">
        <v>24</v>
      </c>
      <c r="I834" t="s">
        <v>45</v>
      </c>
      <c r="J834">
        <v>436.1</v>
      </c>
      <c r="K834">
        <v>733.3</v>
      </c>
      <c r="L834">
        <v>4495000</v>
      </c>
      <c r="M834" t="b">
        <v>0</v>
      </c>
      <c r="N834" t="b">
        <v>0</v>
      </c>
      <c r="O834">
        <v>1000</v>
      </c>
      <c r="P834" t="b">
        <v>0</v>
      </c>
      <c r="Q834" t="b">
        <v>0</v>
      </c>
      <c r="R834" t="b">
        <v>0</v>
      </c>
      <c r="S834" t="s">
        <v>96</v>
      </c>
      <c r="T834" t="s">
        <v>104</v>
      </c>
    </row>
    <row r="835" spans="1:21" x14ac:dyDescent="0.3">
      <c r="A835" t="s">
        <v>940</v>
      </c>
      <c r="B835" s="1">
        <v>46103</v>
      </c>
      <c r="C835" s="1">
        <v>46104</v>
      </c>
      <c r="D835" s="1">
        <v>46106</v>
      </c>
      <c r="E835" s="1">
        <v>46106</v>
      </c>
      <c r="F835" t="s">
        <v>32</v>
      </c>
      <c r="G835" t="s">
        <v>63</v>
      </c>
      <c r="H835" t="s">
        <v>21</v>
      </c>
      <c r="I835" t="s">
        <v>44</v>
      </c>
      <c r="J835">
        <v>168.3</v>
      </c>
      <c r="K835">
        <v>617.4</v>
      </c>
      <c r="L835">
        <v>2224000</v>
      </c>
      <c r="M835" t="b">
        <v>0</v>
      </c>
      <c r="N835" t="b">
        <v>0</v>
      </c>
      <c r="O835">
        <v>1500</v>
      </c>
      <c r="P835" t="b">
        <v>0</v>
      </c>
      <c r="Q835" t="b">
        <v>0</v>
      </c>
      <c r="R835" t="b">
        <v>0</v>
      </c>
      <c r="S835" t="s">
        <v>96</v>
      </c>
      <c r="T835" t="s">
        <v>118</v>
      </c>
    </row>
    <row r="836" spans="1:21" x14ac:dyDescent="0.3">
      <c r="A836" t="s">
        <v>941</v>
      </c>
      <c r="B836" s="1">
        <v>46035</v>
      </c>
      <c r="C836" s="1">
        <v>46034</v>
      </c>
      <c r="D836" s="1">
        <v>46041</v>
      </c>
      <c r="E836" s="1">
        <v>46041</v>
      </c>
      <c r="F836" t="s">
        <v>33</v>
      </c>
      <c r="G836" t="s">
        <v>61</v>
      </c>
      <c r="H836" t="s">
        <v>21</v>
      </c>
      <c r="I836" t="s">
        <v>44</v>
      </c>
      <c r="J836">
        <v>681.4</v>
      </c>
      <c r="K836">
        <v>981</v>
      </c>
      <c r="L836">
        <v>7088000</v>
      </c>
      <c r="M836" t="b">
        <v>1</v>
      </c>
      <c r="N836" t="b">
        <v>0</v>
      </c>
      <c r="O836">
        <v>1500</v>
      </c>
      <c r="P836" t="b">
        <v>0</v>
      </c>
      <c r="Q836" t="b">
        <v>0</v>
      </c>
      <c r="R836" t="b">
        <v>1</v>
      </c>
      <c r="S836" t="s">
        <v>260</v>
      </c>
      <c r="T836" t="s">
        <v>104</v>
      </c>
    </row>
    <row r="837" spans="1:21" x14ac:dyDescent="0.3">
      <c r="A837" t="s">
        <v>942</v>
      </c>
      <c r="B837" s="1">
        <v>46149</v>
      </c>
      <c r="C837" s="1">
        <v>46149</v>
      </c>
      <c r="D837" s="1">
        <v>46151</v>
      </c>
      <c r="E837" s="1">
        <v>46151</v>
      </c>
      <c r="F837" t="s">
        <v>32</v>
      </c>
      <c r="G837" t="s">
        <v>55</v>
      </c>
      <c r="H837" t="s">
        <v>21</v>
      </c>
      <c r="I837" t="s">
        <v>45</v>
      </c>
      <c r="J837">
        <v>130.5</v>
      </c>
      <c r="K837">
        <v>231.1</v>
      </c>
      <c r="L837">
        <v>1564000</v>
      </c>
      <c r="M837" t="b">
        <v>0</v>
      </c>
      <c r="N837" t="b">
        <v>0</v>
      </c>
      <c r="O837">
        <v>1000</v>
      </c>
      <c r="P837" t="b">
        <v>0</v>
      </c>
      <c r="Q837" t="b">
        <v>0</v>
      </c>
      <c r="R837" t="b">
        <v>0</v>
      </c>
      <c r="S837" t="s">
        <v>96</v>
      </c>
      <c r="T837" t="s">
        <v>102</v>
      </c>
    </row>
    <row r="838" spans="1:21" x14ac:dyDescent="0.3">
      <c r="A838" t="s">
        <v>943</v>
      </c>
      <c r="B838" s="1">
        <v>46044</v>
      </c>
      <c r="C838" s="1">
        <v>46044</v>
      </c>
      <c r="D838" s="1">
        <v>46046</v>
      </c>
      <c r="E838" s="1">
        <v>46046</v>
      </c>
      <c r="F838" t="s">
        <v>34</v>
      </c>
      <c r="G838" t="s">
        <v>57</v>
      </c>
      <c r="H838" t="s">
        <v>23</v>
      </c>
      <c r="I838" t="s">
        <v>42</v>
      </c>
      <c r="J838">
        <v>161.5</v>
      </c>
      <c r="K838">
        <v>12665.4</v>
      </c>
      <c r="L838">
        <v>7866000</v>
      </c>
      <c r="M838" t="b">
        <v>0</v>
      </c>
      <c r="N838" t="b">
        <v>0</v>
      </c>
      <c r="O838">
        <v>16000</v>
      </c>
      <c r="P838" t="b">
        <v>0</v>
      </c>
      <c r="Q838" t="b">
        <v>0</v>
      </c>
      <c r="R838" t="b">
        <v>0</v>
      </c>
      <c r="S838" t="s">
        <v>96</v>
      </c>
      <c r="T838" t="s">
        <v>104</v>
      </c>
    </row>
    <row r="839" spans="1:21" x14ac:dyDescent="0.3">
      <c r="A839" t="s">
        <v>944</v>
      </c>
      <c r="B839" s="1">
        <v>46178</v>
      </c>
      <c r="C839" s="1">
        <v>46179</v>
      </c>
      <c r="D839" s="1">
        <v>46181</v>
      </c>
      <c r="E839" s="1">
        <v>46182</v>
      </c>
      <c r="F839" t="s">
        <v>32</v>
      </c>
      <c r="G839" t="s">
        <v>61</v>
      </c>
      <c r="H839" t="s">
        <v>23</v>
      </c>
      <c r="I839" t="s">
        <v>45</v>
      </c>
      <c r="J839">
        <v>153.19999999999999</v>
      </c>
      <c r="K839">
        <v>845</v>
      </c>
      <c r="L839">
        <v>2032000</v>
      </c>
      <c r="M839" t="b">
        <v>0</v>
      </c>
      <c r="N839" t="b">
        <v>0</v>
      </c>
      <c r="O839">
        <v>1000</v>
      </c>
      <c r="P839" t="b">
        <v>0</v>
      </c>
      <c r="Q839" t="b">
        <v>0</v>
      </c>
      <c r="R839" t="b">
        <v>0</v>
      </c>
      <c r="S839" t="s">
        <v>101</v>
      </c>
      <c r="T839" t="s">
        <v>99</v>
      </c>
      <c r="U839">
        <v>1</v>
      </c>
    </row>
    <row r="840" spans="1:21" x14ac:dyDescent="0.3">
      <c r="A840" t="s">
        <v>945</v>
      </c>
      <c r="B840" s="1">
        <v>46128</v>
      </c>
      <c r="C840" s="1">
        <v>46129</v>
      </c>
      <c r="D840" s="1">
        <v>46133</v>
      </c>
      <c r="E840" s="1">
        <v>46133</v>
      </c>
      <c r="F840" t="s">
        <v>34</v>
      </c>
      <c r="G840" t="s">
        <v>62</v>
      </c>
      <c r="H840" t="s">
        <v>23</v>
      </c>
      <c r="I840" t="s">
        <v>45</v>
      </c>
      <c r="J840">
        <v>845</v>
      </c>
      <c r="K840">
        <v>228.5</v>
      </c>
      <c r="L840">
        <v>8556000</v>
      </c>
      <c r="M840" t="b">
        <v>0</v>
      </c>
      <c r="N840" t="b">
        <v>0</v>
      </c>
      <c r="O840">
        <v>1000</v>
      </c>
      <c r="P840" t="b">
        <v>0</v>
      </c>
      <c r="Q840" t="b">
        <v>0</v>
      </c>
      <c r="R840" t="b">
        <v>0</v>
      </c>
      <c r="S840" t="s">
        <v>96</v>
      </c>
      <c r="T840" t="s">
        <v>112</v>
      </c>
    </row>
    <row r="841" spans="1:21" x14ac:dyDescent="0.3">
      <c r="A841" t="s">
        <v>946</v>
      </c>
      <c r="B841" s="1">
        <v>46184</v>
      </c>
      <c r="C841" s="1">
        <v>46185</v>
      </c>
      <c r="D841" s="1">
        <v>46186</v>
      </c>
      <c r="E841" s="1">
        <v>46186</v>
      </c>
      <c r="F841" t="s">
        <v>34</v>
      </c>
      <c r="G841" t="s">
        <v>61</v>
      </c>
      <c r="H841" t="s">
        <v>22</v>
      </c>
      <c r="I841" t="s">
        <v>43</v>
      </c>
      <c r="J841">
        <v>33.6</v>
      </c>
      <c r="K841">
        <v>3873</v>
      </c>
      <c r="L841">
        <v>2583000</v>
      </c>
      <c r="M841" t="b">
        <v>0</v>
      </c>
      <c r="N841" t="b">
        <v>0</v>
      </c>
      <c r="O841">
        <v>5000</v>
      </c>
      <c r="P841" t="b">
        <v>0</v>
      </c>
      <c r="Q841" t="b">
        <v>0</v>
      </c>
      <c r="R841" t="b">
        <v>0</v>
      </c>
      <c r="S841" t="s">
        <v>96</v>
      </c>
      <c r="T841" t="s">
        <v>99</v>
      </c>
    </row>
    <row r="842" spans="1:21" x14ac:dyDescent="0.3">
      <c r="A842" t="s">
        <v>947</v>
      </c>
      <c r="B842" s="1">
        <v>46045</v>
      </c>
      <c r="C842" s="1">
        <v>46046</v>
      </c>
      <c r="D842" s="1">
        <v>46047</v>
      </c>
      <c r="E842" s="1">
        <v>46049</v>
      </c>
      <c r="F842" t="s">
        <v>34</v>
      </c>
      <c r="G842" t="s">
        <v>55</v>
      </c>
      <c r="H842" t="s">
        <v>22</v>
      </c>
      <c r="I842" t="s">
        <v>43</v>
      </c>
      <c r="J842">
        <v>46.7</v>
      </c>
      <c r="K842">
        <v>4374.8</v>
      </c>
      <c r="L842">
        <v>3289000</v>
      </c>
      <c r="M842" t="b">
        <v>0</v>
      </c>
      <c r="N842" t="b">
        <v>0</v>
      </c>
      <c r="O842">
        <v>5000</v>
      </c>
      <c r="P842" t="b">
        <v>0</v>
      </c>
      <c r="Q842" t="b">
        <v>0</v>
      </c>
      <c r="R842" t="b">
        <v>0</v>
      </c>
      <c r="S842" t="s">
        <v>101</v>
      </c>
      <c r="T842" t="s">
        <v>104</v>
      </c>
      <c r="U842">
        <v>2</v>
      </c>
    </row>
    <row r="843" spans="1:21" x14ac:dyDescent="0.3">
      <c r="A843" t="s">
        <v>948</v>
      </c>
      <c r="B843" s="1">
        <v>46144</v>
      </c>
      <c r="C843" s="1">
        <v>46144</v>
      </c>
      <c r="D843" s="1">
        <v>46147</v>
      </c>
      <c r="E843" s="1">
        <v>46147</v>
      </c>
      <c r="F843" t="s">
        <v>32</v>
      </c>
      <c r="G843" t="s">
        <v>62</v>
      </c>
      <c r="H843" t="s">
        <v>24</v>
      </c>
      <c r="I843" t="s">
        <v>42</v>
      </c>
      <c r="J843">
        <v>557.70000000000005</v>
      </c>
      <c r="K843">
        <v>12809.2</v>
      </c>
      <c r="L843">
        <v>14539000</v>
      </c>
      <c r="M843" t="b">
        <v>0</v>
      </c>
      <c r="N843" t="b">
        <v>0</v>
      </c>
      <c r="O843">
        <v>16000</v>
      </c>
      <c r="P843" t="b">
        <v>0</v>
      </c>
      <c r="Q843" t="b">
        <v>0</v>
      </c>
      <c r="R843" t="b">
        <v>0</v>
      </c>
      <c r="S843" t="s">
        <v>96</v>
      </c>
      <c r="T843" t="s">
        <v>102</v>
      </c>
    </row>
    <row r="844" spans="1:21" x14ac:dyDescent="0.3">
      <c r="A844" t="s">
        <v>949</v>
      </c>
      <c r="B844" s="1">
        <v>46123</v>
      </c>
      <c r="C844" s="1">
        <v>46124</v>
      </c>
      <c r="D844" s="1">
        <v>46126</v>
      </c>
      <c r="E844" s="1">
        <v>46126</v>
      </c>
      <c r="F844" t="s">
        <v>34</v>
      </c>
      <c r="G844" t="s">
        <v>58</v>
      </c>
      <c r="H844" t="s">
        <v>20</v>
      </c>
      <c r="I844" t="s">
        <v>43</v>
      </c>
      <c r="J844">
        <v>133.69999999999999</v>
      </c>
      <c r="K844">
        <v>2481.5</v>
      </c>
      <c r="L844">
        <v>3549000</v>
      </c>
      <c r="M844" t="b">
        <v>0</v>
      </c>
      <c r="N844" t="b">
        <v>0</v>
      </c>
      <c r="O844">
        <v>5000</v>
      </c>
      <c r="P844" t="b">
        <v>0</v>
      </c>
      <c r="Q844" t="b">
        <v>0</v>
      </c>
      <c r="R844" t="b">
        <v>0</v>
      </c>
      <c r="S844" t="s">
        <v>96</v>
      </c>
      <c r="T844" t="s">
        <v>112</v>
      </c>
    </row>
    <row r="845" spans="1:21" x14ac:dyDescent="0.3">
      <c r="A845" t="s">
        <v>950</v>
      </c>
      <c r="B845" s="1">
        <v>46203</v>
      </c>
      <c r="C845" s="1">
        <v>46204</v>
      </c>
      <c r="D845" s="1">
        <v>46209</v>
      </c>
      <c r="E845" s="1">
        <v>46209</v>
      </c>
      <c r="F845" t="s">
        <v>33</v>
      </c>
      <c r="G845" t="s">
        <v>58</v>
      </c>
      <c r="H845" t="s">
        <v>20</v>
      </c>
      <c r="I845" t="s">
        <v>42</v>
      </c>
      <c r="J845">
        <v>643.20000000000005</v>
      </c>
      <c r="K845">
        <v>8767.4</v>
      </c>
      <c r="L845">
        <v>15165000</v>
      </c>
      <c r="M845" t="b">
        <v>0</v>
      </c>
      <c r="N845" t="b">
        <v>0</v>
      </c>
      <c r="O845">
        <v>16000</v>
      </c>
      <c r="P845" t="b">
        <v>0</v>
      </c>
      <c r="Q845" t="b">
        <v>0</v>
      </c>
      <c r="R845" t="b">
        <v>0</v>
      </c>
      <c r="S845" t="s">
        <v>96</v>
      </c>
      <c r="T845" t="s">
        <v>97</v>
      </c>
    </row>
    <row r="846" spans="1:21" x14ac:dyDescent="0.3">
      <c r="A846" t="s">
        <v>951</v>
      </c>
      <c r="B846" s="1">
        <v>46147</v>
      </c>
      <c r="C846" s="1">
        <v>46148</v>
      </c>
      <c r="D846" s="1">
        <v>46152</v>
      </c>
      <c r="E846" s="1">
        <v>46152</v>
      </c>
      <c r="F846" t="s">
        <v>33</v>
      </c>
      <c r="G846" t="s">
        <v>58</v>
      </c>
      <c r="H846" t="s">
        <v>20</v>
      </c>
      <c r="I846" t="s">
        <v>43</v>
      </c>
      <c r="J846">
        <v>714</v>
      </c>
      <c r="K846">
        <v>1737.4</v>
      </c>
      <c r="L846">
        <v>9842000</v>
      </c>
      <c r="M846" t="b">
        <v>0</v>
      </c>
      <c r="N846" t="b">
        <v>0</v>
      </c>
      <c r="O846">
        <v>5000</v>
      </c>
      <c r="P846" t="b">
        <v>0</v>
      </c>
      <c r="Q846" t="b">
        <v>0</v>
      </c>
      <c r="R846" t="b">
        <v>0</v>
      </c>
      <c r="S846" t="s">
        <v>96</v>
      </c>
      <c r="T846" t="s">
        <v>102</v>
      </c>
    </row>
    <row r="847" spans="1:21" x14ac:dyDescent="0.3">
      <c r="A847" t="s">
        <v>952</v>
      </c>
      <c r="B847" s="1">
        <v>46129</v>
      </c>
      <c r="C847" s="1">
        <v>46128</v>
      </c>
      <c r="D847" s="1">
        <v>46134</v>
      </c>
      <c r="E847" s="1">
        <v>46136</v>
      </c>
      <c r="F847" t="s">
        <v>31</v>
      </c>
      <c r="G847" t="s">
        <v>60</v>
      </c>
      <c r="H847" t="s">
        <v>24</v>
      </c>
      <c r="I847" t="s">
        <v>44</v>
      </c>
      <c r="J847">
        <v>603.79999999999995</v>
      </c>
      <c r="K847">
        <v>162.6</v>
      </c>
      <c r="L847">
        <v>6082000</v>
      </c>
      <c r="M847" t="b">
        <v>1</v>
      </c>
      <c r="N847" t="b">
        <v>0</v>
      </c>
      <c r="O847">
        <v>1500</v>
      </c>
      <c r="P847" t="b">
        <v>0</v>
      </c>
      <c r="Q847" t="b">
        <v>0</v>
      </c>
      <c r="R847" t="b">
        <v>1</v>
      </c>
      <c r="S847" t="s">
        <v>260</v>
      </c>
      <c r="T847" t="s">
        <v>112</v>
      </c>
    </row>
    <row r="848" spans="1:21" x14ac:dyDescent="0.3">
      <c r="A848" t="s">
        <v>953</v>
      </c>
      <c r="B848" s="1">
        <v>46054</v>
      </c>
      <c r="C848" s="1">
        <v>46055</v>
      </c>
      <c r="D848" s="1">
        <v>46058</v>
      </c>
      <c r="E848" s="1">
        <v>46058</v>
      </c>
      <c r="F848" t="s">
        <v>34</v>
      </c>
      <c r="G848" t="s">
        <v>53</v>
      </c>
      <c r="H848" t="s">
        <v>20</v>
      </c>
      <c r="I848" t="s">
        <v>42</v>
      </c>
      <c r="J848">
        <v>308.5</v>
      </c>
      <c r="K848">
        <v>5019</v>
      </c>
      <c r="L848">
        <v>6920000</v>
      </c>
      <c r="M848" t="b">
        <v>0</v>
      </c>
      <c r="N848" t="b">
        <v>0</v>
      </c>
      <c r="O848">
        <v>16000</v>
      </c>
      <c r="P848" t="b">
        <v>0</v>
      </c>
      <c r="Q848" t="b">
        <v>0</v>
      </c>
      <c r="R848" t="b">
        <v>0</v>
      </c>
      <c r="S848" t="s">
        <v>96</v>
      </c>
      <c r="T848" t="s">
        <v>115</v>
      </c>
    </row>
    <row r="849" spans="1:21" x14ac:dyDescent="0.3">
      <c r="A849" t="s">
        <v>954</v>
      </c>
      <c r="B849" s="1">
        <v>46084</v>
      </c>
      <c r="C849" s="1">
        <v>46085</v>
      </c>
      <c r="D849" s="1">
        <v>46088</v>
      </c>
      <c r="E849" s="1">
        <v>46089</v>
      </c>
      <c r="F849" t="s">
        <v>34</v>
      </c>
      <c r="G849" t="s">
        <v>53</v>
      </c>
      <c r="H849" t="s">
        <v>23</v>
      </c>
      <c r="I849" t="s">
        <v>42</v>
      </c>
      <c r="J849">
        <v>324.60000000000002</v>
      </c>
      <c r="K849">
        <v>14955.4</v>
      </c>
      <c r="L849">
        <v>10696000</v>
      </c>
      <c r="M849" t="b">
        <v>0</v>
      </c>
      <c r="N849" t="b">
        <v>0</v>
      </c>
      <c r="O849">
        <v>16000</v>
      </c>
      <c r="P849" t="b">
        <v>0</v>
      </c>
      <c r="Q849" t="b">
        <v>0</v>
      </c>
      <c r="R849" t="b">
        <v>0</v>
      </c>
      <c r="S849" t="s">
        <v>101</v>
      </c>
      <c r="T849" t="s">
        <v>118</v>
      </c>
      <c r="U849">
        <v>1</v>
      </c>
    </row>
    <row r="850" spans="1:21" x14ac:dyDescent="0.3">
      <c r="A850" t="s">
        <v>955</v>
      </c>
      <c r="B850" s="1">
        <v>46097</v>
      </c>
      <c r="C850" s="1">
        <v>46098</v>
      </c>
      <c r="D850" s="1">
        <v>46100</v>
      </c>
      <c r="E850" s="1">
        <v>46099</v>
      </c>
      <c r="F850" t="s">
        <v>31</v>
      </c>
      <c r="G850" t="s">
        <v>63</v>
      </c>
      <c r="H850" t="s">
        <v>22</v>
      </c>
      <c r="I850" t="s">
        <v>42</v>
      </c>
      <c r="J850">
        <v>274.39999999999998</v>
      </c>
      <c r="K850">
        <v>14721.4</v>
      </c>
      <c r="L850">
        <v>10251000</v>
      </c>
      <c r="M850" t="b">
        <v>0</v>
      </c>
      <c r="N850" t="b">
        <v>0</v>
      </c>
      <c r="O850">
        <v>16000</v>
      </c>
      <c r="P850" t="b">
        <v>0</v>
      </c>
      <c r="Q850" t="b">
        <v>0</v>
      </c>
      <c r="R850" t="b">
        <v>0</v>
      </c>
      <c r="S850" t="s">
        <v>96</v>
      </c>
      <c r="T850" t="s">
        <v>118</v>
      </c>
    </row>
    <row r="851" spans="1:21" x14ac:dyDescent="0.3">
      <c r="A851" t="s">
        <v>956</v>
      </c>
      <c r="B851" s="1">
        <v>46050</v>
      </c>
      <c r="C851" s="1">
        <v>46051</v>
      </c>
      <c r="D851" s="1">
        <v>46055</v>
      </c>
      <c r="E851" s="1">
        <v>46057</v>
      </c>
      <c r="F851" t="s">
        <v>33</v>
      </c>
      <c r="G851" t="s">
        <v>54</v>
      </c>
      <c r="H851" t="s">
        <v>24</v>
      </c>
      <c r="I851" t="s">
        <v>44</v>
      </c>
      <c r="J851">
        <v>886.2</v>
      </c>
      <c r="K851">
        <v>1392.9</v>
      </c>
      <c r="L851">
        <v>9575000</v>
      </c>
      <c r="M851" t="b">
        <v>0</v>
      </c>
      <c r="N851" t="b">
        <v>0</v>
      </c>
      <c r="O851">
        <v>1500</v>
      </c>
      <c r="P851" t="b">
        <v>0</v>
      </c>
      <c r="Q851" t="b">
        <v>0</v>
      </c>
      <c r="R851" t="b">
        <v>0</v>
      </c>
      <c r="S851" t="s">
        <v>101</v>
      </c>
      <c r="T851" t="s">
        <v>104</v>
      </c>
      <c r="U851">
        <v>2</v>
      </c>
    </row>
    <row r="852" spans="1:21" x14ac:dyDescent="0.3">
      <c r="A852" t="s">
        <v>957</v>
      </c>
      <c r="B852" s="1">
        <v>46194</v>
      </c>
      <c r="C852" s="1">
        <v>46195</v>
      </c>
      <c r="D852" s="1">
        <v>46196</v>
      </c>
      <c r="E852" s="1">
        <v>46196</v>
      </c>
      <c r="F852" t="s">
        <v>34</v>
      </c>
      <c r="G852" t="s">
        <v>61</v>
      </c>
      <c r="H852" t="s">
        <v>23</v>
      </c>
      <c r="I852" t="s">
        <v>43</v>
      </c>
      <c r="J852">
        <v>22.3</v>
      </c>
      <c r="K852">
        <v>2678.4</v>
      </c>
      <c r="L852">
        <v>1923000</v>
      </c>
      <c r="M852" t="b">
        <v>0</v>
      </c>
      <c r="N852" t="b">
        <v>0</v>
      </c>
      <c r="O852">
        <v>5000</v>
      </c>
      <c r="P852" t="b">
        <v>0</v>
      </c>
      <c r="Q852" t="b">
        <v>0</v>
      </c>
      <c r="R852" t="b">
        <v>0</v>
      </c>
      <c r="S852" t="s">
        <v>96</v>
      </c>
      <c r="T852" t="s">
        <v>99</v>
      </c>
    </row>
    <row r="853" spans="1:21" x14ac:dyDescent="0.3">
      <c r="A853" t="s">
        <v>958</v>
      </c>
      <c r="B853" s="1">
        <v>46073</v>
      </c>
      <c r="C853" s="1">
        <v>46073</v>
      </c>
      <c r="D853" s="1">
        <v>46075</v>
      </c>
      <c r="E853" s="1">
        <v>46075</v>
      </c>
      <c r="F853" t="s">
        <v>34</v>
      </c>
      <c r="G853" t="s">
        <v>55</v>
      </c>
      <c r="H853" t="s">
        <v>21</v>
      </c>
      <c r="I853" t="s">
        <v>45</v>
      </c>
      <c r="J853">
        <v>52.6</v>
      </c>
      <c r="K853">
        <v>803.3</v>
      </c>
      <c r="L853">
        <v>1343000</v>
      </c>
      <c r="M853" t="b">
        <v>0</v>
      </c>
      <c r="N853" t="b">
        <v>0</v>
      </c>
      <c r="O853">
        <v>1000</v>
      </c>
      <c r="P853" t="b">
        <v>0</v>
      </c>
      <c r="Q853" t="b">
        <v>0</v>
      </c>
      <c r="R853" t="b">
        <v>0</v>
      </c>
      <c r="S853" t="s">
        <v>96</v>
      </c>
      <c r="T853" t="s">
        <v>115</v>
      </c>
    </row>
    <row r="854" spans="1:21" x14ac:dyDescent="0.3">
      <c r="A854" t="s">
        <v>959</v>
      </c>
      <c r="B854" s="1">
        <v>46079</v>
      </c>
      <c r="C854" s="1">
        <v>46080</v>
      </c>
      <c r="D854" s="1">
        <v>46082</v>
      </c>
      <c r="E854" s="1">
        <v>46082</v>
      </c>
      <c r="F854" t="s">
        <v>34</v>
      </c>
      <c r="G854" t="s">
        <v>52</v>
      </c>
      <c r="H854" t="s">
        <v>21</v>
      </c>
      <c r="I854" t="s">
        <v>45</v>
      </c>
      <c r="J854">
        <v>296.5</v>
      </c>
      <c r="K854">
        <v>874.3</v>
      </c>
      <c r="L854">
        <v>3124000</v>
      </c>
      <c r="M854" t="b">
        <v>0</v>
      </c>
      <c r="N854" t="b">
        <v>0</v>
      </c>
      <c r="O854">
        <v>1000</v>
      </c>
      <c r="P854" t="b">
        <v>0</v>
      </c>
      <c r="Q854" t="b">
        <v>0</v>
      </c>
      <c r="R854" t="b">
        <v>0</v>
      </c>
      <c r="S854" t="s">
        <v>96</v>
      </c>
      <c r="T854" t="s">
        <v>115</v>
      </c>
    </row>
    <row r="855" spans="1:21" x14ac:dyDescent="0.3">
      <c r="A855" t="s">
        <v>960</v>
      </c>
      <c r="B855" s="1">
        <v>46157</v>
      </c>
      <c r="C855" s="1">
        <v>46157</v>
      </c>
      <c r="D855" s="1">
        <v>46158</v>
      </c>
      <c r="E855" s="1">
        <v>46158</v>
      </c>
      <c r="F855" t="s">
        <v>32</v>
      </c>
      <c r="G855" t="s">
        <v>57</v>
      </c>
      <c r="H855" t="s">
        <v>20</v>
      </c>
      <c r="I855" t="s">
        <v>43</v>
      </c>
      <c r="J855">
        <v>13.5</v>
      </c>
      <c r="K855">
        <v>3828.1</v>
      </c>
      <c r="L855">
        <v>2589000</v>
      </c>
      <c r="M855" t="b">
        <v>0</v>
      </c>
      <c r="N855" t="b">
        <v>0</v>
      </c>
      <c r="O855">
        <v>5000</v>
      </c>
      <c r="P855" t="b">
        <v>0</v>
      </c>
      <c r="Q855" t="b">
        <v>0</v>
      </c>
      <c r="R855" t="b">
        <v>0</v>
      </c>
      <c r="S855" t="s">
        <v>96</v>
      </c>
      <c r="T855" t="s">
        <v>102</v>
      </c>
    </row>
    <row r="856" spans="1:21" x14ac:dyDescent="0.3">
      <c r="A856" t="s">
        <v>961</v>
      </c>
      <c r="B856" s="1">
        <v>46114</v>
      </c>
      <c r="C856" s="1">
        <v>46115</v>
      </c>
      <c r="D856" s="1">
        <v>46117</v>
      </c>
      <c r="E856" s="1">
        <v>46117</v>
      </c>
      <c r="F856" t="s">
        <v>34</v>
      </c>
      <c r="G856" t="s">
        <v>57</v>
      </c>
      <c r="H856" t="s">
        <v>20</v>
      </c>
      <c r="I856" t="s">
        <v>42</v>
      </c>
      <c r="J856">
        <v>169.2</v>
      </c>
      <c r="K856">
        <v>3688.2</v>
      </c>
      <c r="L856">
        <v>4789000</v>
      </c>
      <c r="M856" t="b">
        <v>0</v>
      </c>
      <c r="N856" t="b">
        <v>0</v>
      </c>
      <c r="O856">
        <v>16000</v>
      </c>
      <c r="P856" t="b">
        <v>0</v>
      </c>
      <c r="Q856" t="b">
        <v>0</v>
      </c>
      <c r="R856" t="b">
        <v>0</v>
      </c>
      <c r="S856" t="s">
        <v>96</v>
      </c>
      <c r="T856" t="s">
        <v>112</v>
      </c>
    </row>
    <row r="857" spans="1:21" x14ac:dyDescent="0.3">
      <c r="A857" t="s">
        <v>962</v>
      </c>
      <c r="B857" s="1">
        <v>46038</v>
      </c>
      <c r="C857" s="1">
        <v>46040</v>
      </c>
      <c r="D857" s="1">
        <v>46044</v>
      </c>
      <c r="E857" s="1">
        <v>46043</v>
      </c>
      <c r="F857" t="s">
        <v>34</v>
      </c>
      <c r="G857" t="s">
        <v>56</v>
      </c>
      <c r="H857" t="s">
        <v>21</v>
      </c>
      <c r="I857" t="s">
        <v>42</v>
      </c>
      <c r="J857">
        <v>908</v>
      </c>
      <c r="K857">
        <v>9164.9</v>
      </c>
      <c r="L857">
        <v>20090000</v>
      </c>
      <c r="M857" t="b">
        <v>0</v>
      </c>
      <c r="N857" t="b">
        <v>0</v>
      </c>
      <c r="O857">
        <v>16000</v>
      </c>
      <c r="P857" t="b">
        <v>0</v>
      </c>
      <c r="Q857" t="b">
        <v>0</v>
      </c>
      <c r="R857" t="b">
        <v>0</v>
      </c>
      <c r="S857" t="s">
        <v>96</v>
      </c>
      <c r="T857" t="s">
        <v>104</v>
      </c>
    </row>
    <row r="858" spans="1:21" x14ac:dyDescent="0.3">
      <c r="A858" t="s">
        <v>963</v>
      </c>
      <c r="B858" s="1">
        <v>46145</v>
      </c>
      <c r="C858" s="1">
        <v>46146</v>
      </c>
      <c r="D858" s="1">
        <v>46148</v>
      </c>
      <c r="E858" s="1">
        <v>46148</v>
      </c>
      <c r="F858" t="s">
        <v>31</v>
      </c>
      <c r="G858" t="s">
        <v>57</v>
      </c>
      <c r="H858" t="s">
        <v>24</v>
      </c>
      <c r="I858" t="s">
        <v>43</v>
      </c>
      <c r="J858">
        <v>128.9</v>
      </c>
      <c r="K858">
        <v>3907.1</v>
      </c>
      <c r="L858">
        <v>3582000</v>
      </c>
      <c r="M858" t="b">
        <v>0</v>
      </c>
      <c r="N858" t="b">
        <v>0</v>
      </c>
      <c r="O858">
        <v>5000</v>
      </c>
      <c r="P858" t="b">
        <v>0</v>
      </c>
      <c r="Q858" t="b">
        <v>0</v>
      </c>
      <c r="R858" t="b">
        <v>0</v>
      </c>
      <c r="S858" t="s">
        <v>96</v>
      </c>
      <c r="T858" t="s">
        <v>102</v>
      </c>
    </row>
    <row r="859" spans="1:21" x14ac:dyDescent="0.3">
      <c r="A859" t="s">
        <v>964</v>
      </c>
      <c r="B859" s="1">
        <v>46199</v>
      </c>
      <c r="C859" s="1">
        <v>46200</v>
      </c>
      <c r="D859" s="1">
        <v>46205</v>
      </c>
      <c r="E859" s="1">
        <v>46206</v>
      </c>
      <c r="F859" t="s">
        <v>33</v>
      </c>
      <c r="G859" t="s">
        <v>56</v>
      </c>
      <c r="H859" t="s">
        <v>23</v>
      </c>
      <c r="I859" t="s">
        <v>44</v>
      </c>
      <c r="J859">
        <v>1599.1</v>
      </c>
      <c r="K859">
        <v>655.6</v>
      </c>
      <c r="L859">
        <v>15775000</v>
      </c>
      <c r="M859" t="b">
        <v>0</v>
      </c>
      <c r="N859" t="b">
        <v>0</v>
      </c>
      <c r="O859">
        <v>1500</v>
      </c>
      <c r="P859" t="b">
        <v>0</v>
      </c>
      <c r="Q859" t="b">
        <v>0</v>
      </c>
      <c r="R859" t="b">
        <v>0</v>
      </c>
      <c r="S859" t="s">
        <v>101</v>
      </c>
      <c r="T859" t="s">
        <v>99</v>
      </c>
      <c r="U859">
        <v>1</v>
      </c>
    </row>
    <row r="860" spans="1:21" x14ac:dyDescent="0.3">
      <c r="A860" t="s">
        <v>965</v>
      </c>
      <c r="B860" s="1">
        <v>46052</v>
      </c>
      <c r="C860" s="1">
        <v>46053</v>
      </c>
      <c r="D860" s="1">
        <v>46056</v>
      </c>
      <c r="E860" s="1">
        <v>46058</v>
      </c>
      <c r="F860" t="s">
        <v>34</v>
      </c>
      <c r="G860" t="s">
        <v>59</v>
      </c>
      <c r="H860" t="s">
        <v>22</v>
      </c>
      <c r="I860" t="s">
        <v>45</v>
      </c>
      <c r="J860">
        <v>320.10000000000002</v>
      </c>
      <c r="K860">
        <v>221.1</v>
      </c>
      <c r="L860">
        <v>3342000</v>
      </c>
      <c r="M860" t="b">
        <v>0</v>
      </c>
      <c r="N860" t="b">
        <v>0</v>
      </c>
      <c r="O860">
        <v>1000</v>
      </c>
      <c r="P860" t="b">
        <v>0</v>
      </c>
      <c r="Q860" t="b">
        <v>0</v>
      </c>
      <c r="R860" t="b">
        <v>0</v>
      </c>
      <c r="S860" t="s">
        <v>101</v>
      </c>
      <c r="T860" t="s">
        <v>104</v>
      </c>
      <c r="U860">
        <v>2</v>
      </c>
    </row>
    <row r="861" spans="1:21" x14ac:dyDescent="0.3">
      <c r="A861" t="s">
        <v>966</v>
      </c>
      <c r="B861" s="1">
        <v>46109</v>
      </c>
      <c r="C861" s="1">
        <v>46110</v>
      </c>
      <c r="D861" s="1">
        <v>46112</v>
      </c>
      <c r="E861" s="1">
        <v>46112</v>
      </c>
      <c r="F861" t="s">
        <v>31</v>
      </c>
      <c r="G861" t="s">
        <v>57</v>
      </c>
      <c r="H861" t="s">
        <v>22</v>
      </c>
      <c r="I861" t="s">
        <v>43</v>
      </c>
      <c r="J861">
        <v>139</v>
      </c>
      <c r="K861">
        <v>3321.8</v>
      </c>
      <c r="L861">
        <v>2770000</v>
      </c>
      <c r="M861" t="b">
        <v>0</v>
      </c>
      <c r="N861" t="b">
        <v>0</v>
      </c>
      <c r="O861">
        <v>5000</v>
      </c>
      <c r="P861" t="b">
        <v>0</v>
      </c>
      <c r="Q861" t="b">
        <v>0</v>
      </c>
      <c r="R861" t="b">
        <v>0</v>
      </c>
      <c r="S861" t="s">
        <v>96</v>
      </c>
      <c r="T861" t="s">
        <v>118</v>
      </c>
    </row>
    <row r="862" spans="1:21" x14ac:dyDescent="0.3">
      <c r="A862" t="s">
        <v>967</v>
      </c>
      <c r="B862" s="1">
        <v>46169</v>
      </c>
      <c r="C862" s="1">
        <v>46171</v>
      </c>
      <c r="D862" s="1">
        <v>46175</v>
      </c>
      <c r="E862" s="1">
        <v>46175</v>
      </c>
      <c r="F862" t="s">
        <v>31</v>
      </c>
      <c r="G862" t="s">
        <v>62</v>
      </c>
      <c r="H862" t="s">
        <v>20</v>
      </c>
      <c r="I862" t="s">
        <v>44</v>
      </c>
      <c r="J862">
        <v>692.5</v>
      </c>
      <c r="K862">
        <v>1076.5999999999999</v>
      </c>
      <c r="L862">
        <v>7636000</v>
      </c>
      <c r="M862" t="b">
        <v>0</v>
      </c>
      <c r="N862" t="b">
        <v>0</v>
      </c>
      <c r="O862">
        <v>1500</v>
      </c>
      <c r="P862" t="b">
        <v>0</v>
      </c>
      <c r="Q862" t="b">
        <v>0</v>
      </c>
      <c r="R862" t="b">
        <v>0</v>
      </c>
      <c r="S862" t="s">
        <v>96</v>
      </c>
      <c r="T862" t="s">
        <v>102</v>
      </c>
    </row>
    <row r="863" spans="1:21" x14ac:dyDescent="0.3">
      <c r="A863" t="s">
        <v>968</v>
      </c>
      <c r="B863" s="1">
        <v>46186</v>
      </c>
      <c r="C863" s="1">
        <v>46187</v>
      </c>
      <c r="D863" s="1">
        <v>46190</v>
      </c>
      <c r="E863" s="1">
        <v>46190</v>
      </c>
      <c r="F863" t="s">
        <v>33</v>
      </c>
      <c r="G863" t="s">
        <v>53</v>
      </c>
      <c r="H863" t="s">
        <v>20</v>
      </c>
      <c r="I863" t="s">
        <v>42</v>
      </c>
      <c r="J863">
        <v>534.29999999999995</v>
      </c>
      <c r="K863">
        <v>5317.3</v>
      </c>
      <c r="L863">
        <v>11756000</v>
      </c>
      <c r="M863" t="b">
        <v>0</v>
      </c>
      <c r="N863" t="b">
        <v>0</v>
      </c>
      <c r="O863">
        <v>16000</v>
      </c>
      <c r="P863" t="b">
        <v>0</v>
      </c>
      <c r="Q863" t="b">
        <v>0</v>
      </c>
      <c r="R863" t="b">
        <v>0</v>
      </c>
      <c r="S863" t="s">
        <v>96</v>
      </c>
      <c r="T863" t="s">
        <v>99</v>
      </c>
    </row>
    <row r="864" spans="1:21" x14ac:dyDescent="0.3">
      <c r="A864" t="s">
        <v>969</v>
      </c>
      <c r="B864" s="1">
        <v>46121</v>
      </c>
      <c r="C864" s="1">
        <v>46122</v>
      </c>
      <c r="D864" s="1">
        <v>46124</v>
      </c>
      <c r="E864" s="1">
        <v>46126</v>
      </c>
      <c r="F864" t="s">
        <v>34</v>
      </c>
      <c r="G864" t="s">
        <v>52</v>
      </c>
      <c r="H864" t="s">
        <v>20</v>
      </c>
      <c r="I864" t="s">
        <v>45</v>
      </c>
      <c r="J864">
        <v>282.60000000000002</v>
      </c>
      <c r="K864">
        <v>751.2</v>
      </c>
      <c r="L864">
        <v>3086000</v>
      </c>
      <c r="M864" t="b">
        <v>0</v>
      </c>
      <c r="N864" t="b">
        <v>0</v>
      </c>
      <c r="O864">
        <v>1000</v>
      </c>
      <c r="P864" t="b">
        <v>0</v>
      </c>
      <c r="Q864" t="b">
        <v>0</v>
      </c>
      <c r="R864" t="b">
        <v>0</v>
      </c>
      <c r="S864" t="s">
        <v>101</v>
      </c>
      <c r="T864" t="s">
        <v>112</v>
      </c>
      <c r="U864">
        <v>2</v>
      </c>
    </row>
    <row r="865" spans="1:21" x14ac:dyDescent="0.3">
      <c r="A865" t="s">
        <v>970</v>
      </c>
      <c r="B865" s="1">
        <v>46179</v>
      </c>
      <c r="C865" s="1">
        <v>46179</v>
      </c>
      <c r="D865" s="1">
        <v>46181</v>
      </c>
      <c r="E865" s="1">
        <v>46181</v>
      </c>
      <c r="F865" t="s">
        <v>31</v>
      </c>
      <c r="G865" t="s">
        <v>57</v>
      </c>
      <c r="H865" t="s">
        <v>107</v>
      </c>
      <c r="I865" t="s">
        <v>42</v>
      </c>
      <c r="J865">
        <v>126.7</v>
      </c>
      <c r="K865">
        <v>14376.8</v>
      </c>
      <c r="L865">
        <v>7135000</v>
      </c>
      <c r="M865" t="b">
        <v>0</v>
      </c>
      <c r="N865" t="b">
        <v>0</v>
      </c>
      <c r="O865">
        <v>16000</v>
      </c>
      <c r="P865" t="b">
        <v>0</v>
      </c>
      <c r="Q865" t="b">
        <v>0</v>
      </c>
      <c r="R865" t="b">
        <v>0</v>
      </c>
      <c r="S865" t="s">
        <v>96</v>
      </c>
      <c r="T865" t="s">
        <v>99</v>
      </c>
    </row>
    <row r="866" spans="1:21" x14ac:dyDescent="0.3">
      <c r="A866" t="s">
        <v>971</v>
      </c>
      <c r="B866" s="1">
        <v>46041</v>
      </c>
      <c r="C866" s="1">
        <v>46042</v>
      </c>
      <c r="D866" s="1">
        <v>46045</v>
      </c>
      <c r="E866" s="1">
        <v>46046</v>
      </c>
      <c r="F866" t="s">
        <v>31</v>
      </c>
      <c r="G866" t="s">
        <v>53</v>
      </c>
      <c r="H866" t="s">
        <v>22</v>
      </c>
      <c r="I866" t="s">
        <v>44</v>
      </c>
      <c r="J866">
        <v>335.6</v>
      </c>
      <c r="K866">
        <v>680</v>
      </c>
      <c r="L866">
        <v>4035000</v>
      </c>
      <c r="M866" t="b">
        <v>0</v>
      </c>
      <c r="N866" t="b">
        <v>0</v>
      </c>
      <c r="O866">
        <v>1500</v>
      </c>
      <c r="P866" t="b">
        <v>0</v>
      </c>
      <c r="Q866" t="b">
        <v>0</v>
      </c>
      <c r="R866" t="b">
        <v>0</v>
      </c>
      <c r="S866" t="s">
        <v>101</v>
      </c>
      <c r="T866" t="s">
        <v>104</v>
      </c>
      <c r="U866">
        <v>1</v>
      </c>
    </row>
    <row r="867" spans="1:21" x14ac:dyDescent="0.3">
      <c r="A867" t="s">
        <v>972</v>
      </c>
      <c r="B867" s="1">
        <v>46165</v>
      </c>
      <c r="C867" s="1">
        <v>46166</v>
      </c>
      <c r="D867" s="1">
        <v>46170</v>
      </c>
      <c r="E867" s="1">
        <v>46170</v>
      </c>
      <c r="F867" t="s">
        <v>32</v>
      </c>
      <c r="G867" t="s">
        <v>62</v>
      </c>
      <c r="H867" t="s">
        <v>23</v>
      </c>
      <c r="I867" t="s">
        <v>43</v>
      </c>
      <c r="J867">
        <v>632.70000000000005</v>
      </c>
      <c r="K867">
        <v>3928</v>
      </c>
      <c r="L867">
        <v>9963000</v>
      </c>
      <c r="M867" t="b">
        <v>0</v>
      </c>
      <c r="N867" t="b">
        <v>0</v>
      </c>
      <c r="O867">
        <v>5000</v>
      </c>
      <c r="P867" t="b">
        <v>0</v>
      </c>
      <c r="Q867" t="b">
        <v>0</v>
      </c>
      <c r="R867" t="b">
        <v>0</v>
      </c>
      <c r="S867" t="s">
        <v>96</v>
      </c>
      <c r="T867" t="s">
        <v>102</v>
      </c>
    </row>
    <row r="868" spans="1:21" x14ac:dyDescent="0.3">
      <c r="A868" t="s">
        <v>973</v>
      </c>
      <c r="B868" s="1">
        <v>46144</v>
      </c>
      <c r="C868" s="1">
        <v>46145</v>
      </c>
      <c r="D868" s="1">
        <v>46148</v>
      </c>
      <c r="E868" s="1">
        <v>46149</v>
      </c>
      <c r="F868" t="s">
        <v>34</v>
      </c>
      <c r="G868" t="s">
        <v>63</v>
      </c>
      <c r="H868" t="s">
        <v>23</v>
      </c>
      <c r="I868" t="s">
        <v>43</v>
      </c>
      <c r="J868">
        <v>322.2</v>
      </c>
      <c r="K868">
        <v>4351.2</v>
      </c>
      <c r="L868">
        <v>5724000</v>
      </c>
      <c r="M868" t="b">
        <v>0</v>
      </c>
      <c r="N868" t="b">
        <v>0</v>
      </c>
      <c r="O868">
        <v>5000</v>
      </c>
      <c r="P868" t="b">
        <v>0</v>
      </c>
      <c r="Q868" t="b">
        <v>0</v>
      </c>
      <c r="R868" t="b">
        <v>0</v>
      </c>
      <c r="S868" t="s">
        <v>101</v>
      </c>
      <c r="T868" t="s">
        <v>102</v>
      </c>
      <c r="U868">
        <v>1</v>
      </c>
    </row>
    <row r="869" spans="1:21" x14ac:dyDescent="0.3">
      <c r="A869" t="s">
        <v>974</v>
      </c>
      <c r="B869" s="1">
        <v>46171</v>
      </c>
      <c r="C869" s="1">
        <v>46173</v>
      </c>
      <c r="D869" s="1">
        <v>46177</v>
      </c>
      <c r="E869" s="1">
        <v>46179</v>
      </c>
      <c r="F869" t="s">
        <v>31</v>
      </c>
      <c r="G869" t="s">
        <v>62</v>
      </c>
      <c r="H869" t="s">
        <v>22</v>
      </c>
      <c r="I869" t="s">
        <v>45</v>
      </c>
      <c r="J869">
        <v>627.79999999999995</v>
      </c>
      <c r="K869">
        <v>765.6</v>
      </c>
      <c r="L869">
        <v>5829000</v>
      </c>
      <c r="M869" t="b">
        <v>0</v>
      </c>
      <c r="N869" t="b">
        <v>0</v>
      </c>
      <c r="O869">
        <v>1000</v>
      </c>
      <c r="P869" t="b">
        <v>0</v>
      </c>
      <c r="Q869" t="b">
        <v>0</v>
      </c>
      <c r="R869" t="b">
        <v>0</v>
      </c>
      <c r="S869" t="s">
        <v>101</v>
      </c>
      <c r="T869" t="s">
        <v>102</v>
      </c>
      <c r="U869">
        <v>2</v>
      </c>
    </row>
    <row r="870" spans="1:21" x14ac:dyDescent="0.3">
      <c r="A870" t="s">
        <v>975</v>
      </c>
      <c r="B870" s="1">
        <v>46163</v>
      </c>
      <c r="C870" s="1">
        <v>46164</v>
      </c>
      <c r="D870" s="1">
        <v>46166</v>
      </c>
      <c r="E870" s="1">
        <v>46168</v>
      </c>
      <c r="F870" t="s">
        <v>34</v>
      </c>
      <c r="G870" t="s">
        <v>58</v>
      </c>
      <c r="H870" t="s">
        <v>22</v>
      </c>
      <c r="I870" t="s">
        <v>43</v>
      </c>
      <c r="J870">
        <v>149.5</v>
      </c>
      <c r="K870">
        <v>1555.9</v>
      </c>
      <c r="L870">
        <v>3373000</v>
      </c>
      <c r="M870" t="b">
        <v>0</v>
      </c>
      <c r="N870" t="b">
        <v>0</v>
      </c>
      <c r="O870">
        <v>5000</v>
      </c>
      <c r="P870" t="b">
        <v>0</v>
      </c>
      <c r="Q870" t="b">
        <v>0</v>
      </c>
      <c r="R870" t="b">
        <v>0</v>
      </c>
      <c r="S870" t="s">
        <v>101</v>
      </c>
      <c r="T870" t="s">
        <v>102</v>
      </c>
      <c r="U870">
        <v>2</v>
      </c>
    </row>
    <row r="871" spans="1:21" x14ac:dyDescent="0.3">
      <c r="A871" t="s">
        <v>976</v>
      </c>
      <c r="B871" s="1">
        <v>46183</v>
      </c>
      <c r="C871" s="1">
        <v>46183</v>
      </c>
      <c r="D871" s="1">
        <v>46186</v>
      </c>
      <c r="E871" s="1">
        <v>46186</v>
      </c>
      <c r="F871" t="s">
        <v>34</v>
      </c>
      <c r="G871" t="s">
        <v>63</v>
      </c>
      <c r="H871" t="s">
        <v>22</v>
      </c>
      <c r="I871" t="s">
        <v>43</v>
      </c>
      <c r="J871">
        <v>315.7</v>
      </c>
      <c r="K871">
        <v>4067</v>
      </c>
      <c r="L871">
        <v>6095000</v>
      </c>
      <c r="M871" t="b">
        <v>0</v>
      </c>
      <c r="N871" t="b">
        <v>0</v>
      </c>
      <c r="O871">
        <v>5000</v>
      </c>
      <c r="P871" t="b">
        <v>0</v>
      </c>
      <c r="Q871" t="b">
        <v>0</v>
      </c>
      <c r="R871" t="b">
        <v>0</v>
      </c>
      <c r="S871" t="s">
        <v>96</v>
      </c>
      <c r="T871" t="s">
        <v>99</v>
      </c>
    </row>
    <row r="872" spans="1:21" x14ac:dyDescent="0.3">
      <c r="A872" t="s">
        <v>977</v>
      </c>
      <c r="B872" s="1">
        <v>46198</v>
      </c>
      <c r="C872" s="1">
        <v>46200</v>
      </c>
      <c r="D872" s="1">
        <v>46203</v>
      </c>
      <c r="E872" s="1">
        <v>46204</v>
      </c>
      <c r="F872" t="s">
        <v>33</v>
      </c>
      <c r="G872" t="s">
        <v>52</v>
      </c>
      <c r="H872" t="s">
        <v>20</v>
      </c>
      <c r="I872" t="s">
        <v>42</v>
      </c>
      <c r="J872">
        <v>585.1</v>
      </c>
      <c r="K872">
        <v>11128.6</v>
      </c>
      <c r="L872">
        <v>16716000</v>
      </c>
      <c r="M872" t="b">
        <v>0</v>
      </c>
      <c r="N872" t="b">
        <v>0</v>
      </c>
      <c r="O872">
        <v>16000</v>
      </c>
      <c r="P872" t="b">
        <v>0</v>
      </c>
      <c r="Q872" t="b">
        <v>0</v>
      </c>
      <c r="R872" t="b">
        <v>0</v>
      </c>
      <c r="S872" t="s">
        <v>101</v>
      </c>
      <c r="T872" t="s">
        <v>99</v>
      </c>
      <c r="U872">
        <v>1</v>
      </c>
    </row>
    <row r="873" spans="1:21" x14ac:dyDescent="0.3">
      <c r="A873" t="s">
        <v>978</v>
      </c>
      <c r="B873" s="1">
        <v>46134</v>
      </c>
      <c r="C873" s="1">
        <v>46135</v>
      </c>
      <c r="D873" s="1">
        <v>46138</v>
      </c>
      <c r="E873" s="1">
        <v>46138</v>
      </c>
      <c r="F873" t="s">
        <v>32</v>
      </c>
      <c r="G873" t="s">
        <v>58</v>
      </c>
      <c r="H873" t="s">
        <v>23</v>
      </c>
      <c r="I873" t="s">
        <v>43</v>
      </c>
      <c r="J873">
        <v>288.7</v>
      </c>
      <c r="K873">
        <v>1049.9000000000001</v>
      </c>
      <c r="L873">
        <v>4889000</v>
      </c>
      <c r="M873" t="b">
        <v>0</v>
      </c>
      <c r="N873" t="b">
        <v>0</v>
      </c>
      <c r="O873">
        <v>5000</v>
      </c>
      <c r="P873" t="b">
        <v>0</v>
      </c>
      <c r="Q873" t="b">
        <v>0</v>
      </c>
      <c r="R873" t="b">
        <v>0</v>
      </c>
      <c r="S873" t="s">
        <v>96</v>
      </c>
      <c r="T873" t="s">
        <v>112</v>
      </c>
    </row>
    <row r="874" spans="1:21" x14ac:dyDescent="0.3">
      <c r="A874" t="s">
        <v>979</v>
      </c>
      <c r="B874" s="1">
        <v>46129</v>
      </c>
      <c r="C874" s="1">
        <v>46130</v>
      </c>
      <c r="D874" s="1">
        <v>46132</v>
      </c>
      <c r="E874" s="1">
        <v>46133</v>
      </c>
      <c r="F874" t="s">
        <v>34</v>
      </c>
      <c r="G874" t="s">
        <v>52</v>
      </c>
      <c r="H874" t="s">
        <v>23</v>
      </c>
      <c r="I874" t="s">
        <v>44</v>
      </c>
      <c r="J874">
        <v>283.3</v>
      </c>
      <c r="K874">
        <v>195.8</v>
      </c>
      <c r="L874">
        <v>2787000</v>
      </c>
      <c r="M874" t="b">
        <v>0</v>
      </c>
      <c r="N874" t="b">
        <v>0</v>
      </c>
      <c r="O874">
        <v>1500</v>
      </c>
      <c r="P874" t="b">
        <v>0</v>
      </c>
      <c r="Q874" t="b">
        <v>0</v>
      </c>
      <c r="R874" t="b">
        <v>0</v>
      </c>
      <c r="S874" t="s">
        <v>101</v>
      </c>
      <c r="T874" t="s">
        <v>112</v>
      </c>
      <c r="U874">
        <v>1</v>
      </c>
    </row>
    <row r="875" spans="1:21" x14ac:dyDescent="0.3">
      <c r="A875" t="s">
        <v>980</v>
      </c>
      <c r="B875" s="1">
        <v>46114</v>
      </c>
      <c r="C875" s="1">
        <v>46115</v>
      </c>
      <c r="D875" s="1">
        <v>46116</v>
      </c>
      <c r="E875" s="1">
        <v>46117</v>
      </c>
      <c r="F875" t="s">
        <v>31</v>
      </c>
      <c r="G875" t="s">
        <v>55</v>
      </c>
      <c r="H875" t="s">
        <v>21</v>
      </c>
      <c r="I875" t="s">
        <v>45</v>
      </c>
      <c r="J875">
        <v>27.4</v>
      </c>
      <c r="K875">
        <v>460.4</v>
      </c>
      <c r="L875">
        <v>949000</v>
      </c>
      <c r="M875" t="b">
        <v>0</v>
      </c>
      <c r="N875" t="b">
        <v>0</v>
      </c>
      <c r="O875">
        <v>1000</v>
      </c>
      <c r="P875" t="b">
        <v>0</v>
      </c>
      <c r="Q875" t="b">
        <v>0</v>
      </c>
      <c r="R875" t="b">
        <v>0</v>
      </c>
      <c r="S875" t="s">
        <v>101</v>
      </c>
      <c r="T875" t="s">
        <v>112</v>
      </c>
      <c r="U875">
        <v>1</v>
      </c>
    </row>
    <row r="876" spans="1:21" x14ac:dyDescent="0.3">
      <c r="A876" t="s">
        <v>981</v>
      </c>
      <c r="B876" s="1">
        <v>46054</v>
      </c>
      <c r="C876" s="1">
        <v>46055</v>
      </c>
      <c r="D876" s="1">
        <v>46056</v>
      </c>
      <c r="E876" s="1">
        <v>46056</v>
      </c>
      <c r="F876" t="s">
        <v>31</v>
      </c>
      <c r="G876" t="s">
        <v>55</v>
      </c>
      <c r="H876" t="s">
        <v>107</v>
      </c>
      <c r="I876" t="s">
        <v>42</v>
      </c>
      <c r="J876">
        <v>32.4</v>
      </c>
      <c r="K876">
        <v>7980.2</v>
      </c>
      <c r="L876">
        <v>3530000</v>
      </c>
      <c r="M876" t="b">
        <v>0</v>
      </c>
      <c r="N876" t="b">
        <v>0</v>
      </c>
      <c r="O876">
        <v>16000</v>
      </c>
      <c r="P876" t="b">
        <v>0</v>
      </c>
      <c r="Q876" t="b">
        <v>0</v>
      </c>
      <c r="R876" t="b">
        <v>0</v>
      </c>
      <c r="S876" t="s">
        <v>96</v>
      </c>
      <c r="T876" t="s">
        <v>115</v>
      </c>
    </row>
    <row r="877" spans="1:21" x14ac:dyDescent="0.3">
      <c r="A877" t="s">
        <v>982</v>
      </c>
      <c r="B877" s="1">
        <v>46124</v>
      </c>
      <c r="C877" s="1">
        <v>46125</v>
      </c>
      <c r="D877" s="1">
        <v>46128</v>
      </c>
      <c r="E877" s="1">
        <v>46128</v>
      </c>
      <c r="F877" t="s">
        <v>34</v>
      </c>
      <c r="G877" t="s">
        <v>52</v>
      </c>
      <c r="H877" t="s">
        <v>21</v>
      </c>
      <c r="I877" t="s">
        <v>43</v>
      </c>
      <c r="J877">
        <v>273.89999999999998</v>
      </c>
      <c r="K877">
        <v>2778.2</v>
      </c>
      <c r="L877">
        <v>6001000</v>
      </c>
      <c r="M877" t="b">
        <v>0</v>
      </c>
      <c r="N877" t="b">
        <v>0</v>
      </c>
      <c r="O877">
        <v>5000</v>
      </c>
      <c r="P877" t="b">
        <v>0</v>
      </c>
      <c r="Q877" t="b">
        <v>0</v>
      </c>
      <c r="R877" t="b">
        <v>0</v>
      </c>
      <c r="S877" t="s">
        <v>96</v>
      </c>
      <c r="T877" t="s">
        <v>112</v>
      </c>
    </row>
    <row r="878" spans="1:21" x14ac:dyDescent="0.3">
      <c r="A878" t="s">
        <v>983</v>
      </c>
      <c r="B878" s="1">
        <v>46193</v>
      </c>
      <c r="C878" s="1">
        <v>46193</v>
      </c>
      <c r="D878" s="1">
        <v>46196</v>
      </c>
      <c r="E878" s="1">
        <v>46196</v>
      </c>
      <c r="F878" t="s">
        <v>32</v>
      </c>
      <c r="G878" t="s">
        <v>58</v>
      </c>
      <c r="H878" t="s">
        <v>23</v>
      </c>
      <c r="I878" t="s">
        <v>45</v>
      </c>
      <c r="J878">
        <v>306</v>
      </c>
      <c r="K878">
        <v>690.6</v>
      </c>
      <c r="L878">
        <v>3302000</v>
      </c>
      <c r="M878" t="b">
        <v>0</v>
      </c>
      <c r="N878" t="b">
        <v>0</v>
      </c>
      <c r="O878">
        <v>1000</v>
      </c>
      <c r="P878" t="b">
        <v>0</v>
      </c>
      <c r="Q878" t="b">
        <v>0</v>
      </c>
      <c r="R878" t="b">
        <v>0</v>
      </c>
      <c r="S878" t="s">
        <v>96</v>
      </c>
      <c r="T878" t="s">
        <v>99</v>
      </c>
    </row>
    <row r="879" spans="1:21" x14ac:dyDescent="0.3">
      <c r="A879" t="s">
        <v>984</v>
      </c>
      <c r="B879" s="1">
        <v>46140</v>
      </c>
      <c r="C879" s="1">
        <v>46140</v>
      </c>
      <c r="D879" s="1">
        <v>46143</v>
      </c>
      <c r="E879" s="1">
        <v>46143</v>
      </c>
      <c r="F879" t="s">
        <v>33</v>
      </c>
      <c r="G879" t="s">
        <v>57</v>
      </c>
      <c r="H879" t="s">
        <v>23</v>
      </c>
      <c r="I879" t="s">
        <v>43</v>
      </c>
      <c r="J879">
        <v>458.1</v>
      </c>
      <c r="K879">
        <v>4366.6000000000004</v>
      </c>
      <c r="L879">
        <v>8843000</v>
      </c>
      <c r="M879" t="b">
        <v>0</v>
      </c>
      <c r="N879" t="b">
        <v>0</v>
      </c>
      <c r="O879">
        <v>5000</v>
      </c>
      <c r="P879" t="b">
        <v>0</v>
      </c>
      <c r="Q879" t="b">
        <v>0</v>
      </c>
      <c r="R879" t="b">
        <v>0</v>
      </c>
      <c r="S879" t="s">
        <v>96</v>
      </c>
      <c r="T879" t="s">
        <v>112</v>
      </c>
    </row>
    <row r="880" spans="1:21" x14ac:dyDescent="0.3">
      <c r="A880" t="s">
        <v>985</v>
      </c>
      <c r="B880" s="1">
        <v>46192</v>
      </c>
      <c r="C880" s="1">
        <v>46193</v>
      </c>
      <c r="D880" s="1">
        <v>46196</v>
      </c>
      <c r="E880" s="1">
        <v>46196</v>
      </c>
      <c r="F880" t="s">
        <v>32</v>
      </c>
      <c r="G880" t="s">
        <v>58</v>
      </c>
      <c r="H880" t="s">
        <v>21</v>
      </c>
      <c r="I880" t="s">
        <v>43</v>
      </c>
      <c r="J880">
        <v>316.3</v>
      </c>
      <c r="K880">
        <v>2657.1</v>
      </c>
      <c r="L880">
        <v>5775000</v>
      </c>
      <c r="M880" t="b">
        <v>0</v>
      </c>
      <c r="N880" t="b">
        <v>0</v>
      </c>
      <c r="O880">
        <v>5000</v>
      </c>
      <c r="P880" t="b">
        <v>0</v>
      </c>
      <c r="Q880" t="b">
        <v>0</v>
      </c>
      <c r="R880" t="b">
        <v>0</v>
      </c>
      <c r="S880" t="s">
        <v>96</v>
      </c>
      <c r="T880" t="s">
        <v>99</v>
      </c>
    </row>
    <row r="881" spans="1:21" x14ac:dyDescent="0.3">
      <c r="A881" t="s">
        <v>986</v>
      </c>
      <c r="B881" s="1">
        <v>46027</v>
      </c>
      <c r="C881" s="1">
        <v>46028</v>
      </c>
      <c r="D881" s="1">
        <v>46030</v>
      </c>
      <c r="E881" s="1">
        <v>46032</v>
      </c>
      <c r="F881" t="s">
        <v>32</v>
      </c>
      <c r="G881" t="s">
        <v>55</v>
      </c>
      <c r="H881" t="s">
        <v>22</v>
      </c>
      <c r="I881" t="s">
        <v>44</v>
      </c>
      <c r="J881">
        <v>123.7</v>
      </c>
      <c r="K881">
        <v>1376.7</v>
      </c>
      <c r="L881">
        <v>2074000</v>
      </c>
      <c r="M881" t="b">
        <v>0</v>
      </c>
      <c r="N881" t="b">
        <v>0</v>
      </c>
      <c r="O881">
        <v>1500</v>
      </c>
      <c r="P881" t="b">
        <v>0</v>
      </c>
      <c r="Q881" t="b">
        <v>0</v>
      </c>
      <c r="R881" t="b">
        <v>0</v>
      </c>
      <c r="S881" t="s">
        <v>101</v>
      </c>
      <c r="T881" t="s">
        <v>104</v>
      </c>
      <c r="U881">
        <v>2</v>
      </c>
    </row>
    <row r="882" spans="1:21" x14ac:dyDescent="0.3">
      <c r="A882" t="s">
        <v>987</v>
      </c>
      <c r="B882" s="1">
        <v>46067</v>
      </c>
      <c r="C882" s="1">
        <v>46067</v>
      </c>
      <c r="D882" s="1">
        <v>46071</v>
      </c>
      <c r="E882" s="1">
        <v>46071</v>
      </c>
      <c r="F882" t="s">
        <v>34</v>
      </c>
      <c r="G882" t="s">
        <v>60</v>
      </c>
      <c r="H882" t="s">
        <v>21</v>
      </c>
      <c r="I882" t="s">
        <v>43</v>
      </c>
      <c r="J882">
        <v>606.4</v>
      </c>
      <c r="K882">
        <v>1742.4</v>
      </c>
      <c r="L882">
        <v>9374000</v>
      </c>
      <c r="M882" t="b">
        <v>0</v>
      </c>
      <c r="N882" t="b">
        <v>0</v>
      </c>
      <c r="O882">
        <v>5000</v>
      </c>
      <c r="P882" t="b">
        <v>0</v>
      </c>
      <c r="Q882" t="b">
        <v>0</v>
      </c>
      <c r="R882" t="b">
        <v>0</v>
      </c>
      <c r="S882" t="s">
        <v>96</v>
      </c>
      <c r="T882" t="s">
        <v>115</v>
      </c>
    </row>
    <row r="883" spans="1:21" x14ac:dyDescent="0.3">
      <c r="A883" t="s">
        <v>988</v>
      </c>
      <c r="B883" s="1">
        <v>46190</v>
      </c>
      <c r="C883" s="1">
        <v>46190</v>
      </c>
      <c r="D883" s="1">
        <v>46194</v>
      </c>
      <c r="E883" s="1">
        <v>46194</v>
      </c>
      <c r="F883" t="s">
        <v>33</v>
      </c>
      <c r="G883" t="s">
        <v>58</v>
      </c>
      <c r="H883" t="s">
        <v>21</v>
      </c>
      <c r="I883" t="s">
        <v>42</v>
      </c>
      <c r="J883">
        <v>646.29999999999995</v>
      </c>
      <c r="K883">
        <v>10630.7</v>
      </c>
      <c r="L883">
        <v>15211000</v>
      </c>
      <c r="M883" t="b">
        <v>0</v>
      </c>
      <c r="N883" t="b">
        <v>0</v>
      </c>
      <c r="O883">
        <v>16000</v>
      </c>
      <c r="P883" t="b">
        <v>0</v>
      </c>
      <c r="Q883" t="b">
        <v>0</v>
      </c>
      <c r="R883" t="b">
        <v>0</v>
      </c>
      <c r="S883" t="s">
        <v>96</v>
      </c>
      <c r="T883" t="s">
        <v>99</v>
      </c>
    </row>
    <row r="884" spans="1:21" x14ac:dyDescent="0.3">
      <c r="A884" t="s">
        <v>989</v>
      </c>
      <c r="B884" s="1">
        <v>46072</v>
      </c>
      <c r="C884" s="1">
        <v>46072</v>
      </c>
      <c r="D884" s="1">
        <v>46076</v>
      </c>
      <c r="E884" s="1">
        <v>46076</v>
      </c>
      <c r="F884" t="s">
        <v>34</v>
      </c>
      <c r="G884" t="s">
        <v>62</v>
      </c>
      <c r="H884" t="s">
        <v>24</v>
      </c>
      <c r="I884" t="s">
        <v>44</v>
      </c>
      <c r="J884">
        <v>752.2</v>
      </c>
      <c r="K884">
        <v>583.79999999999995</v>
      </c>
      <c r="L884">
        <v>6954000</v>
      </c>
      <c r="M884" t="b">
        <v>0</v>
      </c>
      <c r="N884" t="b">
        <v>0</v>
      </c>
      <c r="O884">
        <v>1500</v>
      </c>
      <c r="P884" t="b">
        <v>0</v>
      </c>
      <c r="Q884" t="b">
        <v>0</v>
      </c>
      <c r="R884" t="b">
        <v>0</v>
      </c>
      <c r="S884" t="s">
        <v>96</v>
      </c>
      <c r="T884" t="s">
        <v>115</v>
      </c>
    </row>
    <row r="885" spans="1:21" x14ac:dyDescent="0.3">
      <c r="A885" t="s">
        <v>990</v>
      </c>
      <c r="B885" s="1">
        <v>46192</v>
      </c>
      <c r="C885" s="1">
        <v>46193</v>
      </c>
      <c r="D885" s="1">
        <v>46195</v>
      </c>
      <c r="E885" s="1">
        <v>46195</v>
      </c>
      <c r="F885" t="s">
        <v>32</v>
      </c>
      <c r="G885" t="s">
        <v>55</v>
      </c>
      <c r="H885" t="s">
        <v>23</v>
      </c>
      <c r="I885" t="s">
        <v>42</v>
      </c>
      <c r="J885">
        <v>120.2</v>
      </c>
      <c r="K885">
        <v>4326.7</v>
      </c>
      <c r="L885">
        <v>3767000</v>
      </c>
      <c r="M885" t="b">
        <v>0</v>
      </c>
      <c r="N885" t="b">
        <v>0</v>
      </c>
      <c r="O885">
        <v>16000</v>
      </c>
      <c r="P885" t="b">
        <v>0</v>
      </c>
      <c r="Q885" t="b">
        <v>0</v>
      </c>
      <c r="R885" t="b">
        <v>0</v>
      </c>
      <c r="S885" t="s">
        <v>96</v>
      </c>
      <c r="T885" t="s">
        <v>99</v>
      </c>
    </row>
    <row r="886" spans="1:21" x14ac:dyDescent="0.3">
      <c r="A886" t="s">
        <v>991</v>
      </c>
      <c r="B886" s="1">
        <v>46035</v>
      </c>
      <c r="C886" s="1">
        <v>46035</v>
      </c>
      <c r="D886" s="1">
        <v>46037</v>
      </c>
      <c r="E886" s="1">
        <v>46039</v>
      </c>
      <c r="F886" t="s">
        <v>34</v>
      </c>
      <c r="G886" t="s">
        <v>58</v>
      </c>
      <c r="H886" t="s">
        <v>23</v>
      </c>
      <c r="I886" t="s">
        <v>44</v>
      </c>
      <c r="J886">
        <v>146.4</v>
      </c>
      <c r="K886">
        <v>295</v>
      </c>
      <c r="L886">
        <v>1798000</v>
      </c>
      <c r="M886" t="b">
        <v>0</v>
      </c>
      <c r="N886" t="b">
        <v>0</v>
      </c>
      <c r="O886">
        <v>1500</v>
      </c>
      <c r="P886" t="b">
        <v>0</v>
      </c>
      <c r="Q886" t="b">
        <v>0</v>
      </c>
      <c r="R886" t="b">
        <v>0</v>
      </c>
      <c r="S886" t="s">
        <v>101</v>
      </c>
      <c r="T886" t="s">
        <v>104</v>
      </c>
      <c r="U886">
        <v>2</v>
      </c>
    </row>
    <row r="887" spans="1:21" x14ac:dyDescent="0.3">
      <c r="A887" t="s">
        <v>992</v>
      </c>
      <c r="B887" s="1">
        <v>46039</v>
      </c>
      <c r="C887" s="1">
        <v>46040</v>
      </c>
      <c r="D887" s="1">
        <v>46044</v>
      </c>
      <c r="E887" s="1">
        <v>46045</v>
      </c>
      <c r="F887" t="s">
        <v>33</v>
      </c>
      <c r="G887" t="s">
        <v>55</v>
      </c>
      <c r="H887" t="s">
        <v>24</v>
      </c>
      <c r="I887" t="s">
        <v>44</v>
      </c>
      <c r="J887">
        <v>579.9</v>
      </c>
      <c r="K887">
        <v>1146.7</v>
      </c>
      <c r="L887">
        <v>6299000</v>
      </c>
      <c r="M887" t="b">
        <v>0</v>
      </c>
      <c r="N887" t="b">
        <v>0</v>
      </c>
      <c r="O887">
        <v>1500</v>
      </c>
      <c r="P887" t="b">
        <v>0</v>
      </c>
      <c r="Q887" t="b">
        <v>0</v>
      </c>
      <c r="R887" t="b">
        <v>0</v>
      </c>
      <c r="S887" t="s">
        <v>101</v>
      </c>
      <c r="T887" t="s">
        <v>104</v>
      </c>
      <c r="U887">
        <v>1</v>
      </c>
    </row>
    <row r="888" spans="1:21" x14ac:dyDescent="0.3">
      <c r="A888" t="s">
        <v>993</v>
      </c>
      <c r="B888" s="1">
        <v>46176</v>
      </c>
      <c r="C888" s="1">
        <v>46177</v>
      </c>
      <c r="D888" s="1">
        <v>46180</v>
      </c>
      <c r="E888" s="1">
        <v>46180</v>
      </c>
      <c r="F888" t="s">
        <v>31</v>
      </c>
      <c r="G888" t="s">
        <v>60</v>
      </c>
      <c r="H888" t="s">
        <v>24</v>
      </c>
      <c r="I888" t="s">
        <v>43</v>
      </c>
      <c r="J888">
        <v>545.79999999999995</v>
      </c>
      <c r="K888">
        <v>1482.1</v>
      </c>
      <c r="L888">
        <v>8487000</v>
      </c>
      <c r="M888" t="b">
        <v>0</v>
      </c>
      <c r="N888" t="b">
        <v>0</v>
      </c>
      <c r="O888">
        <v>5000</v>
      </c>
      <c r="P888" t="b">
        <v>0</v>
      </c>
      <c r="Q888" t="b">
        <v>0</v>
      </c>
      <c r="R888" t="b">
        <v>0</v>
      </c>
      <c r="S888" t="s">
        <v>96</v>
      </c>
      <c r="T888" t="s">
        <v>99</v>
      </c>
    </row>
    <row r="889" spans="1:21" x14ac:dyDescent="0.3">
      <c r="A889" t="s">
        <v>994</v>
      </c>
      <c r="B889" s="1">
        <v>46158</v>
      </c>
      <c r="C889" s="1">
        <v>46159</v>
      </c>
      <c r="D889" s="1">
        <v>46161</v>
      </c>
      <c r="E889" s="1">
        <v>46160</v>
      </c>
      <c r="F889" t="s">
        <v>31</v>
      </c>
      <c r="G889" t="s">
        <v>57</v>
      </c>
      <c r="H889" t="s">
        <v>23</v>
      </c>
      <c r="I889" t="s">
        <v>45</v>
      </c>
      <c r="J889">
        <v>132.80000000000001</v>
      </c>
      <c r="K889">
        <v>552.5</v>
      </c>
      <c r="L889">
        <v>1638000</v>
      </c>
      <c r="M889" t="b">
        <v>0</v>
      </c>
      <c r="N889" t="b">
        <v>0</v>
      </c>
      <c r="O889">
        <v>1000</v>
      </c>
      <c r="P889" t="b">
        <v>0</v>
      </c>
      <c r="Q889" t="b">
        <v>0</v>
      </c>
      <c r="R889" t="b">
        <v>0</v>
      </c>
      <c r="S889" t="s">
        <v>96</v>
      </c>
      <c r="T889" t="s">
        <v>102</v>
      </c>
    </row>
    <row r="890" spans="1:21" x14ac:dyDescent="0.3">
      <c r="A890" t="s">
        <v>995</v>
      </c>
      <c r="B890" s="1">
        <v>46179</v>
      </c>
      <c r="C890" s="1">
        <v>46180</v>
      </c>
      <c r="D890" s="1">
        <v>46183</v>
      </c>
      <c r="E890" s="1">
        <v>46183</v>
      </c>
      <c r="F890" t="s">
        <v>32</v>
      </c>
      <c r="G890" t="s">
        <v>54</v>
      </c>
      <c r="H890" t="s">
        <v>21</v>
      </c>
      <c r="I890" t="s">
        <v>43</v>
      </c>
      <c r="J890">
        <v>579.5</v>
      </c>
      <c r="K890">
        <v>2862.5</v>
      </c>
      <c r="L890">
        <v>8555000</v>
      </c>
      <c r="M890" t="b">
        <v>0</v>
      </c>
      <c r="N890" t="b">
        <v>0</v>
      </c>
      <c r="O890">
        <v>5000</v>
      </c>
      <c r="P890" t="b">
        <v>0</v>
      </c>
      <c r="Q890" t="b">
        <v>0</v>
      </c>
      <c r="R890" t="b">
        <v>0</v>
      </c>
      <c r="S890" t="s">
        <v>96</v>
      </c>
      <c r="T890" t="s">
        <v>99</v>
      </c>
    </row>
    <row r="891" spans="1:21" x14ac:dyDescent="0.3">
      <c r="A891" t="s">
        <v>996</v>
      </c>
      <c r="B891" s="1">
        <v>46164</v>
      </c>
      <c r="C891" s="1">
        <v>46166</v>
      </c>
      <c r="D891" s="1">
        <v>46170</v>
      </c>
      <c r="E891" s="1">
        <v>46170</v>
      </c>
      <c r="F891" t="s">
        <v>33</v>
      </c>
      <c r="G891" t="s">
        <v>58</v>
      </c>
      <c r="H891" t="s">
        <v>21</v>
      </c>
      <c r="I891" t="s">
        <v>45</v>
      </c>
      <c r="J891">
        <v>665.3</v>
      </c>
      <c r="K891">
        <v>279.5</v>
      </c>
      <c r="L891">
        <v>5463000</v>
      </c>
      <c r="M891" t="b">
        <v>0</v>
      </c>
      <c r="N891" t="b">
        <v>0</v>
      </c>
      <c r="O891">
        <v>1000</v>
      </c>
      <c r="P891" t="b">
        <v>0</v>
      </c>
      <c r="Q891" t="b">
        <v>0</v>
      </c>
      <c r="R891" t="b">
        <v>0</v>
      </c>
      <c r="S891" t="s">
        <v>96</v>
      </c>
      <c r="T891" t="s">
        <v>102</v>
      </c>
    </row>
    <row r="892" spans="1:21" x14ac:dyDescent="0.3">
      <c r="A892" t="s">
        <v>997</v>
      </c>
      <c r="B892" s="1">
        <v>46165</v>
      </c>
      <c r="C892" s="1">
        <v>46166</v>
      </c>
      <c r="D892" s="1">
        <v>46170</v>
      </c>
      <c r="E892" s="1">
        <v>46170</v>
      </c>
      <c r="F892" t="s">
        <v>33</v>
      </c>
      <c r="G892" t="s">
        <v>57</v>
      </c>
      <c r="H892" t="s">
        <v>23</v>
      </c>
      <c r="I892" t="s">
        <v>42</v>
      </c>
      <c r="J892">
        <v>502.3</v>
      </c>
      <c r="K892">
        <v>10977.4</v>
      </c>
      <c r="L892">
        <v>14430000</v>
      </c>
      <c r="M892" t="b">
        <v>0</v>
      </c>
      <c r="N892" t="b">
        <v>0</v>
      </c>
      <c r="O892">
        <v>16000</v>
      </c>
      <c r="P892" t="b">
        <v>0</v>
      </c>
      <c r="Q892" t="b">
        <v>0</v>
      </c>
      <c r="R892" t="b">
        <v>0</v>
      </c>
      <c r="S892" t="s">
        <v>96</v>
      </c>
      <c r="T892" t="s">
        <v>102</v>
      </c>
    </row>
    <row r="893" spans="1:21" x14ac:dyDescent="0.3">
      <c r="A893" t="s">
        <v>998</v>
      </c>
      <c r="B893" s="1">
        <v>46156</v>
      </c>
      <c r="C893" s="1">
        <v>46157</v>
      </c>
      <c r="D893" s="1">
        <v>46159</v>
      </c>
      <c r="E893" s="1">
        <v>46158</v>
      </c>
      <c r="F893" t="s">
        <v>31</v>
      </c>
      <c r="G893" t="s">
        <v>63</v>
      </c>
      <c r="H893" t="s">
        <v>20</v>
      </c>
      <c r="I893" t="s">
        <v>43</v>
      </c>
      <c r="J893">
        <v>279.8</v>
      </c>
      <c r="K893">
        <v>995.3</v>
      </c>
      <c r="L893">
        <v>4454000</v>
      </c>
      <c r="M893" t="b">
        <v>0</v>
      </c>
      <c r="N893" t="b">
        <v>0</v>
      </c>
      <c r="O893">
        <v>5000</v>
      </c>
      <c r="P893" t="b">
        <v>0</v>
      </c>
      <c r="Q893" t="b">
        <v>0</v>
      </c>
      <c r="R893" t="b">
        <v>0</v>
      </c>
      <c r="S893" t="s">
        <v>96</v>
      </c>
      <c r="T893" t="s">
        <v>102</v>
      </c>
    </row>
    <row r="894" spans="1:21" x14ac:dyDescent="0.3">
      <c r="A894" t="s">
        <v>999</v>
      </c>
      <c r="B894" s="1">
        <v>46050</v>
      </c>
      <c r="C894" s="1">
        <v>46051</v>
      </c>
      <c r="D894" s="1">
        <v>46055</v>
      </c>
      <c r="E894" s="1">
        <v>46055</v>
      </c>
      <c r="F894" t="s">
        <v>34</v>
      </c>
      <c r="G894" t="s">
        <v>56</v>
      </c>
      <c r="H894" t="s">
        <v>20</v>
      </c>
      <c r="I894" t="s">
        <v>43</v>
      </c>
      <c r="J894">
        <v>941.3</v>
      </c>
      <c r="K894">
        <v>1455.7</v>
      </c>
      <c r="L894">
        <v>13174000</v>
      </c>
      <c r="M894" t="b">
        <v>0</v>
      </c>
      <c r="N894" t="b">
        <v>0</v>
      </c>
      <c r="O894">
        <v>5000</v>
      </c>
      <c r="P894" t="b">
        <v>0</v>
      </c>
      <c r="Q894" t="b">
        <v>0</v>
      </c>
      <c r="R894" t="b">
        <v>0</v>
      </c>
      <c r="S894" t="s">
        <v>96</v>
      </c>
      <c r="T894" t="s">
        <v>104</v>
      </c>
    </row>
    <row r="895" spans="1:21" x14ac:dyDescent="0.3">
      <c r="A895" t="s">
        <v>1000</v>
      </c>
      <c r="B895" s="1">
        <v>46076</v>
      </c>
      <c r="C895" s="1">
        <v>46077</v>
      </c>
      <c r="D895" s="1">
        <v>46081</v>
      </c>
      <c r="E895" s="1">
        <v>46080</v>
      </c>
      <c r="F895" t="s">
        <v>31</v>
      </c>
      <c r="G895" t="s">
        <v>52</v>
      </c>
      <c r="H895" t="s">
        <v>23</v>
      </c>
      <c r="I895" t="s">
        <v>42</v>
      </c>
      <c r="J895">
        <v>305.7</v>
      </c>
      <c r="K895">
        <v>5652.1</v>
      </c>
      <c r="L895">
        <v>8816000</v>
      </c>
      <c r="M895" t="b">
        <v>0</v>
      </c>
      <c r="N895" t="b">
        <v>0</v>
      </c>
      <c r="O895">
        <v>16000</v>
      </c>
      <c r="P895" t="b">
        <v>0</v>
      </c>
      <c r="Q895" t="b">
        <v>0</v>
      </c>
      <c r="R895" t="b">
        <v>0</v>
      </c>
      <c r="S895" t="s">
        <v>96</v>
      </c>
      <c r="T895" t="s">
        <v>115</v>
      </c>
    </row>
    <row r="896" spans="1:21" x14ac:dyDescent="0.3">
      <c r="A896" t="s">
        <v>1001</v>
      </c>
      <c r="B896" s="1">
        <v>46104</v>
      </c>
      <c r="C896" s="1">
        <v>46105</v>
      </c>
      <c r="D896" s="1">
        <v>46108</v>
      </c>
      <c r="E896" s="1">
        <v>46109</v>
      </c>
      <c r="F896" t="s">
        <v>32</v>
      </c>
      <c r="G896" t="s">
        <v>62</v>
      </c>
      <c r="H896" t="s">
        <v>24</v>
      </c>
      <c r="I896" t="s">
        <v>43</v>
      </c>
      <c r="J896">
        <v>577.4</v>
      </c>
      <c r="K896">
        <v>1572.5</v>
      </c>
      <c r="L896">
        <v>9721000</v>
      </c>
      <c r="M896" t="b">
        <v>0</v>
      </c>
      <c r="N896" t="b">
        <v>0</v>
      </c>
      <c r="O896">
        <v>5000</v>
      </c>
      <c r="P896" t="b">
        <v>0</v>
      </c>
      <c r="Q896" t="b">
        <v>0</v>
      </c>
      <c r="R896" t="b">
        <v>0</v>
      </c>
      <c r="S896" t="s">
        <v>101</v>
      </c>
      <c r="T896" t="s">
        <v>118</v>
      </c>
      <c r="U896">
        <v>1</v>
      </c>
    </row>
    <row r="897" spans="1:21" x14ac:dyDescent="0.3">
      <c r="A897" t="s">
        <v>1002</v>
      </c>
      <c r="B897" s="1">
        <v>46196</v>
      </c>
      <c r="C897" s="1">
        <v>46197</v>
      </c>
      <c r="D897" s="1">
        <v>46200</v>
      </c>
      <c r="E897" s="1">
        <v>46200</v>
      </c>
      <c r="F897" t="s">
        <v>32</v>
      </c>
      <c r="G897" t="s">
        <v>60</v>
      </c>
      <c r="H897" t="s">
        <v>23</v>
      </c>
      <c r="I897" t="s">
        <v>43</v>
      </c>
      <c r="J897">
        <v>460.1</v>
      </c>
      <c r="K897">
        <v>1308.4000000000001</v>
      </c>
      <c r="L897">
        <v>7062000</v>
      </c>
      <c r="M897" t="b">
        <v>0</v>
      </c>
      <c r="N897" t="b">
        <v>0</v>
      </c>
      <c r="O897">
        <v>5000</v>
      </c>
      <c r="P897" t="b">
        <v>0</v>
      </c>
      <c r="Q897" t="b">
        <v>0</v>
      </c>
      <c r="R897" t="b">
        <v>0</v>
      </c>
      <c r="S897" t="s">
        <v>96</v>
      </c>
      <c r="T897" t="s">
        <v>99</v>
      </c>
    </row>
    <row r="898" spans="1:21" x14ac:dyDescent="0.3">
      <c r="A898" t="s">
        <v>1003</v>
      </c>
      <c r="B898" s="1">
        <v>46182</v>
      </c>
      <c r="C898" s="1">
        <v>46183</v>
      </c>
      <c r="D898" s="1">
        <v>46186</v>
      </c>
      <c r="E898" s="1">
        <v>46188</v>
      </c>
      <c r="F898" t="s">
        <v>33</v>
      </c>
      <c r="G898" t="s">
        <v>57</v>
      </c>
      <c r="H898" t="s">
        <v>22</v>
      </c>
      <c r="I898" t="s">
        <v>42</v>
      </c>
      <c r="J898">
        <v>463.9</v>
      </c>
      <c r="K898">
        <v>3243</v>
      </c>
      <c r="L898">
        <v>9872000</v>
      </c>
      <c r="M898" t="b">
        <v>0</v>
      </c>
      <c r="N898" t="b">
        <v>0</v>
      </c>
      <c r="O898">
        <v>16000</v>
      </c>
      <c r="P898" t="b">
        <v>0</v>
      </c>
      <c r="Q898" t="b">
        <v>0</v>
      </c>
      <c r="R898" t="b">
        <v>0</v>
      </c>
      <c r="S898" t="s">
        <v>101</v>
      </c>
      <c r="T898" t="s">
        <v>99</v>
      </c>
      <c r="U898">
        <v>2</v>
      </c>
    </row>
    <row r="899" spans="1:21" x14ac:dyDescent="0.3">
      <c r="A899" t="s">
        <v>1004</v>
      </c>
      <c r="B899" s="1">
        <v>46162</v>
      </c>
      <c r="C899" s="1">
        <v>46163</v>
      </c>
      <c r="D899" s="1">
        <v>46164</v>
      </c>
      <c r="E899" s="1">
        <v>46164</v>
      </c>
      <c r="F899" t="s">
        <v>34</v>
      </c>
      <c r="G899" t="s">
        <v>55</v>
      </c>
      <c r="H899" t="s">
        <v>21</v>
      </c>
      <c r="I899" t="s">
        <v>42</v>
      </c>
      <c r="J899">
        <v>57.8</v>
      </c>
      <c r="K899">
        <v>6291.2</v>
      </c>
      <c r="L899">
        <v>3076000</v>
      </c>
      <c r="M899" t="b">
        <v>0</v>
      </c>
      <c r="N899" t="b">
        <v>0</v>
      </c>
      <c r="O899">
        <v>16000</v>
      </c>
      <c r="P899" t="b">
        <v>0</v>
      </c>
      <c r="Q899" t="b">
        <v>0</v>
      </c>
      <c r="R899" t="b">
        <v>0</v>
      </c>
      <c r="S899" t="s">
        <v>96</v>
      </c>
      <c r="T899" t="s">
        <v>102</v>
      </c>
    </row>
    <row r="900" spans="1:21" x14ac:dyDescent="0.3">
      <c r="A900" t="s">
        <v>1005</v>
      </c>
      <c r="B900" s="1">
        <v>46196</v>
      </c>
      <c r="C900" s="1">
        <v>46197</v>
      </c>
      <c r="D900" s="1">
        <v>46196</v>
      </c>
      <c r="E900" s="1">
        <v>46201</v>
      </c>
      <c r="F900" t="s">
        <v>32</v>
      </c>
      <c r="G900" t="s">
        <v>61</v>
      </c>
      <c r="H900" t="s">
        <v>20</v>
      </c>
      <c r="I900" t="s">
        <v>43</v>
      </c>
      <c r="J900">
        <v>153.69999999999999</v>
      </c>
      <c r="K900">
        <v>3109.2</v>
      </c>
      <c r="L900">
        <v>3290000</v>
      </c>
      <c r="M900" t="b">
        <v>1</v>
      </c>
      <c r="N900" t="b">
        <v>0</v>
      </c>
      <c r="O900">
        <v>5000</v>
      </c>
      <c r="P900" t="b">
        <v>0</v>
      </c>
      <c r="Q900" t="b">
        <v>0</v>
      </c>
      <c r="R900" t="b">
        <v>1</v>
      </c>
      <c r="S900" t="s">
        <v>260</v>
      </c>
      <c r="T900" t="s">
        <v>99</v>
      </c>
    </row>
    <row r="901" spans="1:21" x14ac:dyDescent="0.3">
      <c r="A901" t="s">
        <v>1006</v>
      </c>
      <c r="B901" s="1">
        <v>46125</v>
      </c>
      <c r="C901" s="1">
        <v>46126</v>
      </c>
      <c r="D901" s="1">
        <v>46130</v>
      </c>
      <c r="E901" s="1">
        <v>46130</v>
      </c>
      <c r="F901" t="s">
        <v>33</v>
      </c>
      <c r="G901" t="s">
        <v>58</v>
      </c>
      <c r="H901" t="s">
        <v>22</v>
      </c>
      <c r="I901" t="s">
        <v>45</v>
      </c>
      <c r="J901">
        <v>681.5</v>
      </c>
      <c r="K901">
        <v>126.4</v>
      </c>
      <c r="L901">
        <v>6907000</v>
      </c>
      <c r="M901" t="b">
        <v>0</v>
      </c>
      <c r="N901" t="b">
        <v>0</v>
      </c>
      <c r="O901">
        <v>1000</v>
      </c>
      <c r="P901" t="b">
        <v>0</v>
      </c>
      <c r="Q901" t="b">
        <v>0</v>
      </c>
      <c r="R901" t="b">
        <v>0</v>
      </c>
      <c r="S901" t="s">
        <v>96</v>
      </c>
      <c r="T901" t="s">
        <v>112</v>
      </c>
    </row>
    <row r="902" spans="1:21" x14ac:dyDescent="0.3">
      <c r="A902" t="s">
        <v>1007</v>
      </c>
      <c r="B902" s="1">
        <v>46027</v>
      </c>
      <c r="C902" s="1">
        <v>46028</v>
      </c>
      <c r="D902" s="1">
        <v>46032</v>
      </c>
      <c r="E902" s="1">
        <v>46032</v>
      </c>
      <c r="F902" t="s">
        <v>34</v>
      </c>
      <c r="G902" t="s">
        <v>54</v>
      </c>
      <c r="H902" t="s">
        <v>22</v>
      </c>
      <c r="I902" t="s">
        <v>43</v>
      </c>
      <c r="J902">
        <v>442.5</v>
      </c>
      <c r="K902">
        <v>1147.7</v>
      </c>
      <c r="L902">
        <v>6408000</v>
      </c>
      <c r="M902" t="b">
        <v>0</v>
      </c>
      <c r="N902" t="b">
        <v>0</v>
      </c>
      <c r="O902">
        <v>5000</v>
      </c>
      <c r="P902" t="b">
        <v>0</v>
      </c>
      <c r="Q902" t="b">
        <v>0</v>
      </c>
      <c r="R902" t="b">
        <v>0</v>
      </c>
      <c r="S902" t="s">
        <v>96</v>
      </c>
      <c r="T902" t="s">
        <v>104</v>
      </c>
    </row>
    <row r="903" spans="1:21" x14ac:dyDescent="0.3">
      <c r="A903" t="s">
        <v>1008</v>
      </c>
      <c r="B903" s="1">
        <v>46131</v>
      </c>
      <c r="C903" s="1">
        <v>46131</v>
      </c>
      <c r="D903" s="1">
        <v>46134</v>
      </c>
      <c r="E903" s="1">
        <v>46134</v>
      </c>
      <c r="F903" t="s">
        <v>33</v>
      </c>
      <c r="G903" t="s">
        <v>53</v>
      </c>
      <c r="H903" t="s">
        <v>22</v>
      </c>
      <c r="I903" t="s">
        <v>42</v>
      </c>
      <c r="J903">
        <v>492.2</v>
      </c>
      <c r="K903">
        <v>6694.5</v>
      </c>
      <c r="L903">
        <v>11455000</v>
      </c>
      <c r="M903" t="b">
        <v>0</v>
      </c>
      <c r="N903" t="b">
        <v>0</v>
      </c>
      <c r="O903">
        <v>16000</v>
      </c>
      <c r="P903" t="b">
        <v>0</v>
      </c>
      <c r="Q903" t="b">
        <v>0</v>
      </c>
      <c r="R903" t="b">
        <v>0</v>
      </c>
      <c r="S903" t="s">
        <v>96</v>
      </c>
      <c r="T903" t="s">
        <v>112</v>
      </c>
    </row>
    <row r="904" spans="1:21" x14ac:dyDescent="0.3">
      <c r="A904" t="s">
        <v>1009</v>
      </c>
      <c r="B904" s="1">
        <v>46033</v>
      </c>
      <c r="C904" s="1">
        <v>46034</v>
      </c>
      <c r="D904" s="1">
        <v>46037</v>
      </c>
      <c r="E904" s="1">
        <v>46038</v>
      </c>
      <c r="F904" t="s">
        <v>32</v>
      </c>
      <c r="G904" t="s">
        <v>52</v>
      </c>
      <c r="H904" t="s">
        <v>21</v>
      </c>
      <c r="I904" t="s">
        <v>42</v>
      </c>
      <c r="J904">
        <v>332.2</v>
      </c>
      <c r="K904">
        <v>4088.8</v>
      </c>
      <c r="L904">
        <v>7756000</v>
      </c>
      <c r="M904" t="b">
        <v>0</v>
      </c>
      <c r="N904" t="b">
        <v>0</v>
      </c>
      <c r="O904">
        <v>16000</v>
      </c>
      <c r="P904" t="b">
        <v>0</v>
      </c>
      <c r="Q904" t="b">
        <v>0</v>
      </c>
      <c r="R904" t="b">
        <v>0</v>
      </c>
      <c r="S904" t="s">
        <v>101</v>
      </c>
      <c r="T904" t="s">
        <v>104</v>
      </c>
      <c r="U904">
        <v>1</v>
      </c>
    </row>
    <row r="905" spans="1:21" x14ac:dyDescent="0.3">
      <c r="A905" t="s">
        <v>1010</v>
      </c>
      <c r="B905" s="1">
        <v>46161</v>
      </c>
      <c r="C905" s="1">
        <v>46162</v>
      </c>
      <c r="D905" s="1">
        <v>46165</v>
      </c>
      <c r="E905" s="1">
        <v>46165</v>
      </c>
      <c r="F905" t="s">
        <v>33</v>
      </c>
      <c r="G905" t="s">
        <v>53</v>
      </c>
      <c r="H905" t="s">
        <v>20</v>
      </c>
      <c r="I905" t="s">
        <v>43</v>
      </c>
      <c r="J905">
        <v>518.70000000000005</v>
      </c>
      <c r="K905">
        <v>1060.7</v>
      </c>
      <c r="L905">
        <v>7654000</v>
      </c>
      <c r="M905" t="b">
        <v>0</v>
      </c>
      <c r="N905" t="b">
        <v>0</v>
      </c>
      <c r="O905">
        <v>5000</v>
      </c>
      <c r="P905" t="b">
        <v>0</v>
      </c>
      <c r="Q905" t="b">
        <v>0</v>
      </c>
      <c r="R905" t="b">
        <v>0</v>
      </c>
      <c r="S905" t="s">
        <v>96</v>
      </c>
      <c r="T905" t="s">
        <v>102</v>
      </c>
    </row>
    <row r="906" spans="1:21" x14ac:dyDescent="0.3">
      <c r="A906" t="s">
        <v>1011</v>
      </c>
      <c r="B906" s="1">
        <v>46101</v>
      </c>
      <c r="C906" s="1">
        <v>46102</v>
      </c>
      <c r="D906" s="1">
        <v>46105</v>
      </c>
      <c r="E906" s="1">
        <v>46104</v>
      </c>
      <c r="F906" t="s">
        <v>34</v>
      </c>
      <c r="G906" t="s">
        <v>53</v>
      </c>
      <c r="H906" t="s">
        <v>21</v>
      </c>
      <c r="I906" t="s">
        <v>45</v>
      </c>
      <c r="J906">
        <v>338.1</v>
      </c>
      <c r="K906">
        <v>438.6</v>
      </c>
      <c r="L906">
        <v>3963000</v>
      </c>
      <c r="M906" t="b">
        <v>0</v>
      </c>
      <c r="N906" t="b">
        <v>0</v>
      </c>
      <c r="O906">
        <v>1000</v>
      </c>
      <c r="P906" t="b">
        <v>0</v>
      </c>
      <c r="Q906" t="b">
        <v>0</v>
      </c>
      <c r="R906" t="b">
        <v>0</v>
      </c>
      <c r="S906" t="s">
        <v>96</v>
      </c>
      <c r="T906" t="s">
        <v>118</v>
      </c>
    </row>
    <row r="907" spans="1:21" x14ac:dyDescent="0.3">
      <c r="A907" t="s">
        <v>1012</v>
      </c>
      <c r="B907" s="1">
        <v>46076</v>
      </c>
      <c r="C907" s="1">
        <v>46077</v>
      </c>
      <c r="D907" s="1">
        <v>46079</v>
      </c>
      <c r="E907" s="1">
        <v>46079</v>
      </c>
      <c r="F907" t="s">
        <v>34</v>
      </c>
      <c r="G907" t="s">
        <v>58</v>
      </c>
      <c r="H907" t="s">
        <v>20</v>
      </c>
      <c r="I907" t="s">
        <v>43</v>
      </c>
      <c r="J907">
        <v>148.6</v>
      </c>
      <c r="K907">
        <v>2832.4</v>
      </c>
      <c r="L907">
        <v>4092000</v>
      </c>
      <c r="M907" t="b">
        <v>0</v>
      </c>
      <c r="N907" t="b">
        <v>0</v>
      </c>
      <c r="O907">
        <v>5000</v>
      </c>
      <c r="P907" t="b">
        <v>0</v>
      </c>
      <c r="Q907" t="b">
        <v>0</v>
      </c>
      <c r="R907" t="b">
        <v>0</v>
      </c>
      <c r="S907" t="s">
        <v>96</v>
      </c>
      <c r="T907" t="s">
        <v>115</v>
      </c>
    </row>
    <row r="908" spans="1:21" x14ac:dyDescent="0.3">
      <c r="A908" t="s">
        <v>1013</v>
      </c>
      <c r="B908" s="1">
        <v>46050</v>
      </c>
      <c r="C908" s="1">
        <v>46051</v>
      </c>
      <c r="D908" s="1">
        <v>46052</v>
      </c>
      <c r="E908" s="1">
        <v>46052</v>
      </c>
      <c r="F908" t="s">
        <v>34</v>
      </c>
      <c r="G908" t="s">
        <v>61</v>
      </c>
      <c r="H908" t="s">
        <v>23</v>
      </c>
      <c r="I908" t="s">
        <v>43</v>
      </c>
      <c r="J908">
        <v>25.3</v>
      </c>
      <c r="K908">
        <v>816.5</v>
      </c>
      <c r="L908">
        <v>1400000</v>
      </c>
      <c r="M908" t="b">
        <v>0</v>
      </c>
      <c r="N908" t="b">
        <v>0</v>
      </c>
      <c r="O908">
        <v>5000</v>
      </c>
      <c r="P908" t="b">
        <v>0</v>
      </c>
      <c r="Q908" t="b">
        <v>0</v>
      </c>
      <c r="R908" t="b">
        <v>0</v>
      </c>
      <c r="S908" t="s">
        <v>96</v>
      </c>
      <c r="T908" t="s">
        <v>104</v>
      </c>
    </row>
    <row r="909" spans="1:21" x14ac:dyDescent="0.3">
      <c r="A909" t="s">
        <v>1014</v>
      </c>
      <c r="B909" s="1">
        <v>46114</v>
      </c>
      <c r="C909" s="1">
        <v>46114</v>
      </c>
      <c r="D909" s="1">
        <v>46116</v>
      </c>
      <c r="E909" s="1">
        <v>46117</v>
      </c>
      <c r="F909" t="s">
        <v>34</v>
      </c>
      <c r="G909" t="s">
        <v>58</v>
      </c>
      <c r="H909" t="s">
        <v>23</v>
      </c>
      <c r="I909" t="s">
        <v>45</v>
      </c>
      <c r="J909">
        <v>142.69999999999999</v>
      </c>
      <c r="K909">
        <v>384.4</v>
      </c>
      <c r="L909">
        <v>1927000</v>
      </c>
      <c r="M909" t="b">
        <v>0</v>
      </c>
      <c r="N909" t="b">
        <v>0</v>
      </c>
      <c r="O909">
        <v>1000</v>
      </c>
      <c r="P909" t="b">
        <v>0</v>
      </c>
      <c r="Q909" t="b">
        <v>0</v>
      </c>
      <c r="R909" t="b">
        <v>0</v>
      </c>
      <c r="S909" t="s">
        <v>101</v>
      </c>
      <c r="T909" t="s">
        <v>112</v>
      </c>
      <c r="U909">
        <v>1</v>
      </c>
    </row>
    <row r="910" spans="1:21" x14ac:dyDescent="0.3">
      <c r="A910" t="s">
        <v>1015</v>
      </c>
      <c r="B910" s="1">
        <v>46111</v>
      </c>
      <c r="C910" s="1">
        <v>46112</v>
      </c>
      <c r="D910" s="1">
        <v>46114</v>
      </c>
      <c r="E910" s="1">
        <v>46114</v>
      </c>
      <c r="F910" t="s">
        <v>34</v>
      </c>
      <c r="G910" t="s">
        <v>58</v>
      </c>
      <c r="H910" t="s">
        <v>24</v>
      </c>
      <c r="I910" t="s">
        <v>45</v>
      </c>
      <c r="J910">
        <v>153.69999999999999</v>
      </c>
      <c r="K910">
        <v>223.7</v>
      </c>
      <c r="L910">
        <v>1721000</v>
      </c>
      <c r="M910" t="b">
        <v>0</v>
      </c>
      <c r="N910" t="b">
        <v>0</v>
      </c>
      <c r="O910">
        <v>1000</v>
      </c>
      <c r="P910" t="b">
        <v>0</v>
      </c>
      <c r="Q910" t="b">
        <v>0</v>
      </c>
      <c r="R910" t="b">
        <v>0</v>
      </c>
      <c r="S910" t="s">
        <v>96</v>
      </c>
      <c r="T910" t="s">
        <v>118</v>
      </c>
    </row>
    <row r="911" spans="1:21" x14ac:dyDescent="0.3">
      <c r="A911" t="s">
        <v>1016</v>
      </c>
      <c r="B911" s="1">
        <v>46028</v>
      </c>
      <c r="C911" s="1">
        <v>46029</v>
      </c>
      <c r="D911" s="1">
        <v>46033</v>
      </c>
      <c r="E911" s="1">
        <v>46034</v>
      </c>
      <c r="F911" t="s">
        <v>31</v>
      </c>
      <c r="G911" t="s">
        <v>56</v>
      </c>
      <c r="H911" t="s">
        <v>24</v>
      </c>
      <c r="I911" t="s">
        <v>43</v>
      </c>
      <c r="J911">
        <v>971.8</v>
      </c>
      <c r="K911">
        <v>3079.2</v>
      </c>
      <c r="L911">
        <v>12645000</v>
      </c>
      <c r="M911" t="b">
        <v>0</v>
      </c>
      <c r="N911" t="b">
        <v>0</v>
      </c>
      <c r="O911">
        <v>5000</v>
      </c>
      <c r="P911" t="b">
        <v>0</v>
      </c>
      <c r="Q911" t="b">
        <v>0</v>
      </c>
      <c r="R911" t="b">
        <v>0</v>
      </c>
      <c r="S911" t="s">
        <v>101</v>
      </c>
      <c r="T911" t="s">
        <v>104</v>
      </c>
      <c r="U911">
        <v>1</v>
      </c>
    </row>
    <row r="912" spans="1:21" x14ac:dyDescent="0.3">
      <c r="A912" t="s">
        <v>1017</v>
      </c>
      <c r="B912" s="1">
        <v>46026</v>
      </c>
      <c r="C912" s="1">
        <v>46026</v>
      </c>
      <c r="D912" s="1">
        <v>46028</v>
      </c>
      <c r="E912" s="1">
        <v>46029</v>
      </c>
      <c r="F912" t="s">
        <v>32</v>
      </c>
      <c r="G912" t="s">
        <v>59</v>
      </c>
      <c r="H912" t="s">
        <v>22</v>
      </c>
      <c r="I912" t="s">
        <v>43</v>
      </c>
      <c r="J912">
        <v>181.3</v>
      </c>
      <c r="K912">
        <v>3322.4</v>
      </c>
      <c r="L912">
        <v>3911000</v>
      </c>
      <c r="M912" t="b">
        <v>0</v>
      </c>
      <c r="N912" t="b">
        <v>0</v>
      </c>
      <c r="O912">
        <v>5000</v>
      </c>
      <c r="P912" t="b">
        <v>0</v>
      </c>
      <c r="Q912" t="b">
        <v>0</v>
      </c>
      <c r="R912" t="b">
        <v>0</v>
      </c>
      <c r="S912" t="s">
        <v>101</v>
      </c>
      <c r="T912" t="s">
        <v>104</v>
      </c>
      <c r="U912">
        <v>1</v>
      </c>
    </row>
    <row r="913" spans="1:21" x14ac:dyDescent="0.3">
      <c r="A913" t="s">
        <v>1018</v>
      </c>
      <c r="B913" s="1">
        <v>46112</v>
      </c>
      <c r="C913" s="1">
        <v>46113</v>
      </c>
      <c r="D913" s="1">
        <v>46116</v>
      </c>
      <c r="E913" s="1">
        <v>46116</v>
      </c>
      <c r="F913" t="s">
        <v>34</v>
      </c>
      <c r="G913" t="s">
        <v>58</v>
      </c>
      <c r="H913" t="s">
        <v>20</v>
      </c>
      <c r="I913" t="s">
        <v>42</v>
      </c>
      <c r="J913">
        <v>151.5</v>
      </c>
      <c r="K913">
        <v>14626.4</v>
      </c>
      <c r="L913">
        <v>7322000</v>
      </c>
      <c r="M913" t="b">
        <v>0</v>
      </c>
      <c r="N913" t="b">
        <v>0</v>
      </c>
      <c r="O913">
        <v>16000</v>
      </c>
      <c r="P913" t="b">
        <v>0</v>
      </c>
      <c r="Q913" t="b">
        <v>0</v>
      </c>
      <c r="R913" t="b">
        <v>0</v>
      </c>
      <c r="S913" t="s">
        <v>96</v>
      </c>
      <c r="T913" t="s">
        <v>112</v>
      </c>
    </row>
    <row r="914" spans="1:21" x14ac:dyDescent="0.3">
      <c r="A914" t="s">
        <v>1019</v>
      </c>
      <c r="B914" s="1">
        <v>46107</v>
      </c>
      <c r="C914" s="1">
        <v>46108</v>
      </c>
      <c r="D914" s="1">
        <v>46110</v>
      </c>
      <c r="E914" s="1">
        <v>46110</v>
      </c>
      <c r="F914" t="s">
        <v>34</v>
      </c>
      <c r="G914" t="s">
        <v>58</v>
      </c>
      <c r="H914" t="s">
        <v>21</v>
      </c>
      <c r="I914" t="s">
        <v>42</v>
      </c>
      <c r="J914">
        <v>142.9</v>
      </c>
      <c r="K914">
        <v>5243.2</v>
      </c>
      <c r="L914">
        <v>5146000</v>
      </c>
      <c r="M914" t="b">
        <v>0</v>
      </c>
      <c r="N914" t="b">
        <v>0</v>
      </c>
      <c r="O914">
        <v>16000</v>
      </c>
      <c r="P914" t="b">
        <v>0</v>
      </c>
      <c r="Q914" t="b">
        <v>0</v>
      </c>
      <c r="R914" t="b">
        <v>0</v>
      </c>
      <c r="S914" t="s">
        <v>96</v>
      </c>
      <c r="T914" t="s">
        <v>118</v>
      </c>
    </row>
    <row r="915" spans="1:21" x14ac:dyDescent="0.3">
      <c r="A915" t="s">
        <v>1020</v>
      </c>
      <c r="B915" s="1">
        <v>46189</v>
      </c>
      <c r="C915" s="1">
        <v>46190</v>
      </c>
      <c r="D915" s="1">
        <v>46194</v>
      </c>
      <c r="E915" s="1">
        <v>46196</v>
      </c>
      <c r="F915" t="s">
        <v>33</v>
      </c>
      <c r="G915" t="s">
        <v>52</v>
      </c>
      <c r="H915" t="s">
        <v>22</v>
      </c>
      <c r="I915" t="s">
        <v>42</v>
      </c>
      <c r="J915">
        <v>606</v>
      </c>
      <c r="K915">
        <v>12511.9</v>
      </c>
      <c r="L915">
        <v>16783000</v>
      </c>
      <c r="M915" t="b">
        <v>0</v>
      </c>
      <c r="N915" t="b">
        <v>0</v>
      </c>
      <c r="O915">
        <v>16000</v>
      </c>
      <c r="P915" t="b">
        <v>0</v>
      </c>
      <c r="Q915" t="b">
        <v>0</v>
      </c>
      <c r="R915" t="b">
        <v>0</v>
      </c>
      <c r="S915" t="s">
        <v>101</v>
      </c>
      <c r="T915" t="s">
        <v>99</v>
      </c>
      <c r="U915">
        <v>2</v>
      </c>
    </row>
    <row r="916" spans="1:21" x14ac:dyDescent="0.3">
      <c r="A916" t="s">
        <v>1021</v>
      </c>
      <c r="B916" s="1">
        <v>46123</v>
      </c>
      <c r="C916" s="1">
        <v>46124</v>
      </c>
      <c r="D916" s="1">
        <v>46127</v>
      </c>
      <c r="E916" s="1">
        <v>46127</v>
      </c>
      <c r="F916" t="s">
        <v>32</v>
      </c>
      <c r="G916" t="s">
        <v>52</v>
      </c>
      <c r="H916" t="s">
        <v>24</v>
      </c>
      <c r="I916" t="s">
        <v>45</v>
      </c>
      <c r="J916">
        <v>328</v>
      </c>
      <c r="K916">
        <v>592.6</v>
      </c>
      <c r="L916">
        <v>3389000</v>
      </c>
      <c r="M916" t="b">
        <v>0</v>
      </c>
      <c r="N916" t="b">
        <v>0</v>
      </c>
      <c r="O916">
        <v>1000</v>
      </c>
      <c r="P916" t="b">
        <v>0</v>
      </c>
      <c r="Q916" t="b">
        <v>0</v>
      </c>
      <c r="R916" t="b">
        <v>0</v>
      </c>
      <c r="S916" t="s">
        <v>96</v>
      </c>
      <c r="T916" t="s">
        <v>112</v>
      </c>
    </row>
    <row r="917" spans="1:21" x14ac:dyDescent="0.3">
      <c r="A917" t="s">
        <v>1022</v>
      </c>
      <c r="B917" s="1">
        <v>46088</v>
      </c>
      <c r="C917" s="1">
        <v>46088</v>
      </c>
      <c r="D917" s="1">
        <v>46090</v>
      </c>
      <c r="E917" s="1">
        <v>46090</v>
      </c>
      <c r="F917" t="s">
        <v>33</v>
      </c>
      <c r="G917" t="s">
        <v>60</v>
      </c>
      <c r="H917" t="s">
        <v>24</v>
      </c>
      <c r="I917" t="s">
        <v>42</v>
      </c>
      <c r="J917">
        <v>21.8</v>
      </c>
      <c r="K917">
        <v>7096.9</v>
      </c>
      <c r="L917">
        <v>3774000</v>
      </c>
      <c r="M917" t="b">
        <v>0</v>
      </c>
      <c r="N917" t="b">
        <v>0</v>
      </c>
      <c r="O917">
        <v>16000</v>
      </c>
      <c r="P917" t="b">
        <v>0</v>
      </c>
      <c r="Q917" t="b">
        <v>0</v>
      </c>
      <c r="R917" t="b">
        <v>0</v>
      </c>
      <c r="S917" t="s">
        <v>96</v>
      </c>
      <c r="T917" t="s">
        <v>118</v>
      </c>
    </row>
    <row r="918" spans="1:21" x14ac:dyDescent="0.3">
      <c r="A918" t="s">
        <v>1023</v>
      </c>
      <c r="B918" s="1">
        <v>46165</v>
      </c>
      <c r="C918" s="1">
        <v>46166</v>
      </c>
      <c r="D918" s="1">
        <v>46168</v>
      </c>
      <c r="E918" s="1">
        <v>46168</v>
      </c>
      <c r="F918" t="s">
        <v>32</v>
      </c>
      <c r="G918" t="s">
        <v>53</v>
      </c>
      <c r="H918" t="s">
        <v>22</v>
      </c>
      <c r="I918" t="s">
        <v>44</v>
      </c>
      <c r="J918">
        <v>281.2</v>
      </c>
      <c r="K918">
        <v>736.4</v>
      </c>
      <c r="L918">
        <v>2973000</v>
      </c>
      <c r="M918" t="b">
        <v>0</v>
      </c>
      <c r="N918" t="b">
        <v>0</v>
      </c>
      <c r="O918">
        <v>1500</v>
      </c>
      <c r="P918" t="b">
        <v>0</v>
      </c>
      <c r="Q918" t="b">
        <v>0</v>
      </c>
      <c r="R918" t="b">
        <v>0</v>
      </c>
      <c r="S918" t="s">
        <v>96</v>
      </c>
      <c r="T918" t="s">
        <v>102</v>
      </c>
    </row>
    <row r="919" spans="1:21" x14ac:dyDescent="0.3">
      <c r="A919" t="s">
        <v>1024</v>
      </c>
      <c r="B919" s="1">
        <v>46065</v>
      </c>
      <c r="C919" s="1">
        <v>46066</v>
      </c>
      <c r="D919" s="1">
        <v>46067</v>
      </c>
      <c r="E919" s="1">
        <v>46067</v>
      </c>
      <c r="F919" t="s">
        <v>31</v>
      </c>
      <c r="G919" t="s">
        <v>61</v>
      </c>
      <c r="H919" t="s">
        <v>20</v>
      </c>
      <c r="I919" t="s">
        <v>43</v>
      </c>
      <c r="J919">
        <v>52.4</v>
      </c>
      <c r="K919">
        <v>4110.3999999999996</v>
      </c>
      <c r="L919">
        <v>2834000</v>
      </c>
      <c r="M919" t="b">
        <v>0</v>
      </c>
      <c r="N919" t="b">
        <v>0</v>
      </c>
      <c r="O919">
        <v>5000</v>
      </c>
      <c r="P919" t="b">
        <v>0</v>
      </c>
      <c r="Q919" t="b">
        <v>0</v>
      </c>
      <c r="R919" t="b">
        <v>0</v>
      </c>
      <c r="S919" t="s">
        <v>96</v>
      </c>
      <c r="T919" t="s">
        <v>115</v>
      </c>
    </row>
    <row r="920" spans="1:21" x14ac:dyDescent="0.3">
      <c r="A920" t="s">
        <v>1025</v>
      </c>
      <c r="B920" s="1">
        <v>46177</v>
      </c>
      <c r="C920" s="1">
        <v>46178</v>
      </c>
      <c r="D920" s="1">
        <v>46181</v>
      </c>
      <c r="E920" s="1">
        <v>46181</v>
      </c>
      <c r="F920" t="s">
        <v>33</v>
      </c>
      <c r="G920" t="s">
        <v>53</v>
      </c>
      <c r="H920" t="s">
        <v>22</v>
      </c>
      <c r="I920" t="s">
        <v>45</v>
      </c>
      <c r="J920">
        <v>566.1</v>
      </c>
      <c r="K920">
        <v>549.4</v>
      </c>
      <c r="L920">
        <v>5024000</v>
      </c>
      <c r="M920" t="b">
        <v>0</v>
      </c>
      <c r="N920" t="b">
        <v>0</v>
      </c>
      <c r="O920">
        <v>1000</v>
      </c>
      <c r="P920" t="b">
        <v>0</v>
      </c>
      <c r="Q920" t="b">
        <v>0</v>
      </c>
      <c r="R920" t="b">
        <v>0</v>
      </c>
      <c r="S920" t="s">
        <v>96</v>
      </c>
      <c r="T920" t="s">
        <v>99</v>
      </c>
    </row>
    <row r="921" spans="1:21" x14ac:dyDescent="0.3">
      <c r="A921" t="s">
        <v>1026</v>
      </c>
      <c r="B921" s="1">
        <v>46075</v>
      </c>
      <c r="C921" s="1">
        <v>46076</v>
      </c>
      <c r="D921" s="1">
        <v>46080</v>
      </c>
      <c r="E921" s="1">
        <v>46081</v>
      </c>
      <c r="F921" t="s">
        <v>31</v>
      </c>
      <c r="G921" t="s">
        <v>56</v>
      </c>
      <c r="H921" t="s">
        <v>22</v>
      </c>
      <c r="I921" t="s">
        <v>43</v>
      </c>
      <c r="J921">
        <v>979.5</v>
      </c>
      <c r="K921">
        <v>2301.9</v>
      </c>
      <c r="L921">
        <v>12847000</v>
      </c>
      <c r="M921" t="b">
        <v>0</v>
      </c>
      <c r="N921" t="b">
        <v>0</v>
      </c>
      <c r="O921">
        <v>5000</v>
      </c>
      <c r="P921" t="b">
        <v>0</v>
      </c>
      <c r="Q921" t="b">
        <v>0</v>
      </c>
      <c r="R921" t="b">
        <v>0</v>
      </c>
      <c r="S921" t="s">
        <v>101</v>
      </c>
      <c r="T921" t="s">
        <v>115</v>
      </c>
      <c r="U921">
        <v>1</v>
      </c>
    </row>
    <row r="922" spans="1:21" x14ac:dyDescent="0.3">
      <c r="A922" t="s">
        <v>1027</v>
      </c>
      <c r="B922" s="1">
        <v>46100</v>
      </c>
      <c r="C922" s="1">
        <v>46101</v>
      </c>
      <c r="D922" s="1">
        <v>46103</v>
      </c>
      <c r="E922" s="1">
        <v>46104</v>
      </c>
      <c r="F922" t="s">
        <v>34</v>
      </c>
      <c r="G922" t="s">
        <v>52</v>
      </c>
      <c r="H922" t="s">
        <v>22</v>
      </c>
      <c r="I922" t="s">
        <v>44</v>
      </c>
      <c r="J922">
        <v>297.3</v>
      </c>
      <c r="K922">
        <v>1191.9000000000001</v>
      </c>
      <c r="L922">
        <v>3876000</v>
      </c>
      <c r="M922" t="b">
        <v>0</v>
      </c>
      <c r="N922" t="b">
        <v>0</v>
      </c>
      <c r="O922">
        <v>1500</v>
      </c>
      <c r="P922" t="b">
        <v>0</v>
      </c>
      <c r="Q922" t="b">
        <v>0</v>
      </c>
      <c r="R922" t="b">
        <v>0</v>
      </c>
      <c r="S922" t="s">
        <v>101</v>
      </c>
      <c r="T922" t="s">
        <v>118</v>
      </c>
      <c r="U922">
        <v>1</v>
      </c>
    </row>
    <row r="923" spans="1:21" x14ac:dyDescent="0.3">
      <c r="A923" t="s">
        <v>1028</v>
      </c>
      <c r="B923" s="1">
        <v>46159</v>
      </c>
      <c r="C923" s="1">
        <v>46161</v>
      </c>
      <c r="D923" s="1">
        <v>46164</v>
      </c>
      <c r="E923" s="1">
        <v>46164</v>
      </c>
      <c r="F923" t="s">
        <v>34</v>
      </c>
      <c r="G923" t="s">
        <v>52</v>
      </c>
      <c r="H923" t="s">
        <v>21</v>
      </c>
      <c r="I923" t="s">
        <v>42</v>
      </c>
      <c r="J923">
        <v>305.5</v>
      </c>
      <c r="K923">
        <v>11554.7</v>
      </c>
      <c r="L923">
        <v>9186000</v>
      </c>
      <c r="M923" t="b">
        <v>0</v>
      </c>
      <c r="N923" t="b">
        <v>0</v>
      </c>
      <c r="O923">
        <v>16000</v>
      </c>
      <c r="P923" t="b">
        <v>0</v>
      </c>
      <c r="Q923" t="b">
        <v>0</v>
      </c>
      <c r="R923" t="b">
        <v>0</v>
      </c>
      <c r="S923" t="s">
        <v>96</v>
      </c>
      <c r="T923" t="s">
        <v>102</v>
      </c>
    </row>
    <row r="924" spans="1:21" x14ac:dyDescent="0.3">
      <c r="A924" t="s">
        <v>1029</v>
      </c>
      <c r="B924" s="1">
        <v>46105</v>
      </c>
      <c r="C924" s="1">
        <v>46106</v>
      </c>
      <c r="D924" s="1">
        <v>46109</v>
      </c>
      <c r="E924" s="1">
        <v>46109</v>
      </c>
      <c r="F924" t="s">
        <v>34</v>
      </c>
      <c r="G924" t="s">
        <v>54</v>
      </c>
      <c r="H924" t="s">
        <v>21</v>
      </c>
      <c r="I924" t="s">
        <v>44</v>
      </c>
      <c r="J924">
        <v>454.4</v>
      </c>
      <c r="K924">
        <v>866.6</v>
      </c>
      <c r="L924">
        <v>5089000</v>
      </c>
      <c r="M924" t="b">
        <v>0</v>
      </c>
      <c r="N924" t="b">
        <v>0</v>
      </c>
      <c r="O924">
        <v>1500</v>
      </c>
      <c r="P924" t="b">
        <v>0</v>
      </c>
      <c r="Q924" t="b">
        <v>0</v>
      </c>
      <c r="R924" t="b">
        <v>0</v>
      </c>
      <c r="S924" t="s">
        <v>96</v>
      </c>
      <c r="T924" t="s">
        <v>118</v>
      </c>
    </row>
    <row r="925" spans="1:21" x14ac:dyDescent="0.3">
      <c r="A925" t="s">
        <v>1030</v>
      </c>
      <c r="B925" s="1">
        <v>46043</v>
      </c>
      <c r="C925" s="1">
        <v>46043</v>
      </c>
      <c r="D925" s="1">
        <v>46047</v>
      </c>
      <c r="E925" s="1">
        <v>46047</v>
      </c>
      <c r="F925" t="s">
        <v>34</v>
      </c>
      <c r="G925" t="s">
        <v>60</v>
      </c>
      <c r="H925" t="s">
        <v>21</v>
      </c>
      <c r="I925" t="s">
        <v>45</v>
      </c>
      <c r="J925">
        <v>728.2</v>
      </c>
      <c r="K925">
        <v>190.6</v>
      </c>
      <c r="L925">
        <v>6738000</v>
      </c>
      <c r="M925" t="b">
        <v>0</v>
      </c>
      <c r="N925" t="b">
        <v>0</v>
      </c>
      <c r="O925">
        <v>1000</v>
      </c>
      <c r="P925" t="b">
        <v>0</v>
      </c>
      <c r="Q925" t="b">
        <v>0</v>
      </c>
      <c r="R925" t="b">
        <v>0</v>
      </c>
      <c r="S925" t="s">
        <v>96</v>
      </c>
      <c r="T925" t="s">
        <v>104</v>
      </c>
    </row>
    <row r="926" spans="1:21" x14ac:dyDescent="0.3">
      <c r="A926" t="s">
        <v>1031</v>
      </c>
      <c r="B926" s="1">
        <v>46097</v>
      </c>
      <c r="C926" s="1">
        <v>46098</v>
      </c>
      <c r="D926" s="1">
        <v>46100</v>
      </c>
      <c r="E926" s="1">
        <v>46100</v>
      </c>
      <c r="F926" t="s">
        <v>34</v>
      </c>
      <c r="G926" t="s">
        <v>52</v>
      </c>
      <c r="H926" t="s">
        <v>22</v>
      </c>
      <c r="I926" t="s">
        <v>43</v>
      </c>
      <c r="J926">
        <v>270.3</v>
      </c>
      <c r="K926">
        <v>1300.9000000000001</v>
      </c>
      <c r="L926">
        <v>4922000</v>
      </c>
      <c r="M926" t="b">
        <v>0</v>
      </c>
      <c r="N926" t="b">
        <v>0</v>
      </c>
      <c r="O926">
        <v>5000</v>
      </c>
      <c r="P926" t="b">
        <v>0</v>
      </c>
      <c r="Q926" t="b">
        <v>0</v>
      </c>
      <c r="R926" t="b">
        <v>0</v>
      </c>
      <c r="S926" t="s">
        <v>96</v>
      </c>
      <c r="T926" t="s">
        <v>118</v>
      </c>
    </row>
    <row r="927" spans="1:21" x14ac:dyDescent="0.3">
      <c r="A927" t="s">
        <v>1032</v>
      </c>
      <c r="B927" s="1">
        <v>46062</v>
      </c>
      <c r="C927" s="1">
        <v>46063</v>
      </c>
      <c r="D927" s="1">
        <v>46067</v>
      </c>
      <c r="E927" s="1">
        <v>46067</v>
      </c>
      <c r="F927" t="s">
        <v>34</v>
      </c>
      <c r="G927" t="s">
        <v>60</v>
      </c>
      <c r="H927" t="s">
        <v>24</v>
      </c>
      <c r="I927" t="s">
        <v>43</v>
      </c>
      <c r="J927">
        <v>633.9</v>
      </c>
      <c r="K927">
        <v>1442</v>
      </c>
      <c r="L927">
        <v>8856000</v>
      </c>
      <c r="M927" t="b">
        <v>0</v>
      </c>
      <c r="N927" t="b">
        <v>0</v>
      </c>
      <c r="O927">
        <v>5000</v>
      </c>
      <c r="P927" t="b">
        <v>0</v>
      </c>
      <c r="Q927" t="b">
        <v>0</v>
      </c>
      <c r="R927" t="b">
        <v>0</v>
      </c>
      <c r="S927" t="s">
        <v>96</v>
      </c>
      <c r="T927" t="s">
        <v>115</v>
      </c>
    </row>
    <row r="928" spans="1:21" x14ac:dyDescent="0.3">
      <c r="A928" t="s">
        <v>1033</v>
      </c>
      <c r="B928" s="1">
        <v>46059</v>
      </c>
      <c r="C928" s="1">
        <v>46060</v>
      </c>
      <c r="D928" s="1">
        <v>46063</v>
      </c>
      <c r="E928" s="1">
        <v>46063</v>
      </c>
      <c r="F928" t="s">
        <v>32</v>
      </c>
      <c r="G928" t="s">
        <v>54</v>
      </c>
      <c r="H928" t="s">
        <v>23</v>
      </c>
      <c r="I928" t="s">
        <v>42</v>
      </c>
      <c r="J928">
        <v>597.6</v>
      </c>
      <c r="K928">
        <v>11825.6</v>
      </c>
      <c r="L928">
        <v>15360000</v>
      </c>
      <c r="M928" t="b">
        <v>0</v>
      </c>
      <c r="N928" t="b">
        <v>0</v>
      </c>
      <c r="O928">
        <v>16000</v>
      </c>
      <c r="P928" t="b">
        <v>0</v>
      </c>
      <c r="Q928" t="b">
        <v>0</v>
      </c>
      <c r="R928" t="b">
        <v>0</v>
      </c>
      <c r="S928" t="s">
        <v>96</v>
      </c>
      <c r="T928" t="s">
        <v>115</v>
      </c>
    </row>
    <row r="929" spans="1:21" x14ac:dyDescent="0.3">
      <c r="A929" t="s">
        <v>1034</v>
      </c>
      <c r="B929" s="1">
        <v>46148</v>
      </c>
      <c r="C929" s="1">
        <v>46149</v>
      </c>
      <c r="D929" s="1">
        <v>46150</v>
      </c>
      <c r="E929" s="1">
        <v>46150</v>
      </c>
      <c r="F929" t="s">
        <v>34</v>
      </c>
      <c r="G929" t="s">
        <v>55</v>
      </c>
      <c r="H929" t="s">
        <v>23</v>
      </c>
      <c r="I929" t="s">
        <v>44</v>
      </c>
      <c r="J929">
        <v>52.9</v>
      </c>
      <c r="K929">
        <v>1240.5999999999999</v>
      </c>
      <c r="L929">
        <v>1758000</v>
      </c>
      <c r="M929" t="b">
        <v>0</v>
      </c>
      <c r="N929" t="b">
        <v>0</v>
      </c>
      <c r="O929">
        <v>1500</v>
      </c>
      <c r="P929" t="b">
        <v>0</v>
      </c>
      <c r="Q929" t="b">
        <v>0</v>
      </c>
      <c r="R929" t="b">
        <v>0</v>
      </c>
      <c r="S929" t="s">
        <v>96</v>
      </c>
      <c r="T929" t="s">
        <v>102</v>
      </c>
    </row>
    <row r="930" spans="1:21" x14ac:dyDescent="0.3">
      <c r="A930" t="s">
        <v>1035</v>
      </c>
      <c r="B930" s="1">
        <v>46098</v>
      </c>
      <c r="C930" s="1">
        <v>46099</v>
      </c>
      <c r="D930" s="1">
        <v>46102</v>
      </c>
      <c r="E930" s="1">
        <v>46101</v>
      </c>
      <c r="F930" t="s">
        <v>31</v>
      </c>
      <c r="G930" t="s">
        <v>53</v>
      </c>
      <c r="H930" t="s">
        <v>21</v>
      </c>
      <c r="I930" t="s">
        <v>42</v>
      </c>
      <c r="J930">
        <v>341.7</v>
      </c>
      <c r="K930">
        <v>13621.6</v>
      </c>
      <c r="L930">
        <v>11429000</v>
      </c>
      <c r="M930" t="b">
        <v>0</v>
      </c>
      <c r="N930" t="b">
        <v>0</v>
      </c>
      <c r="O930">
        <v>16000</v>
      </c>
      <c r="P930" t="b">
        <v>0</v>
      </c>
      <c r="Q930" t="b">
        <v>0</v>
      </c>
      <c r="R930" t="b">
        <v>0</v>
      </c>
      <c r="S930" t="s">
        <v>96</v>
      </c>
      <c r="T930" t="s">
        <v>118</v>
      </c>
    </row>
    <row r="931" spans="1:21" x14ac:dyDescent="0.3">
      <c r="A931" t="s">
        <v>1036</v>
      </c>
      <c r="B931" s="1">
        <v>46121</v>
      </c>
      <c r="C931" s="1">
        <v>46122</v>
      </c>
      <c r="D931" s="1">
        <v>46125</v>
      </c>
      <c r="E931" s="1">
        <v>46126</v>
      </c>
      <c r="F931" t="s">
        <v>34</v>
      </c>
      <c r="G931" t="s">
        <v>63</v>
      </c>
      <c r="H931" t="s">
        <v>22</v>
      </c>
      <c r="I931" t="s">
        <v>44</v>
      </c>
      <c r="J931">
        <v>344</v>
      </c>
      <c r="K931">
        <v>1249.5999999999999</v>
      </c>
      <c r="L931">
        <v>4027000</v>
      </c>
      <c r="M931" t="b">
        <v>0</v>
      </c>
      <c r="N931" t="b">
        <v>0</v>
      </c>
      <c r="O931">
        <v>1500</v>
      </c>
      <c r="P931" t="b">
        <v>0</v>
      </c>
      <c r="Q931" t="b">
        <v>0</v>
      </c>
      <c r="R931" t="b">
        <v>0</v>
      </c>
      <c r="S931" t="s">
        <v>101</v>
      </c>
      <c r="T931" t="s">
        <v>112</v>
      </c>
      <c r="U931">
        <v>1</v>
      </c>
    </row>
    <row r="932" spans="1:21" x14ac:dyDescent="0.3">
      <c r="A932" t="s">
        <v>1037</v>
      </c>
      <c r="B932" s="1">
        <v>46182</v>
      </c>
      <c r="C932" s="1">
        <v>46183</v>
      </c>
      <c r="D932" s="1">
        <v>46186</v>
      </c>
      <c r="E932" s="1">
        <v>46187</v>
      </c>
      <c r="F932" t="s">
        <v>34</v>
      </c>
      <c r="G932" t="s">
        <v>63</v>
      </c>
      <c r="H932" t="s">
        <v>24</v>
      </c>
      <c r="I932" t="s">
        <v>44</v>
      </c>
      <c r="J932">
        <v>334.2</v>
      </c>
      <c r="K932">
        <v>1103.8</v>
      </c>
      <c r="L932">
        <v>3984000</v>
      </c>
      <c r="M932" t="b">
        <v>0</v>
      </c>
      <c r="N932" t="b">
        <v>0</v>
      </c>
      <c r="O932">
        <v>1500</v>
      </c>
      <c r="P932" t="b">
        <v>0</v>
      </c>
      <c r="Q932" t="b">
        <v>0</v>
      </c>
      <c r="R932" t="b">
        <v>0</v>
      </c>
      <c r="S932" t="s">
        <v>101</v>
      </c>
      <c r="T932" t="s">
        <v>99</v>
      </c>
      <c r="U932">
        <v>1</v>
      </c>
    </row>
    <row r="933" spans="1:21" x14ac:dyDescent="0.3">
      <c r="A933" t="s">
        <v>1038</v>
      </c>
      <c r="B933" s="1">
        <v>46088</v>
      </c>
      <c r="C933" s="1">
        <v>46089</v>
      </c>
      <c r="D933" s="1">
        <v>46093</v>
      </c>
      <c r="E933" s="1">
        <v>46093</v>
      </c>
      <c r="F933" t="s">
        <v>31</v>
      </c>
      <c r="G933" t="s">
        <v>62</v>
      </c>
      <c r="H933" t="s">
        <v>20</v>
      </c>
      <c r="I933" t="s">
        <v>43</v>
      </c>
      <c r="J933">
        <v>722.8</v>
      </c>
      <c r="K933">
        <v>1057.2</v>
      </c>
      <c r="L933">
        <v>9914000</v>
      </c>
      <c r="M933" t="b">
        <v>0</v>
      </c>
      <c r="N933" t="b">
        <v>0</v>
      </c>
      <c r="O933">
        <v>5000</v>
      </c>
      <c r="P933" t="b">
        <v>0</v>
      </c>
      <c r="Q933" t="b">
        <v>0</v>
      </c>
      <c r="R933" t="b">
        <v>0</v>
      </c>
      <c r="S933" t="s">
        <v>96</v>
      </c>
      <c r="T933" t="s">
        <v>118</v>
      </c>
    </row>
    <row r="934" spans="1:21" x14ac:dyDescent="0.3">
      <c r="A934" t="s">
        <v>1039</v>
      </c>
      <c r="B934" s="1">
        <v>46038</v>
      </c>
      <c r="C934" s="1">
        <v>46038</v>
      </c>
      <c r="D934" s="1">
        <v>46042</v>
      </c>
      <c r="E934" s="1">
        <v>46042</v>
      </c>
      <c r="F934" t="s">
        <v>31</v>
      </c>
      <c r="G934" t="s">
        <v>56</v>
      </c>
      <c r="H934" t="s">
        <v>21</v>
      </c>
      <c r="I934" t="s">
        <v>43</v>
      </c>
      <c r="J934">
        <v>977.8</v>
      </c>
      <c r="K934">
        <v>3246.9</v>
      </c>
      <c r="L934">
        <v>14505000</v>
      </c>
      <c r="M934" t="b">
        <v>0</v>
      </c>
      <c r="N934" t="b">
        <v>0</v>
      </c>
      <c r="O934">
        <v>5000</v>
      </c>
      <c r="P934" t="b">
        <v>0</v>
      </c>
      <c r="Q934" t="b">
        <v>0</v>
      </c>
      <c r="R934" t="b">
        <v>0</v>
      </c>
      <c r="S934" t="s">
        <v>96</v>
      </c>
      <c r="T934" t="s">
        <v>104</v>
      </c>
    </row>
    <row r="935" spans="1:21" x14ac:dyDescent="0.3">
      <c r="A935" t="s">
        <v>1040</v>
      </c>
      <c r="B935" s="1">
        <v>46035</v>
      </c>
      <c r="C935" s="1">
        <v>46036</v>
      </c>
      <c r="D935" s="1">
        <v>46038</v>
      </c>
      <c r="E935" s="1">
        <v>46038</v>
      </c>
      <c r="F935" t="s">
        <v>34</v>
      </c>
      <c r="G935" t="s">
        <v>57</v>
      </c>
      <c r="H935" t="s">
        <v>21</v>
      </c>
      <c r="I935" t="s">
        <v>42</v>
      </c>
      <c r="J935">
        <v>156.5</v>
      </c>
      <c r="K935">
        <v>6981.2</v>
      </c>
      <c r="L935">
        <v>5260000</v>
      </c>
      <c r="M935" t="b">
        <v>0</v>
      </c>
      <c r="N935" t="b">
        <v>0</v>
      </c>
      <c r="O935">
        <v>16000</v>
      </c>
      <c r="P935" t="b">
        <v>0</v>
      </c>
      <c r="Q935" t="b">
        <v>0</v>
      </c>
      <c r="R935" t="b">
        <v>0</v>
      </c>
      <c r="S935" t="s">
        <v>96</v>
      </c>
      <c r="T935" t="s">
        <v>104</v>
      </c>
    </row>
    <row r="936" spans="1:21" x14ac:dyDescent="0.3">
      <c r="A936" t="s">
        <v>1041</v>
      </c>
      <c r="B936" s="1">
        <v>46044</v>
      </c>
      <c r="C936" s="1">
        <v>46045</v>
      </c>
      <c r="D936" s="1">
        <v>46047</v>
      </c>
      <c r="E936" s="1">
        <v>46048</v>
      </c>
      <c r="F936" t="s">
        <v>33</v>
      </c>
      <c r="G936" t="s">
        <v>62</v>
      </c>
      <c r="H936" t="s">
        <v>20</v>
      </c>
      <c r="I936" t="s">
        <v>42</v>
      </c>
      <c r="J936">
        <v>141.69999999999999</v>
      </c>
      <c r="K936">
        <v>3061.9</v>
      </c>
      <c r="L936">
        <v>4032000</v>
      </c>
      <c r="M936" t="b">
        <v>0</v>
      </c>
      <c r="N936" t="b">
        <v>0</v>
      </c>
      <c r="O936">
        <v>16000</v>
      </c>
      <c r="P936" t="b">
        <v>0</v>
      </c>
      <c r="Q936" t="b">
        <v>0</v>
      </c>
      <c r="R936" t="b">
        <v>0</v>
      </c>
      <c r="S936" t="s">
        <v>101</v>
      </c>
      <c r="T936" t="s">
        <v>104</v>
      </c>
      <c r="U936">
        <v>1</v>
      </c>
    </row>
    <row r="937" spans="1:21" x14ac:dyDescent="0.3">
      <c r="A937" t="s">
        <v>1042</v>
      </c>
      <c r="B937" s="1">
        <v>46037</v>
      </c>
      <c r="C937" s="1">
        <v>46038</v>
      </c>
      <c r="D937" s="1">
        <v>46042</v>
      </c>
      <c r="E937" s="1">
        <v>46042</v>
      </c>
      <c r="F937" t="s">
        <v>34</v>
      </c>
      <c r="G937" t="s">
        <v>60</v>
      </c>
      <c r="H937" t="s">
        <v>22</v>
      </c>
      <c r="I937" t="s">
        <v>42</v>
      </c>
      <c r="J937">
        <v>639.1</v>
      </c>
      <c r="K937">
        <v>5726.4</v>
      </c>
      <c r="L937">
        <v>13704000</v>
      </c>
      <c r="M937" t="b">
        <v>0</v>
      </c>
      <c r="N937" t="b">
        <v>0</v>
      </c>
      <c r="O937">
        <v>16000</v>
      </c>
      <c r="P937" t="b">
        <v>0</v>
      </c>
      <c r="Q937" t="b">
        <v>0</v>
      </c>
      <c r="R937" t="b">
        <v>0</v>
      </c>
      <c r="S937" t="s">
        <v>96</v>
      </c>
      <c r="T937" t="s">
        <v>104</v>
      </c>
    </row>
    <row r="938" spans="1:21" x14ac:dyDescent="0.3">
      <c r="A938" t="s">
        <v>1043</v>
      </c>
      <c r="B938" s="1">
        <v>46027</v>
      </c>
      <c r="C938" s="1">
        <v>46028</v>
      </c>
      <c r="D938" s="1">
        <v>46031</v>
      </c>
      <c r="E938" s="1">
        <v>46031</v>
      </c>
      <c r="F938" t="s">
        <v>32</v>
      </c>
      <c r="G938" t="s">
        <v>60</v>
      </c>
      <c r="H938" t="s">
        <v>24</v>
      </c>
      <c r="I938" t="s">
        <v>45</v>
      </c>
      <c r="J938">
        <v>485.7</v>
      </c>
      <c r="K938">
        <v>401.4</v>
      </c>
      <c r="L938">
        <v>4218000</v>
      </c>
      <c r="M938" t="b">
        <v>0</v>
      </c>
      <c r="N938" t="b">
        <v>0</v>
      </c>
      <c r="O938">
        <v>1000</v>
      </c>
      <c r="P938" t="b">
        <v>0</v>
      </c>
      <c r="Q938" t="b">
        <v>0</v>
      </c>
      <c r="R938" t="b">
        <v>0</v>
      </c>
      <c r="S938" t="s">
        <v>96</v>
      </c>
      <c r="T938" t="s">
        <v>104</v>
      </c>
    </row>
    <row r="939" spans="1:21" x14ac:dyDescent="0.3">
      <c r="A939" t="s">
        <v>1044</v>
      </c>
      <c r="B939" s="1">
        <v>46053</v>
      </c>
      <c r="C939" s="1">
        <v>46053</v>
      </c>
      <c r="D939" s="1">
        <v>46055</v>
      </c>
      <c r="E939" s="1">
        <v>46055</v>
      </c>
      <c r="F939" t="s">
        <v>34</v>
      </c>
      <c r="G939" t="s">
        <v>57</v>
      </c>
      <c r="H939" t="s">
        <v>21</v>
      </c>
      <c r="I939" t="s">
        <v>45</v>
      </c>
      <c r="J939">
        <v>147</v>
      </c>
      <c r="K939">
        <v>772.5</v>
      </c>
      <c r="L939">
        <v>1685000</v>
      </c>
      <c r="M939" t="b">
        <v>0</v>
      </c>
      <c r="N939" t="b">
        <v>0</v>
      </c>
      <c r="O939">
        <v>1000</v>
      </c>
      <c r="P939" t="b">
        <v>0</v>
      </c>
      <c r="Q939" t="b">
        <v>0</v>
      </c>
      <c r="R939" t="b">
        <v>0</v>
      </c>
      <c r="S939" t="s">
        <v>96</v>
      </c>
      <c r="T939" t="s">
        <v>104</v>
      </c>
    </row>
    <row r="940" spans="1:21" x14ac:dyDescent="0.3">
      <c r="A940" t="s">
        <v>1045</v>
      </c>
      <c r="B940" s="1">
        <v>46059</v>
      </c>
      <c r="C940" s="1">
        <v>46060</v>
      </c>
      <c r="D940" s="1">
        <v>46062</v>
      </c>
      <c r="E940" s="1">
        <v>46062</v>
      </c>
      <c r="F940" t="s">
        <v>34</v>
      </c>
      <c r="G940" t="s">
        <v>52</v>
      </c>
      <c r="H940" t="s">
        <v>21</v>
      </c>
      <c r="I940" t="s">
        <v>44</v>
      </c>
      <c r="J940">
        <v>265.10000000000002</v>
      </c>
      <c r="K940">
        <v>1013.6</v>
      </c>
      <c r="L940">
        <v>3628000</v>
      </c>
      <c r="M940" t="b">
        <v>0</v>
      </c>
      <c r="N940" t="b">
        <v>0</v>
      </c>
      <c r="O940">
        <v>1500</v>
      </c>
      <c r="P940" t="b">
        <v>0</v>
      </c>
      <c r="Q940" t="b">
        <v>0</v>
      </c>
      <c r="R940" t="b">
        <v>0</v>
      </c>
      <c r="S940" t="s">
        <v>96</v>
      </c>
      <c r="T940" t="s">
        <v>115</v>
      </c>
    </row>
    <row r="941" spans="1:21" x14ac:dyDescent="0.3">
      <c r="A941" t="s">
        <v>1046</v>
      </c>
      <c r="B941" s="1">
        <v>46153</v>
      </c>
      <c r="C941" s="1">
        <v>46154</v>
      </c>
      <c r="D941" s="1">
        <v>46156</v>
      </c>
      <c r="E941" s="1">
        <v>46156</v>
      </c>
      <c r="F941" t="s">
        <v>34</v>
      </c>
      <c r="G941" t="s">
        <v>53</v>
      </c>
      <c r="H941" t="s">
        <v>21</v>
      </c>
      <c r="I941" t="s">
        <v>42</v>
      </c>
      <c r="J941">
        <v>290.3</v>
      </c>
      <c r="K941">
        <v>14910.4</v>
      </c>
      <c r="L941">
        <v>10155000</v>
      </c>
      <c r="M941" t="b">
        <v>0</v>
      </c>
      <c r="N941" t="b">
        <v>0</v>
      </c>
      <c r="O941">
        <v>16000</v>
      </c>
      <c r="P941" t="b">
        <v>0</v>
      </c>
      <c r="Q941" t="b">
        <v>0</v>
      </c>
      <c r="R941" t="b">
        <v>0</v>
      </c>
      <c r="S941" t="s">
        <v>96</v>
      </c>
      <c r="T941" t="s">
        <v>102</v>
      </c>
    </row>
    <row r="942" spans="1:21" x14ac:dyDescent="0.3">
      <c r="A942" t="s">
        <v>1047</v>
      </c>
      <c r="B942" s="1">
        <v>46179</v>
      </c>
      <c r="C942" s="1">
        <v>46180</v>
      </c>
      <c r="D942" s="1">
        <v>46183</v>
      </c>
      <c r="E942" s="1">
        <v>46184</v>
      </c>
      <c r="F942" t="s">
        <v>34</v>
      </c>
      <c r="G942" t="s">
        <v>54</v>
      </c>
      <c r="H942" t="s">
        <v>22</v>
      </c>
      <c r="I942" t="s">
        <v>43</v>
      </c>
      <c r="J942">
        <v>457.5</v>
      </c>
      <c r="K942">
        <v>2436.3000000000002</v>
      </c>
      <c r="L942">
        <v>7539000</v>
      </c>
      <c r="M942" t="b">
        <v>0</v>
      </c>
      <c r="N942" t="b">
        <v>0</v>
      </c>
      <c r="O942">
        <v>5000</v>
      </c>
      <c r="P942" t="b">
        <v>0</v>
      </c>
      <c r="Q942" t="b">
        <v>0</v>
      </c>
      <c r="R942" t="b">
        <v>0</v>
      </c>
      <c r="S942" t="s">
        <v>101</v>
      </c>
      <c r="T942" t="s">
        <v>99</v>
      </c>
      <c r="U942">
        <v>1</v>
      </c>
    </row>
    <row r="943" spans="1:21" x14ac:dyDescent="0.3">
      <c r="A943" t="s">
        <v>1048</v>
      </c>
      <c r="B943" s="1">
        <v>46177</v>
      </c>
      <c r="C943" s="1">
        <v>46178</v>
      </c>
      <c r="D943" s="1">
        <v>46180</v>
      </c>
      <c r="E943" s="1">
        <v>46179</v>
      </c>
      <c r="F943" t="s">
        <v>31</v>
      </c>
      <c r="G943" t="s">
        <v>53</v>
      </c>
      <c r="H943" t="s">
        <v>20</v>
      </c>
      <c r="I943" t="s">
        <v>43</v>
      </c>
      <c r="J943">
        <v>284</v>
      </c>
      <c r="K943">
        <v>650.1</v>
      </c>
      <c r="L943">
        <v>4309000</v>
      </c>
      <c r="M943" t="b">
        <v>0</v>
      </c>
      <c r="N943" t="b">
        <v>0</v>
      </c>
      <c r="O943">
        <v>5000</v>
      </c>
      <c r="P943" t="b">
        <v>0</v>
      </c>
      <c r="Q943" t="b">
        <v>0</v>
      </c>
      <c r="R943" t="b">
        <v>0</v>
      </c>
      <c r="S943" t="s">
        <v>96</v>
      </c>
      <c r="T943" t="s">
        <v>99</v>
      </c>
    </row>
    <row r="944" spans="1:21" x14ac:dyDescent="0.3">
      <c r="A944" t="s">
        <v>1049</v>
      </c>
      <c r="B944" s="1">
        <v>46091</v>
      </c>
      <c r="C944" s="1">
        <v>46092</v>
      </c>
      <c r="D944" s="1">
        <v>46095</v>
      </c>
      <c r="E944" s="1">
        <v>46095</v>
      </c>
      <c r="F944" t="s">
        <v>33</v>
      </c>
      <c r="G944" t="s">
        <v>53</v>
      </c>
      <c r="H944" t="s">
        <v>23</v>
      </c>
      <c r="I944" t="s">
        <v>42</v>
      </c>
      <c r="J944">
        <v>554.5</v>
      </c>
      <c r="K944">
        <v>13531.5</v>
      </c>
      <c r="L944">
        <v>14514000</v>
      </c>
      <c r="M944" t="b">
        <v>0</v>
      </c>
      <c r="N944" t="b">
        <v>0</v>
      </c>
      <c r="O944">
        <v>16000</v>
      </c>
      <c r="P944" t="b">
        <v>0</v>
      </c>
      <c r="Q944" t="b">
        <v>0</v>
      </c>
      <c r="R944" t="b">
        <v>0</v>
      </c>
      <c r="S944" t="s">
        <v>96</v>
      </c>
      <c r="T944" t="s">
        <v>118</v>
      </c>
    </row>
    <row r="945" spans="1:21" x14ac:dyDescent="0.3">
      <c r="A945" t="s">
        <v>1050</v>
      </c>
      <c r="B945" s="1">
        <v>46180</v>
      </c>
      <c r="C945" s="1">
        <v>46180</v>
      </c>
      <c r="D945" s="1">
        <v>46183</v>
      </c>
      <c r="E945" s="1">
        <v>46184</v>
      </c>
      <c r="F945" t="s">
        <v>31</v>
      </c>
      <c r="G945" t="s">
        <v>52</v>
      </c>
      <c r="H945" t="s">
        <v>22</v>
      </c>
      <c r="I945" t="s">
        <v>44</v>
      </c>
      <c r="J945">
        <v>287</v>
      </c>
      <c r="K945">
        <v>540.1</v>
      </c>
      <c r="L945">
        <v>3561000</v>
      </c>
      <c r="M945" t="b">
        <v>0</v>
      </c>
      <c r="N945" t="b">
        <v>0</v>
      </c>
      <c r="O945">
        <v>1500</v>
      </c>
      <c r="P945" t="b">
        <v>0</v>
      </c>
      <c r="Q945" t="b">
        <v>0</v>
      </c>
      <c r="R945" t="b">
        <v>0</v>
      </c>
      <c r="S945" t="s">
        <v>101</v>
      </c>
      <c r="T945" t="s">
        <v>99</v>
      </c>
      <c r="U945">
        <v>1</v>
      </c>
    </row>
    <row r="946" spans="1:21" x14ac:dyDescent="0.3">
      <c r="A946" t="s">
        <v>1051</v>
      </c>
      <c r="B946" s="1">
        <v>46100</v>
      </c>
      <c r="C946" s="1">
        <v>46102</v>
      </c>
      <c r="D946" s="1">
        <v>46105</v>
      </c>
      <c r="E946" s="1">
        <v>46105</v>
      </c>
      <c r="F946" t="s">
        <v>31</v>
      </c>
      <c r="G946" t="s">
        <v>54</v>
      </c>
      <c r="H946" t="s">
        <v>22</v>
      </c>
      <c r="I946" t="s">
        <v>42</v>
      </c>
      <c r="J946">
        <v>443.4</v>
      </c>
      <c r="K946">
        <v>10094.299999999999</v>
      </c>
      <c r="L946">
        <v>10144000</v>
      </c>
      <c r="M946" t="b">
        <v>0</v>
      </c>
      <c r="N946" t="b">
        <v>0</v>
      </c>
      <c r="O946">
        <v>16000</v>
      </c>
      <c r="P946" t="b">
        <v>0</v>
      </c>
      <c r="Q946" t="b">
        <v>0</v>
      </c>
      <c r="R946" t="b">
        <v>0</v>
      </c>
      <c r="S946" t="s">
        <v>96</v>
      </c>
      <c r="T946" t="s">
        <v>118</v>
      </c>
    </row>
    <row r="947" spans="1:21" x14ac:dyDescent="0.3">
      <c r="A947" t="s">
        <v>1052</v>
      </c>
      <c r="B947" s="1">
        <v>46046</v>
      </c>
      <c r="C947" s="1">
        <v>46046</v>
      </c>
      <c r="D947" s="1">
        <v>46048</v>
      </c>
      <c r="E947" s="1">
        <v>46049</v>
      </c>
      <c r="F947" t="s">
        <v>31</v>
      </c>
      <c r="G947" t="s">
        <v>61</v>
      </c>
      <c r="H947" t="s">
        <v>21</v>
      </c>
      <c r="I947" t="s">
        <v>44</v>
      </c>
      <c r="J947">
        <v>57.3</v>
      </c>
      <c r="K947">
        <v>1084</v>
      </c>
      <c r="L947">
        <v>1818000</v>
      </c>
      <c r="M947" t="b">
        <v>0</v>
      </c>
      <c r="N947" t="b">
        <v>0</v>
      </c>
      <c r="O947">
        <v>1500</v>
      </c>
      <c r="P947" t="b">
        <v>0</v>
      </c>
      <c r="Q947" t="b">
        <v>0</v>
      </c>
      <c r="R947" t="b">
        <v>0</v>
      </c>
      <c r="S947" t="s">
        <v>101</v>
      </c>
      <c r="T947" t="s">
        <v>104</v>
      </c>
      <c r="U947">
        <v>1</v>
      </c>
    </row>
    <row r="948" spans="1:21" x14ac:dyDescent="0.3">
      <c r="A948" t="s">
        <v>1053</v>
      </c>
      <c r="B948" s="1">
        <v>46036</v>
      </c>
      <c r="C948" s="1">
        <v>46036</v>
      </c>
      <c r="D948" s="1">
        <v>46040</v>
      </c>
      <c r="E948" s="1">
        <v>46043</v>
      </c>
      <c r="F948" t="s">
        <v>33</v>
      </c>
      <c r="G948" t="s">
        <v>54</v>
      </c>
      <c r="H948" t="s">
        <v>22</v>
      </c>
      <c r="I948" t="s">
        <v>43</v>
      </c>
      <c r="J948">
        <v>897.6</v>
      </c>
      <c r="K948">
        <v>4399.8999999999996</v>
      </c>
      <c r="L948">
        <v>13321000</v>
      </c>
      <c r="M948" t="b">
        <v>0</v>
      </c>
      <c r="N948" t="b">
        <v>0</v>
      </c>
      <c r="O948">
        <v>5000</v>
      </c>
      <c r="P948" t="b">
        <v>0</v>
      </c>
      <c r="Q948" t="b">
        <v>0</v>
      </c>
      <c r="R948" t="b">
        <v>0</v>
      </c>
      <c r="S948" t="s">
        <v>101</v>
      </c>
      <c r="T948" t="s">
        <v>104</v>
      </c>
      <c r="U948">
        <v>3</v>
      </c>
    </row>
    <row r="949" spans="1:21" x14ac:dyDescent="0.3">
      <c r="A949" t="s">
        <v>1054</v>
      </c>
      <c r="B949" s="1">
        <v>46040</v>
      </c>
      <c r="C949" s="1">
        <v>46041</v>
      </c>
      <c r="D949" s="1">
        <v>46045</v>
      </c>
      <c r="E949" s="1">
        <v>46045</v>
      </c>
      <c r="F949" t="s">
        <v>34</v>
      </c>
      <c r="G949" t="s">
        <v>62</v>
      </c>
      <c r="H949" t="s">
        <v>20</v>
      </c>
      <c r="I949" t="s">
        <v>43</v>
      </c>
      <c r="J949">
        <v>686.4</v>
      </c>
      <c r="K949">
        <v>2722.3</v>
      </c>
      <c r="L949">
        <v>9763000</v>
      </c>
      <c r="M949" t="b">
        <v>0</v>
      </c>
      <c r="N949" t="b">
        <v>0</v>
      </c>
      <c r="O949">
        <v>5000</v>
      </c>
      <c r="P949" t="b">
        <v>0</v>
      </c>
      <c r="Q949" t="b">
        <v>0</v>
      </c>
      <c r="R949" t="b">
        <v>0</v>
      </c>
      <c r="S949" t="s">
        <v>96</v>
      </c>
      <c r="T949" t="s">
        <v>104</v>
      </c>
    </row>
    <row r="950" spans="1:21" x14ac:dyDescent="0.3">
      <c r="A950" t="s">
        <v>1055</v>
      </c>
      <c r="B950" s="1">
        <v>46196</v>
      </c>
      <c r="C950" s="1">
        <v>46197</v>
      </c>
      <c r="D950" s="1">
        <v>46200</v>
      </c>
      <c r="E950" s="1">
        <v>46201</v>
      </c>
      <c r="F950" t="s">
        <v>34</v>
      </c>
      <c r="G950" t="s">
        <v>63</v>
      </c>
      <c r="H950" t="s">
        <v>20</v>
      </c>
      <c r="I950" t="s">
        <v>42</v>
      </c>
      <c r="J950">
        <v>316.3</v>
      </c>
      <c r="K950">
        <v>11589</v>
      </c>
      <c r="L950">
        <v>8798000</v>
      </c>
      <c r="M950" t="b">
        <v>0</v>
      </c>
      <c r="N950" t="b">
        <v>0</v>
      </c>
      <c r="O950">
        <v>16000</v>
      </c>
      <c r="P950" t="b">
        <v>0</v>
      </c>
      <c r="Q950" t="b">
        <v>0</v>
      </c>
      <c r="R950" t="b">
        <v>0</v>
      </c>
      <c r="S950" t="s">
        <v>101</v>
      </c>
      <c r="T950" t="s">
        <v>99</v>
      </c>
      <c r="U950">
        <v>1</v>
      </c>
    </row>
    <row r="951" spans="1:21" x14ac:dyDescent="0.3">
      <c r="A951" t="s">
        <v>1056</v>
      </c>
      <c r="B951" s="1">
        <v>46137</v>
      </c>
      <c r="C951" s="1">
        <v>46138</v>
      </c>
      <c r="D951" s="1">
        <v>46139</v>
      </c>
      <c r="E951" s="1">
        <v>46139</v>
      </c>
      <c r="F951" t="s">
        <v>34</v>
      </c>
      <c r="G951" t="s">
        <v>61</v>
      </c>
      <c r="H951" t="s">
        <v>24</v>
      </c>
      <c r="I951" t="s">
        <v>44</v>
      </c>
      <c r="J951">
        <v>22.8</v>
      </c>
      <c r="K951">
        <v>931.9</v>
      </c>
      <c r="L951">
        <v>1219000</v>
      </c>
      <c r="M951" t="b">
        <v>0</v>
      </c>
      <c r="N951" t="b">
        <v>0</v>
      </c>
      <c r="O951">
        <v>1500</v>
      </c>
      <c r="P951" t="b">
        <v>0</v>
      </c>
      <c r="Q951" t="b">
        <v>0</v>
      </c>
      <c r="R951" t="b">
        <v>0</v>
      </c>
      <c r="S951" t="s">
        <v>96</v>
      </c>
      <c r="T951" t="s">
        <v>112</v>
      </c>
    </row>
    <row r="952" spans="1:21" x14ac:dyDescent="0.3">
      <c r="A952" t="s">
        <v>1057</v>
      </c>
      <c r="B952" s="1">
        <v>46187</v>
      </c>
      <c r="C952" s="1">
        <v>46188</v>
      </c>
      <c r="D952" s="1">
        <v>46190</v>
      </c>
      <c r="E952" s="1">
        <v>46190</v>
      </c>
      <c r="F952" t="s">
        <v>32</v>
      </c>
      <c r="G952" t="s">
        <v>53</v>
      </c>
      <c r="H952" t="s">
        <v>24</v>
      </c>
      <c r="I952" t="s">
        <v>44</v>
      </c>
      <c r="J952">
        <v>258.5</v>
      </c>
      <c r="K952">
        <v>709.9</v>
      </c>
      <c r="L952">
        <v>3399000</v>
      </c>
      <c r="M952" t="b">
        <v>0</v>
      </c>
      <c r="N952" t="b">
        <v>0</v>
      </c>
      <c r="O952">
        <v>1500</v>
      </c>
      <c r="P952" t="b">
        <v>0</v>
      </c>
      <c r="Q952" t="b">
        <v>0</v>
      </c>
      <c r="R952" t="b">
        <v>0</v>
      </c>
      <c r="S952" t="s">
        <v>96</v>
      </c>
      <c r="T952" t="s">
        <v>99</v>
      </c>
    </row>
    <row r="953" spans="1:21" x14ac:dyDescent="0.3">
      <c r="A953" t="s">
        <v>1058</v>
      </c>
      <c r="B953" s="1">
        <v>46112</v>
      </c>
      <c r="C953" s="1">
        <v>46113</v>
      </c>
      <c r="D953" s="1">
        <v>46115</v>
      </c>
      <c r="E953" s="1">
        <v>46115</v>
      </c>
      <c r="F953" t="s">
        <v>34</v>
      </c>
      <c r="G953" t="s">
        <v>61</v>
      </c>
      <c r="H953" t="s">
        <v>21</v>
      </c>
      <c r="I953" t="s">
        <v>44</v>
      </c>
      <c r="J953">
        <v>15.5</v>
      </c>
      <c r="K953">
        <v>296.8</v>
      </c>
      <c r="L953">
        <v>745000</v>
      </c>
      <c r="M953" t="b">
        <v>0</v>
      </c>
      <c r="N953" t="b">
        <v>0</v>
      </c>
      <c r="O953">
        <v>1500</v>
      </c>
      <c r="P953" t="b">
        <v>0</v>
      </c>
      <c r="Q953" t="b">
        <v>0</v>
      </c>
      <c r="R953" t="b">
        <v>0</v>
      </c>
      <c r="S953" t="s">
        <v>96</v>
      </c>
      <c r="T953" t="s">
        <v>112</v>
      </c>
    </row>
    <row r="954" spans="1:21" x14ac:dyDescent="0.3">
      <c r="A954" t="s">
        <v>1059</v>
      </c>
      <c r="B954" s="1">
        <v>46189</v>
      </c>
      <c r="C954" s="1">
        <v>46190</v>
      </c>
      <c r="D954" s="1">
        <v>46192</v>
      </c>
      <c r="E954" s="1">
        <v>46192</v>
      </c>
      <c r="F954" t="s">
        <v>34</v>
      </c>
      <c r="G954" t="s">
        <v>52</v>
      </c>
      <c r="H954" t="s">
        <v>23</v>
      </c>
      <c r="I954" t="s">
        <v>44</v>
      </c>
      <c r="J954">
        <v>269.60000000000002</v>
      </c>
      <c r="K954">
        <v>1041.4000000000001</v>
      </c>
      <c r="L954">
        <v>3054000</v>
      </c>
      <c r="M954" t="b">
        <v>0</v>
      </c>
      <c r="N954" t="b">
        <v>0</v>
      </c>
      <c r="O954">
        <v>1500</v>
      </c>
      <c r="P954" t="b">
        <v>0</v>
      </c>
      <c r="Q954" t="b">
        <v>0</v>
      </c>
      <c r="R954" t="b">
        <v>0</v>
      </c>
      <c r="S954" t="s">
        <v>96</v>
      </c>
      <c r="T954" t="s">
        <v>99</v>
      </c>
    </row>
    <row r="955" spans="1:21" x14ac:dyDescent="0.3">
      <c r="A955" t="s">
        <v>1060</v>
      </c>
      <c r="B955" s="1">
        <v>46156</v>
      </c>
      <c r="C955" s="1">
        <v>46158</v>
      </c>
      <c r="D955" s="1">
        <v>46161</v>
      </c>
      <c r="E955" s="1">
        <v>46160</v>
      </c>
      <c r="F955" t="s">
        <v>34</v>
      </c>
      <c r="G955" t="s">
        <v>63</v>
      </c>
      <c r="H955" t="s">
        <v>20</v>
      </c>
      <c r="I955" t="s">
        <v>45</v>
      </c>
      <c r="J955">
        <v>341.5</v>
      </c>
      <c r="K955">
        <v>472.1</v>
      </c>
      <c r="L955">
        <v>3536000</v>
      </c>
      <c r="M955" t="b">
        <v>0</v>
      </c>
      <c r="N955" t="b">
        <v>0</v>
      </c>
      <c r="O955">
        <v>1000</v>
      </c>
      <c r="P955" t="b">
        <v>0</v>
      </c>
      <c r="Q955" t="b">
        <v>0</v>
      </c>
      <c r="R955" t="b">
        <v>0</v>
      </c>
      <c r="S955" t="s">
        <v>96</v>
      </c>
      <c r="T955" t="s">
        <v>102</v>
      </c>
    </row>
    <row r="956" spans="1:21" x14ac:dyDescent="0.3">
      <c r="A956" t="s">
        <v>1061</v>
      </c>
      <c r="B956" s="1">
        <v>46097</v>
      </c>
      <c r="C956" s="1">
        <v>46098</v>
      </c>
      <c r="D956" s="1">
        <v>46102</v>
      </c>
      <c r="E956" s="1">
        <v>46104</v>
      </c>
      <c r="F956" t="s">
        <v>34</v>
      </c>
      <c r="G956" t="s">
        <v>59</v>
      </c>
      <c r="H956" t="s">
        <v>24</v>
      </c>
      <c r="I956" t="s">
        <v>45</v>
      </c>
      <c r="J956">
        <v>322.5</v>
      </c>
      <c r="K956">
        <v>448</v>
      </c>
      <c r="L956">
        <v>3711000</v>
      </c>
      <c r="M956" t="b">
        <v>0</v>
      </c>
      <c r="N956" t="b">
        <v>0</v>
      </c>
      <c r="O956">
        <v>1000</v>
      </c>
      <c r="P956" t="b">
        <v>0</v>
      </c>
      <c r="Q956" t="b">
        <v>0</v>
      </c>
      <c r="R956" t="b">
        <v>0</v>
      </c>
      <c r="S956" t="s">
        <v>101</v>
      </c>
      <c r="T956" t="s">
        <v>118</v>
      </c>
      <c r="U956">
        <v>2</v>
      </c>
    </row>
    <row r="957" spans="1:21" x14ac:dyDescent="0.3">
      <c r="A957" t="s">
        <v>1062</v>
      </c>
      <c r="B957" s="1">
        <v>46039</v>
      </c>
      <c r="C957" s="1">
        <v>46039</v>
      </c>
      <c r="D957" s="1">
        <v>46043</v>
      </c>
      <c r="E957" s="1">
        <v>46043</v>
      </c>
      <c r="F957" t="s">
        <v>33</v>
      </c>
      <c r="G957" t="s">
        <v>56</v>
      </c>
      <c r="H957" t="s">
        <v>21</v>
      </c>
      <c r="I957" t="s">
        <v>42</v>
      </c>
      <c r="J957">
        <v>1506.6</v>
      </c>
      <c r="K957">
        <v>9156.2000000000007</v>
      </c>
      <c r="L957">
        <v>30698000</v>
      </c>
      <c r="M957" t="b">
        <v>0</v>
      </c>
      <c r="N957" t="b">
        <v>0</v>
      </c>
      <c r="O957">
        <v>16000</v>
      </c>
      <c r="P957" t="b">
        <v>0</v>
      </c>
      <c r="Q957" t="b">
        <v>0</v>
      </c>
      <c r="R957" t="b">
        <v>0</v>
      </c>
      <c r="S957" t="s">
        <v>96</v>
      </c>
      <c r="T957" t="s">
        <v>104</v>
      </c>
    </row>
    <row r="958" spans="1:21" x14ac:dyDescent="0.3">
      <c r="A958" t="s">
        <v>1063</v>
      </c>
      <c r="B958" s="1">
        <v>46085</v>
      </c>
      <c r="C958" s="1">
        <v>46086</v>
      </c>
      <c r="D958" s="1">
        <v>46089</v>
      </c>
      <c r="E958" s="1">
        <v>46089</v>
      </c>
      <c r="F958" t="s">
        <v>31</v>
      </c>
      <c r="G958" t="s">
        <v>63</v>
      </c>
      <c r="H958" t="s">
        <v>20</v>
      </c>
      <c r="I958" t="s">
        <v>45</v>
      </c>
      <c r="J958">
        <v>311.8</v>
      </c>
      <c r="K958">
        <v>690.5</v>
      </c>
      <c r="L958">
        <v>3723000</v>
      </c>
      <c r="M958" t="b">
        <v>0</v>
      </c>
      <c r="N958" t="b">
        <v>0</v>
      </c>
      <c r="O958">
        <v>1000</v>
      </c>
      <c r="P958" t="b">
        <v>0</v>
      </c>
      <c r="Q958" t="b">
        <v>0</v>
      </c>
      <c r="R958" t="b">
        <v>0</v>
      </c>
      <c r="S958" t="s">
        <v>96</v>
      </c>
      <c r="T958" t="s">
        <v>118</v>
      </c>
    </row>
    <row r="959" spans="1:21" x14ac:dyDescent="0.3">
      <c r="A959" t="s">
        <v>1064</v>
      </c>
      <c r="B959" s="1">
        <v>46150</v>
      </c>
      <c r="C959" s="1">
        <v>46151</v>
      </c>
      <c r="D959" s="1">
        <v>46155</v>
      </c>
      <c r="E959" s="1">
        <v>46157</v>
      </c>
      <c r="F959" t="s">
        <v>31</v>
      </c>
      <c r="G959" t="s">
        <v>60</v>
      </c>
      <c r="H959" t="s">
        <v>20</v>
      </c>
      <c r="I959" t="s">
        <v>44</v>
      </c>
      <c r="J959">
        <v>550.4</v>
      </c>
      <c r="K959">
        <v>420.3</v>
      </c>
      <c r="L959">
        <v>5529000</v>
      </c>
      <c r="M959" t="b">
        <v>0</v>
      </c>
      <c r="N959" t="b">
        <v>0</v>
      </c>
      <c r="O959">
        <v>1500</v>
      </c>
      <c r="P959" t="b">
        <v>0</v>
      </c>
      <c r="Q959" t="b">
        <v>0</v>
      </c>
      <c r="R959" t="b">
        <v>0</v>
      </c>
      <c r="S959" t="s">
        <v>101</v>
      </c>
      <c r="T959" t="s">
        <v>102</v>
      </c>
      <c r="U959">
        <v>2</v>
      </c>
    </row>
    <row r="960" spans="1:21" x14ac:dyDescent="0.3">
      <c r="A960" t="s">
        <v>1065</v>
      </c>
      <c r="B960" s="1">
        <v>46201</v>
      </c>
      <c r="C960" s="1">
        <v>46202</v>
      </c>
      <c r="D960" s="1">
        <v>46205</v>
      </c>
      <c r="E960" s="1">
        <v>46205</v>
      </c>
      <c r="F960" t="s">
        <v>31</v>
      </c>
      <c r="G960" t="s">
        <v>59</v>
      </c>
      <c r="H960" t="s">
        <v>23</v>
      </c>
      <c r="I960" t="s">
        <v>43</v>
      </c>
      <c r="J960">
        <v>311.60000000000002</v>
      </c>
      <c r="K960">
        <v>3482.3</v>
      </c>
      <c r="L960">
        <v>5890000</v>
      </c>
      <c r="M960" t="b">
        <v>0</v>
      </c>
      <c r="N960" t="b">
        <v>0</v>
      </c>
      <c r="O960">
        <v>5000</v>
      </c>
      <c r="P960" t="b">
        <v>0</v>
      </c>
      <c r="Q960" t="b">
        <v>0</v>
      </c>
      <c r="R960" t="b">
        <v>0</v>
      </c>
      <c r="S960" t="s">
        <v>96</v>
      </c>
      <c r="T960" t="s">
        <v>99</v>
      </c>
    </row>
    <row r="961" spans="1:21" x14ac:dyDescent="0.3">
      <c r="A961" t="s">
        <v>1066</v>
      </c>
      <c r="B961" s="1">
        <v>46103</v>
      </c>
      <c r="C961" s="1">
        <v>46104</v>
      </c>
      <c r="D961" s="1">
        <v>46107</v>
      </c>
      <c r="E961" s="1">
        <v>46106</v>
      </c>
      <c r="F961" t="s">
        <v>32</v>
      </c>
      <c r="G961" t="s">
        <v>60</v>
      </c>
      <c r="H961" t="s">
        <v>24</v>
      </c>
      <c r="I961" t="s">
        <v>44</v>
      </c>
      <c r="J961">
        <v>486.7</v>
      </c>
      <c r="K961">
        <v>976</v>
      </c>
      <c r="L961">
        <v>5654000</v>
      </c>
      <c r="M961" t="b">
        <v>0</v>
      </c>
      <c r="N961" t="b">
        <v>0</v>
      </c>
      <c r="O961">
        <v>1500</v>
      </c>
      <c r="P961" t="b">
        <v>0</v>
      </c>
      <c r="Q961" t="b">
        <v>0</v>
      </c>
      <c r="R961" t="b">
        <v>0</v>
      </c>
      <c r="S961" t="s">
        <v>96</v>
      </c>
      <c r="T961" t="s">
        <v>118</v>
      </c>
    </row>
    <row r="962" spans="1:21" x14ac:dyDescent="0.3">
      <c r="A962" t="s">
        <v>1067</v>
      </c>
      <c r="B962" s="1">
        <v>46103</v>
      </c>
      <c r="C962" s="1">
        <v>46102</v>
      </c>
      <c r="D962" s="1">
        <v>46106</v>
      </c>
      <c r="E962" s="1">
        <v>46106</v>
      </c>
      <c r="F962" t="s">
        <v>34</v>
      </c>
      <c r="G962" t="s">
        <v>61</v>
      </c>
      <c r="H962" t="s">
        <v>20</v>
      </c>
      <c r="I962" t="s">
        <v>42</v>
      </c>
      <c r="J962">
        <v>23.2</v>
      </c>
      <c r="K962">
        <v>13593.9</v>
      </c>
      <c r="L962">
        <v>5201000</v>
      </c>
      <c r="M962" t="b">
        <v>1</v>
      </c>
      <c r="N962" t="b">
        <v>0</v>
      </c>
      <c r="O962">
        <v>16000</v>
      </c>
      <c r="P962" t="b">
        <v>0</v>
      </c>
      <c r="Q962" t="b">
        <v>0</v>
      </c>
      <c r="R962" t="b">
        <v>1</v>
      </c>
      <c r="S962" t="s">
        <v>260</v>
      </c>
      <c r="T962" t="s">
        <v>118</v>
      </c>
    </row>
    <row r="963" spans="1:21" x14ac:dyDescent="0.3">
      <c r="A963" t="s">
        <v>1068</v>
      </c>
      <c r="B963" s="1">
        <v>46160</v>
      </c>
      <c r="C963" s="1">
        <v>46160</v>
      </c>
      <c r="D963" s="1">
        <v>46163</v>
      </c>
      <c r="E963" s="1">
        <v>46163</v>
      </c>
      <c r="F963" t="s">
        <v>31</v>
      </c>
      <c r="G963" t="s">
        <v>60</v>
      </c>
      <c r="H963" t="s">
        <v>23</v>
      </c>
      <c r="I963" t="s">
        <v>42</v>
      </c>
      <c r="J963">
        <v>577.70000000000005</v>
      </c>
      <c r="K963">
        <v>2950.8</v>
      </c>
      <c r="L963">
        <v>13551000</v>
      </c>
      <c r="M963" t="b">
        <v>0</v>
      </c>
      <c r="N963" t="b">
        <v>0</v>
      </c>
      <c r="O963">
        <v>16000</v>
      </c>
      <c r="P963" t="b">
        <v>0</v>
      </c>
      <c r="Q963" t="b">
        <v>0</v>
      </c>
      <c r="R963" t="b">
        <v>0</v>
      </c>
      <c r="S963" t="s">
        <v>96</v>
      </c>
      <c r="T963" t="s">
        <v>102</v>
      </c>
    </row>
    <row r="964" spans="1:21" x14ac:dyDescent="0.3">
      <c r="A964" t="s">
        <v>1069</v>
      </c>
      <c r="B964" s="1">
        <v>46191</v>
      </c>
      <c r="C964" s="1">
        <v>46192</v>
      </c>
      <c r="D964" s="1">
        <v>46194</v>
      </c>
      <c r="E964" s="1">
        <v>46196</v>
      </c>
      <c r="F964" t="s">
        <v>34</v>
      </c>
      <c r="G964" t="s">
        <v>57</v>
      </c>
      <c r="H964" t="s">
        <v>22</v>
      </c>
      <c r="I964" t="s">
        <v>45</v>
      </c>
      <c r="J964">
        <v>145.5</v>
      </c>
      <c r="K964">
        <v>888.6</v>
      </c>
      <c r="L964">
        <v>2047000</v>
      </c>
      <c r="M964" t="b">
        <v>0</v>
      </c>
      <c r="N964" t="b">
        <v>0</v>
      </c>
      <c r="O964">
        <v>1000</v>
      </c>
      <c r="P964" t="b">
        <v>0</v>
      </c>
      <c r="Q964" t="b">
        <v>0</v>
      </c>
      <c r="R964" t="b">
        <v>0</v>
      </c>
      <c r="S964" t="s">
        <v>101</v>
      </c>
      <c r="T964" t="s">
        <v>99</v>
      </c>
      <c r="U964">
        <v>2</v>
      </c>
    </row>
    <row r="965" spans="1:21" x14ac:dyDescent="0.3">
      <c r="A965" t="s">
        <v>1070</v>
      </c>
      <c r="B965" s="1">
        <v>46108</v>
      </c>
      <c r="C965" s="1">
        <v>46110</v>
      </c>
      <c r="D965" s="1">
        <v>46113</v>
      </c>
      <c r="E965" s="1">
        <v>46113</v>
      </c>
      <c r="F965" t="s">
        <v>31</v>
      </c>
      <c r="G965" t="s">
        <v>53</v>
      </c>
      <c r="H965" t="s">
        <v>24</v>
      </c>
      <c r="I965" t="s">
        <v>43</v>
      </c>
      <c r="J965">
        <v>300.10000000000002</v>
      </c>
      <c r="K965">
        <v>3192.7</v>
      </c>
      <c r="L965">
        <v>5596000</v>
      </c>
      <c r="M965" t="b">
        <v>0</v>
      </c>
      <c r="N965" t="b">
        <v>0</v>
      </c>
      <c r="O965">
        <v>5000</v>
      </c>
      <c r="P965" t="b">
        <v>0</v>
      </c>
      <c r="Q965" t="b">
        <v>0</v>
      </c>
      <c r="R965" t="b">
        <v>0</v>
      </c>
      <c r="S965" t="s">
        <v>96</v>
      </c>
      <c r="T965" t="s">
        <v>118</v>
      </c>
    </row>
    <row r="966" spans="1:21" x14ac:dyDescent="0.3">
      <c r="A966" t="s">
        <v>1071</v>
      </c>
      <c r="B966" s="1">
        <v>46073</v>
      </c>
      <c r="C966" s="1">
        <v>46075</v>
      </c>
      <c r="D966" s="1">
        <v>46077</v>
      </c>
      <c r="E966" s="1">
        <v>46077</v>
      </c>
      <c r="F966" t="s">
        <v>32</v>
      </c>
      <c r="G966" t="s">
        <v>58</v>
      </c>
      <c r="H966" t="s">
        <v>21</v>
      </c>
      <c r="I966" t="s">
        <v>43</v>
      </c>
      <c r="J966">
        <v>295.5</v>
      </c>
      <c r="K966">
        <v>691.1</v>
      </c>
      <c r="L966">
        <v>4524000</v>
      </c>
      <c r="M966" t="b">
        <v>0</v>
      </c>
      <c r="N966" t="b">
        <v>0</v>
      </c>
      <c r="O966">
        <v>5000</v>
      </c>
      <c r="P966" t="b">
        <v>0</v>
      </c>
      <c r="Q966" t="b">
        <v>0</v>
      </c>
      <c r="R966" t="b">
        <v>0</v>
      </c>
      <c r="S966" t="s">
        <v>96</v>
      </c>
      <c r="T966" t="s">
        <v>115</v>
      </c>
    </row>
    <row r="967" spans="1:21" x14ac:dyDescent="0.3">
      <c r="A967" t="s">
        <v>1072</v>
      </c>
      <c r="B967" s="1">
        <v>46118</v>
      </c>
      <c r="C967" s="1">
        <v>46119</v>
      </c>
      <c r="D967" s="1">
        <v>46120</v>
      </c>
      <c r="E967" s="1">
        <v>46120</v>
      </c>
      <c r="F967" t="s">
        <v>31</v>
      </c>
      <c r="G967" t="s">
        <v>61</v>
      </c>
      <c r="H967" t="s">
        <v>22</v>
      </c>
      <c r="I967" t="s">
        <v>43</v>
      </c>
      <c r="J967">
        <v>54.8</v>
      </c>
      <c r="K967">
        <v>1238.3</v>
      </c>
      <c r="L967">
        <v>1674000</v>
      </c>
      <c r="M967" t="b">
        <v>0</v>
      </c>
      <c r="N967" t="b">
        <v>0</v>
      </c>
      <c r="O967">
        <v>5000</v>
      </c>
      <c r="P967" t="b">
        <v>0</v>
      </c>
      <c r="Q967" t="b">
        <v>0</v>
      </c>
      <c r="R967" t="b">
        <v>0</v>
      </c>
      <c r="S967" t="s">
        <v>96</v>
      </c>
      <c r="T967" t="s">
        <v>112</v>
      </c>
    </row>
    <row r="968" spans="1:21" x14ac:dyDescent="0.3">
      <c r="A968" t="s">
        <v>1073</v>
      </c>
      <c r="B968" s="1">
        <v>46044</v>
      </c>
      <c r="C968" s="1">
        <v>46045</v>
      </c>
      <c r="D968" s="1">
        <v>46046</v>
      </c>
      <c r="E968" s="1">
        <v>46047</v>
      </c>
      <c r="F968" t="s">
        <v>34</v>
      </c>
      <c r="G968" t="s">
        <v>55</v>
      </c>
      <c r="H968" t="s">
        <v>22</v>
      </c>
      <c r="I968" t="s">
        <v>43</v>
      </c>
      <c r="J968">
        <v>59.6</v>
      </c>
      <c r="K968">
        <v>4294.3</v>
      </c>
      <c r="L968">
        <v>3220000</v>
      </c>
      <c r="M968" t="b">
        <v>0</v>
      </c>
      <c r="N968" t="b">
        <v>0</v>
      </c>
      <c r="O968">
        <v>5000</v>
      </c>
      <c r="P968" t="b">
        <v>0</v>
      </c>
      <c r="Q968" t="b">
        <v>0</v>
      </c>
      <c r="R968" t="b">
        <v>0</v>
      </c>
      <c r="S968" t="s">
        <v>101</v>
      </c>
      <c r="T968" t="s">
        <v>104</v>
      </c>
      <c r="U968">
        <v>1</v>
      </c>
    </row>
    <row r="969" spans="1:21" x14ac:dyDescent="0.3">
      <c r="A969" t="s">
        <v>1074</v>
      </c>
      <c r="B969" s="1">
        <v>46167</v>
      </c>
      <c r="C969" s="1">
        <v>46167</v>
      </c>
      <c r="D969" s="1">
        <v>46171</v>
      </c>
      <c r="E969" s="1">
        <v>46171</v>
      </c>
      <c r="F969" t="s">
        <v>33</v>
      </c>
      <c r="G969" t="s">
        <v>61</v>
      </c>
      <c r="H969" t="s">
        <v>23</v>
      </c>
      <c r="I969" t="s">
        <v>44</v>
      </c>
      <c r="J969">
        <v>612.70000000000005</v>
      </c>
      <c r="K969">
        <v>209</v>
      </c>
      <c r="L969">
        <v>6833000</v>
      </c>
      <c r="M969" t="b">
        <v>0</v>
      </c>
      <c r="N969" t="b">
        <v>0</v>
      </c>
      <c r="O969">
        <v>1500</v>
      </c>
      <c r="P969" t="b">
        <v>0</v>
      </c>
      <c r="Q969" t="b">
        <v>0</v>
      </c>
      <c r="R969" t="b">
        <v>0</v>
      </c>
      <c r="S969" t="s">
        <v>96</v>
      </c>
      <c r="T969" t="s">
        <v>102</v>
      </c>
    </row>
    <row r="970" spans="1:21" x14ac:dyDescent="0.3">
      <c r="A970" t="s">
        <v>1075</v>
      </c>
      <c r="B970" s="1">
        <v>46055</v>
      </c>
      <c r="C970" s="1">
        <v>46056</v>
      </c>
      <c r="D970" s="1">
        <v>46059</v>
      </c>
      <c r="E970" s="1">
        <v>46060</v>
      </c>
      <c r="F970" t="s">
        <v>33</v>
      </c>
      <c r="G970" t="s">
        <v>53</v>
      </c>
      <c r="H970" t="s">
        <v>22</v>
      </c>
      <c r="I970" t="s">
        <v>44</v>
      </c>
      <c r="J970">
        <v>550.1</v>
      </c>
      <c r="K970">
        <v>1258.5999999999999</v>
      </c>
      <c r="L970">
        <v>7531000</v>
      </c>
      <c r="M970" t="b">
        <v>0</v>
      </c>
      <c r="N970" t="b">
        <v>0</v>
      </c>
      <c r="O970">
        <v>1500</v>
      </c>
      <c r="P970" t="b">
        <v>0</v>
      </c>
      <c r="Q970" t="b">
        <v>0</v>
      </c>
      <c r="R970" t="b">
        <v>0</v>
      </c>
      <c r="S970" t="s">
        <v>101</v>
      </c>
      <c r="T970" t="s">
        <v>115</v>
      </c>
      <c r="U970">
        <v>1</v>
      </c>
    </row>
    <row r="971" spans="1:21" x14ac:dyDescent="0.3">
      <c r="A971" t="s">
        <v>1076</v>
      </c>
      <c r="B971" s="1">
        <v>46041</v>
      </c>
      <c r="C971" s="1">
        <v>46042</v>
      </c>
      <c r="D971" s="1">
        <v>46046</v>
      </c>
      <c r="E971" s="1">
        <v>46046</v>
      </c>
      <c r="F971" t="s">
        <v>33</v>
      </c>
      <c r="G971" t="s">
        <v>61</v>
      </c>
      <c r="H971" t="s">
        <v>22</v>
      </c>
      <c r="I971" t="s">
        <v>43</v>
      </c>
      <c r="J971">
        <v>670.2</v>
      </c>
      <c r="K971">
        <v>2988.8</v>
      </c>
      <c r="L971">
        <v>11503000</v>
      </c>
      <c r="M971" t="b">
        <v>0</v>
      </c>
      <c r="N971" t="b">
        <v>0</v>
      </c>
      <c r="O971">
        <v>5000</v>
      </c>
      <c r="P971" t="b">
        <v>0</v>
      </c>
      <c r="Q971" t="b">
        <v>0</v>
      </c>
      <c r="R971" t="b">
        <v>0</v>
      </c>
      <c r="S971" t="s">
        <v>96</v>
      </c>
      <c r="T971" t="s">
        <v>104</v>
      </c>
    </row>
    <row r="972" spans="1:21" x14ac:dyDescent="0.3">
      <c r="A972" t="s">
        <v>1077</v>
      </c>
      <c r="B972" s="1">
        <v>46047</v>
      </c>
      <c r="C972" s="1">
        <v>46049</v>
      </c>
      <c r="D972" s="1">
        <v>46052</v>
      </c>
      <c r="E972" s="1">
        <v>46055</v>
      </c>
      <c r="F972" t="s">
        <v>33</v>
      </c>
      <c r="G972" t="s">
        <v>53</v>
      </c>
      <c r="H972" t="s">
        <v>24</v>
      </c>
      <c r="I972" t="s">
        <v>43</v>
      </c>
      <c r="J972">
        <v>581.1</v>
      </c>
      <c r="K972">
        <v>2932.8</v>
      </c>
      <c r="L972">
        <v>8993000</v>
      </c>
      <c r="M972" t="b">
        <v>0</v>
      </c>
      <c r="N972" t="b">
        <v>0</v>
      </c>
      <c r="O972">
        <v>5000</v>
      </c>
      <c r="P972" t="b">
        <v>0</v>
      </c>
      <c r="Q972" t="b">
        <v>0</v>
      </c>
      <c r="R972" t="b">
        <v>0</v>
      </c>
      <c r="S972" t="s">
        <v>101</v>
      </c>
      <c r="T972" t="s">
        <v>104</v>
      </c>
      <c r="U972">
        <v>3</v>
      </c>
    </row>
    <row r="973" spans="1:21" x14ac:dyDescent="0.3">
      <c r="A973" t="s">
        <v>1078</v>
      </c>
      <c r="B973" s="1">
        <v>46164</v>
      </c>
      <c r="C973" s="1">
        <v>46165</v>
      </c>
      <c r="D973" s="1">
        <v>46167</v>
      </c>
      <c r="E973" s="1">
        <v>46169</v>
      </c>
      <c r="F973" t="s">
        <v>31</v>
      </c>
      <c r="G973" t="s">
        <v>52</v>
      </c>
      <c r="H973" t="s">
        <v>23</v>
      </c>
      <c r="I973" t="s">
        <v>43</v>
      </c>
      <c r="J973">
        <v>291.39999999999998</v>
      </c>
      <c r="K973">
        <v>565.1</v>
      </c>
      <c r="L973">
        <v>4000000</v>
      </c>
      <c r="M973" t="b">
        <v>0</v>
      </c>
      <c r="N973" t="b">
        <v>0</v>
      </c>
      <c r="O973">
        <v>5000</v>
      </c>
      <c r="P973" t="b">
        <v>0</v>
      </c>
      <c r="Q973" t="b">
        <v>0</v>
      </c>
      <c r="R973" t="b">
        <v>0</v>
      </c>
      <c r="S973" t="s">
        <v>101</v>
      </c>
      <c r="T973" t="s">
        <v>102</v>
      </c>
      <c r="U973">
        <v>2</v>
      </c>
    </row>
    <row r="974" spans="1:21" x14ac:dyDescent="0.3">
      <c r="A974" t="s">
        <v>1079</v>
      </c>
      <c r="B974" s="1">
        <v>46117</v>
      </c>
      <c r="C974" s="1">
        <v>46118</v>
      </c>
      <c r="D974" s="1">
        <v>46121</v>
      </c>
      <c r="E974" s="1">
        <v>46120</v>
      </c>
      <c r="F974" t="s">
        <v>33</v>
      </c>
      <c r="G974" t="s">
        <v>52</v>
      </c>
      <c r="H974" t="s">
        <v>23</v>
      </c>
      <c r="I974" t="s">
        <v>44</v>
      </c>
      <c r="J974">
        <v>560.79999999999995</v>
      </c>
      <c r="K974">
        <v>915.8</v>
      </c>
      <c r="L974">
        <v>6147000</v>
      </c>
      <c r="M974" t="b">
        <v>0</v>
      </c>
      <c r="N974" t="b">
        <v>0</v>
      </c>
      <c r="O974">
        <v>1500</v>
      </c>
      <c r="P974" t="b">
        <v>0</v>
      </c>
      <c r="Q974" t="b">
        <v>0</v>
      </c>
      <c r="R974" t="b">
        <v>0</v>
      </c>
      <c r="S974" t="s">
        <v>96</v>
      </c>
      <c r="T974" t="s">
        <v>112</v>
      </c>
    </row>
    <row r="975" spans="1:21" x14ac:dyDescent="0.3">
      <c r="A975" t="s">
        <v>1080</v>
      </c>
      <c r="B975" s="1">
        <v>46053</v>
      </c>
      <c r="C975" s="1">
        <v>46054</v>
      </c>
      <c r="D975" s="1">
        <v>46058</v>
      </c>
      <c r="E975" s="1">
        <v>46058</v>
      </c>
      <c r="F975" t="s">
        <v>33</v>
      </c>
      <c r="G975" t="s">
        <v>61</v>
      </c>
      <c r="H975" t="s">
        <v>23</v>
      </c>
      <c r="I975" t="s">
        <v>42</v>
      </c>
      <c r="J975">
        <v>637.5</v>
      </c>
      <c r="K975">
        <v>2686.7</v>
      </c>
      <c r="L975">
        <v>10443000</v>
      </c>
      <c r="M975" t="b">
        <v>0</v>
      </c>
      <c r="N975" t="b">
        <v>0</v>
      </c>
      <c r="O975">
        <v>16000</v>
      </c>
      <c r="P975" t="b">
        <v>0</v>
      </c>
      <c r="Q975" t="b">
        <v>0</v>
      </c>
      <c r="R975" t="b">
        <v>0</v>
      </c>
      <c r="S975" t="s">
        <v>96</v>
      </c>
      <c r="T975" t="s">
        <v>115</v>
      </c>
    </row>
    <row r="976" spans="1:21" x14ac:dyDescent="0.3">
      <c r="A976" t="s">
        <v>1081</v>
      </c>
      <c r="B976" s="1">
        <v>46036</v>
      </c>
      <c r="C976" s="1">
        <v>46037</v>
      </c>
      <c r="D976" s="1">
        <v>46040</v>
      </c>
      <c r="E976" s="1">
        <v>46040</v>
      </c>
      <c r="F976" t="s">
        <v>31</v>
      </c>
      <c r="G976" t="s">
        <v>54</v>
      </c>
      <c r="H976" t="s">
        <v>20</v>
      </c>
      <c r="I976" t="s">
        <v>42</v>
      </c>
      <c r="J976">
        <v>506.4</v>
      </c>
      <c r="K976">
        <v>8730.1500000000015</v>
      </c>
      <c r="L976">
        <v>12669000</v>
      </c>
      <c r="M976" t="b">
        <v>0</v>
      </c>
      <c r="N976" t="b">
        <v>0</v>
      </c>
      <c r="O976">
        <v>16000</v>
      </c>
      <c r="P976" t="b">
        <v>0</v>
      </c>
      <c r="Q976" t="b">
        <v>0</v>
      </c>
      <c r="R976" t="b">
        <v>0</v>
      </c>
      <c r="S976" t="s">
        <v>96</v>
      </c>
      <c r="T976" t="s">
        <v>104</v>
      </c>
    </row>
    <row r="977" spans="1:21" x14ac:dyDescent="0.3">
      <c r="A977" t="s">
        <v>1082</v>
      </c>
      <c r="B977" s="1">
        <v>46170</v>
      </c>
      <c r="C977" s="1">
        <v>46171</v>
      </c>
      <c r="D977" s="1">
        <v>46175</v>
      </c>
      <c r="E977" s="1">
        <v>46175</v>
      </c>
      <c r="F977" t="s">
        <v>34</v>
      </c>
      <c r="G977" t="s">
        <v>56</v>
      </c>
      <c r="H977" t="s">
        <v>21</v>
      </c>
      <c r="I977" t="s">
        <v>43</v>
      </c>
      <c r="J977">
        <v>871.5</v>
      </c>
      <c r="K977">
        <v>4473.3</v>
      </c>
      <c r="L977">
        <v>15590000</v>
      </c>
      <c r="M977" t="b">
        <v>0</v>
      </c>
      <c r="N977" t="b">
        <v>0</v>
      </c>
      <c r="O977">
        <v>5000</v>
      </c>
      <c r="P977" t="b">
        <v>0</v>
      </c>
      <c r="Q977" t="b">
        <v>0</v>
      </c>
      <c r="R977" t="b">
        <v>0</v>
      </c>
      <c r="S977" t="s">
        <v>96</v>
      </c>
      <c r="T977" t="s">
        <v>102</v>
      </c>
    </row>
    <row r="978" spans="1:21" x14ac:dyDescent="0.3">
      <c r="A978" t="s">
        <v>1083</v>
      </c>
      <c r="B978" s="1">
        <v>46062</v>
      </c>
      <c r="C978" s="1">
        <v>46063</v>
      </c>
      <c r="D978" s="1">
        <v>46066</v>
      </c>
      <c r="E978" s="1">
        <v>46066</v>
      </c>
      <c r="F978" t="s">
        <v>31</v>
      </c>
      <c r="G978" t="s">
        <v>60</v>
      </c>
      <c r="H978" t="s">
        <v>21</v>
      </c>
      <c r="I978" t="s">
        <v>43</v>
      </c>
      <c r="J978">
        <v>588.4</v>
      </c>
      <c r="K978">
        <v>2185</v>
      </c>
      <c r="L978">
        <v>7644000</v>
      </c>
      <c r="M978" t="b">
        <v>0</v>
      </c>
      <c r="N978" t="b">
        <v>0</v>
      </c>
      <c r="O978">
        <v>5000</v>
      </c>
      <c r="P978" t="b">
        <v>0</v>
      </c>
      <c r="Q978" t="b">
        <v>0</v>
      </c>
      <c r="R978" t="b">
        <v>0</v>
      </c>
      <c r="S978" t="s">
        <v>96</v>
      </c>
      <c r="T978" t="s">
        <v>115</v>
      </c>
    </row>
    <row r="979" spans="1:21" x14ac:dyDescent="0.3">
      <c r="A979" t="s">
        <v>1084</v>
      </c>
      <c r="B979" s="1">
        <v>46107</v>
      </c>
      <c r="C979" s="1">
        <v>46109</v>
      </c>
      <c r="D979" s="1">
        <v>46112</v>
      </c>
      <c r="E979" s="1">
        <v>46112</v>
      </c>
      <c r="F979" t="s">
        <v>34</v>
      </c>
      <c r="G979" t="s">
        <v>63</v>
      </c>
      <c r="H979" t="s">
        <v>20</v>
      </c>
      <c r="I979" t="s">
        <v>43</v>
      </c>
      <c r="J979">
        <v>308.5</v>
      </c>
      <c r="K979">
        <v>525.4</v>
      </c>
      <c r="L979">
        <v>4826000</v>
      </c>
      <c r="M979" t="b">
        <v>0</v>
      </c>
      <c r="N979" t="b">
        <v>0</v>
      </c>
      <c r="O979">
        <v>5000</v>
      </c>
      <c r="P979" t="b">
        <v>0</v>
      </c>
      <c r="Q979" t="b">
        <v>0</v>
      </c>
      <c r="R979" t="b">
        <v>0</v>
      </c>
      <c r="S979" t="s">
        <v>96</v>
      </c>
      <c r="T979" t="s">
        <v>118</v>
      </c>
    </row>
    <row r="980" spans="1:21" x14ac:dyDescent="0.3">
      <c r="A980" t="s">
        <v>1085</v>
      </c>
      <c r="B980" s="1">
        <v>46105</v>
      </c>
      <c r="C980" s="1">
        <v>46107</v>
      </c>
      <c r="D980" s="1">
        <v>46109</v>
      </c>
      <c r="E980" s="1">
        <v>46109</v>
      </c>
      <c r="F980" t="s">
        <v>32</v>
      </c>
      <c r="G980" t="s">
        <v>55</v>
      </c>
      <c r="H980" t="s">
        <v>23</v>
      </c>
      <c r="I980" t="s">
        <v>42</v>
      </c>
      <c r="J980">
        <v>125.9</v>
      </c>
      <c r="K980">
        <v>11586.1</v>
      </c>
      <c r="L980">
        <v>6498000</v>
      </c>
      <c r="M980" t="b">
        <v>0</v>
      </c>
      <c r="N980" t="b">
        <v>0</v>
      </c>
      <c r="O980">
        <v>16000</v>
      </c>
      <c r="P980" t="b">
        <v>0</v>
      </c>
      <c r="Q980" t="b">
        <v>0</v>
      </c>
      <c r="R980" t="b">
        <v>0</v>
      </c>
      <c r="S980" t="s">
        <v>96</v>
      </c>
      <c r="T980" t="s">
        <v>118</v>
      </c>
    </row>
    <row r="981" spans="1:21" x14ac:dyDescent="0.3">
      <c r="A981" t="s">
        <v>1086</v>
      </c>
      <c r="B981" s="1">
        <v>46200</v>
      </c>
      <c r="C981" s="1">
        <v>46201</v>
      </c>
      <c r="D981" s="1">
        <v>46205</v>
      </c>
      <c r="E981" s="1">
        <v>46205</v>
      </c>
      <c r="F981" t="s">
        <v>32</v>
      </c>
      <c r="G981" t="s">
        <v>56</v>
      </c>
      <c r="H981" t="s">
        <v>23</v>
      </c>
      <c r="I981" t="s">
        <v>43</v>
      </c>
      <c r="J981">
        <v>1089.2</v>
      </c>
      <c r="K981">
        <v>1112.5999999999999</v>
      </c>
      <c r="L981">
        <v>12156000</v>
      </c>
      <c r="M981" t="b">
        <v>0</v>
      </c>
      <c r="N981" t="b">
        <v>0</v>
      </c>
      <c r="O981">
        <v>5000</v>
      </c>
      <c r="P981" t="b">
        <v>0</v>
      </c>
      <c r="Q981" t="b">
        <v>0</v>
      </c>
      <c r="R981" t="b">
        <v>0</v>
      </c>
      <c r="S981" t="s">
        <v>96</v>
      </c>
      <c r="T981" t="s">
        <v>99</v>
      </c>
    </row>
    <row r="982" spans="1:21" x14ac:dyDescent="0.3">
      <c r="A982" t="s">
        <v>1087</v>
      </c>
      <c r="B982" s="1">
        <v>46077</v>
      </c>
      <c r="C982" s="1">
        <v>46079</v>
      </c>
      <c r="D982" s="1">
        <v>46082</v>
      </c>
      <c r="E982" s="1">
        <v>46082</v>
      </c>
      <c r="F982" t="s">
        <v>34</v>
      </c>
      <c r="G982" t="s">
        <v>60</v>
      </c>
      <c r="H982" t="s">
        <v>20</v>
      </c>
      <c r="I982" t="s">
        <v>42</v>
      </c>
      <c r="J982">
        <v>461.8</v>
      </c>
      <c r="K982">
        <v>9240.1</v>
      </c>
      <c r="L982">
        <v>11293000</v>
      </c>
      <c r="M982" t="b">
        <v>0</v>
      </c>
      <c r="N982" t="b">
        <v>0</v>
      </c>
      <c r="O982">
        <v>16000</v>
      </c>
      <c r="P982" t="b">
        <v>0</v>
      </c>
      <c r="Q982" t="b">
        <v>0</v>
      </c>
      <c r="R982" t="b">
        <v>0</v>
      </c>
      <c r="S982" t="s">
        <v>96</v>
      </c>
      <c r="T982" t="s">
        <v>115</v>
      </c>
    </row>
    <row r="983" spans="1:21" x14ac:dyDescent="0.3">
      <c r="A983" t="s">
        <v>1088</v>
      </c>
      <c r="B983" s="1">
        <v>46066</v>
      </c>
      <c r="C983" s="1">
        <v>46067</v>
      </c>
      <c r="D983" s="1">
        <v>46071</v>
      </c>
      <c r="E983" s="1">
        <v>46071</v>
      </c>
      <c r="F983" t="s">
        <v>34</v>
      </c>
      <c r="G983" t="s">
        <v>60</v>
      </c>
      <c r="H983" t="s">
        <v>21</v>
      </c>
      <c r="I983" t="s">
        <v>42</v>
      </c>
      <c r="J983">
        <v>635.1</v>
      </c>
      <c r="K983">
        <v>12408.3</v>
      </c>
      <c r="L983">
        <v>17736000</v>
      </c>
      <c r="M983" t="b">
        <v>0</v>
      </c>
      <c r="N983" t="b">
        <v>0</v>
      </c>
      <c r="O983">
        <v>16000</v>
      </c>
      <c r="P983" t="b">
        <v>0</v>
      </c>
      <c r="Q983" t="b">
        <v>0</v>
      </c>
      <c r="R983" t="b">
        <v>0</v>
      </c>
      <c r="S983" t="s">
        <v>96</v>
      </c>
      <c r="T983" t="s">
        <v>115</v>
      </c>
    </row>
    <row r="984" spans="1:21" x14ac:dyDescent="0.3">
      <c r="A984" t="s">
        <v>1089</v>
      </c>
      <c r="B984" s="1">
        <v>46060</v>
      </c>
      <c r="C984" s="1">
        <v>46062</v>
      </c>
      <c r="D984" s="1">
        <v>46064</v>
      </c>
      <c r="E984" s="1">
        <v>46065</v>
      </c>
      <c r="F984" t="s">
        <v>34</v>
      </c>
      <c r="G984" t="s">
        <v>52</v>
      </c>
      <c r="H984" t="s">
        <v>21</v>
      </c>
      <c r="I984" t="s">
        <v>44</v>
      </c>
      <c r="J984">
        <v>288</v>
      </c>
      <c r="K984">
        <v>430.7</v>
      </c>
      <c r="L984">
        <v>3353000</v>
      </c>
      <c r="M984" t="b">
        <v>0</v>
      </c>
      <c r="N984" t="b">
        <v>0</v>
      </c>
      <c r="O984">
        <v>1500</v>
      </c>
      <c r="P984" t="b">
        <v>0</v>
      </c>
      <c r="Q984" t="b">
        <v>0</v>
      </c>
      <c r="R984" t="b">
        <v>0</v>
      </c>
      <c r="S984" t="s">
        <v>101</v>
      </c>
      <c r="T984" t="s">
        <v>115</v>
      </c>
      <c r="U984">
        <v>1</v>
      </c>
    </row>
    <row r="985" spans="1:21" x14ac:dyDescent="0.3">
      <c r="A985" t="s">
        <v>1090</v>
      </c>
      <c r="B985" s="1">
        <v>46112</v>
      </c>
      <c r="C985" s="1">
        <v>46113</v>
      </c>
      <c r="D985" s="1">
        <v>46117</v>
      </c>
      <c r="E985" s="1">
        <v>46116</v>
      </c>
      <c r="F985" t="s">
        <v>32</v>
      </c>
      <c r="G985" t="s">
        <v>58</v>
      </c>
      <c r="H985" t="s">
        <v>23</v>
      </c>
      <c r="I985" t="s">
        <v>44</v>
      </c>
      <c r="J985">
        <v>309.3</v>
      </c>
      <c r="K985">
        <v>845.9</v>
      </c>
      <c r="L985">
        <v>3224000</v>
      </c>
      <c r="M985" t="b">
        <v>0</v>
      </c>
      <c r="N985" t="b">
        <v>0</v>
      </c>
      <c r="O985">
        <v>1500</v>
      </c>
      <c r="P985" t="b">
        <v>0</v>
      </c>
      <c r="Q985" t="b">
        <v>0</v>
      </c>
      <c r="R985" t="b">
        <v>0</v>
      </c>
      <c r="S985" t="s">
        <v>96</v>
      </c>
      <c r="T985" t="s">
        <v>112</v>
      </c>
    </row>
    <row r="986" spans="1:21" x14ac:dyDescent="0.3">
      <c r="A986" t="s">
        <v>1091</v>
      </c>
      <c r="B986" s="1">
        <v>46203</v>
      </c>
      <c r="C986" s="1">
        <v>46203</v>
      </c>
      <c r="D986" s="1">
        <v>46205</v>
      </c>
      <c r="E986" s="1">
        <v>46206</v>
      </c>
      <c r="F986" t="s">
        <v>32</v>
      </c>
      <c r="G986" t="s">
        <v>61</v>
      </c>
      <c r="H986" t="s">
        <v>20</v>
      </c>
      <c r="I986" t="s">
        <v>45</v>
      </c>
      <c r="J986">
        <v>143.6</v>
      </c>
      <c r="K986">
        <v>120.3</v>
      </c>
      <c r="L986">
        <v>1595000</v>
      </c>
      <c r="M986" t="b">
        <v>0</v>
      </c>
      <c r="N986" t="b">
        <v>0</v>
      </c>
      <c r="O986">
        <v>1000</v>
      </c>
      <c r="P986" t="b">
        <v>0</v>
      </c>
      <c r="Q986" t="b">
        <v>0</v>
      </c>
      <c r="R986" t="b">
        <v>0</v>
      </c>
      <c r="S986" t="s">
        <v>101</v>
      </c>
      <c r="T986" t="s">
        <v>99</v>
      </c>
      <c r="U986">
        <v>1</v>
      </c>
    </row>
    <row r="987" spans="1:21" x14ac:dyDescent="0.3">
      <c r="A987" t="s">
        <v>1092</v>
      </c>
      <c r="B987" s="1">
        <v>46131</v>
      </c>
      <c r="C987" s="1">
        <v>46132</v>
      </c>
      <c r="D987" s="1">
        <v>46136</v>
      </c>
      <c r="E987" s="1">
        <v>46136</v>
      </c>
      <c r="F987" t="s">
        <v>33</v>
      </c>
      <c r="G987" t="s">
        <v>54</v>
      </c>
      <c r="H987" t="s">
        <v>21</v>
      </c>
      <c r="I987" t="s">
        <v>43</v>
      </c>
      <c r="J987">
        <v>913.9</v>
      </c>
      <c r="K987">
        <v>1479.5</v>
      </c>
      <c r="L987">
        <v>12438000</v>
      </c>
      <c r="M987" t="b">
        <v>0</v>
      </c>
      <c r="N987" t="b">
        <v>0</v>
      </c>
      <c r="O987">
        <v>5000</v>
      </c>
      <c r="P987" t="b">
        <v>0</v>
      </c>
      <c r="Q987" t="b">
        <v>0</v>
      </c>
      <c r="R987" t="b">
        <v>0</v>
      </c>
      <c r="S987" t="s">
        <v>96</v>
      </c>
      <c r="T987" t="s">
        <v>112</v>
      </c>
    </row>
    <row r="988" spans="1:21" x14ac:dyDescent="0.3">
      <c r="A988" t="s">
        <v>1093</v>
      </c>
      <c r="B988" s="1">
        <v>46202</v>
      </c>
      <c r="C988" s="1">
        <v>46203</v>
      </c>
      <c r="D988" s="1">
        <v>46207</v>
      </c>
      <c r="E988" s="1">
        <v>46207</v>
      </c>
      <c r="F988" t="s">
        <v>34</v>
      </c>
      <c r="G988" t="s">
        <v>62</v>
      </c>
      <c r="H988" t="s">
        <v>24</v>
      </c>
      <c r="I988" t="s">
        <v>43</v>
      </c>
      <c r="J988">
        <v>801</v>
      </c>
      <c r="K988">
        <v>2490.6999999999998</v>
      </c>
      <c r="L988">
        <v>13160000</v>
      </c>
      <c r="M988" t="b">
        <v>0</v>
      </c>
      <c r="N988" t="b">
        <v>0</v>
      </c>
      <c r="O988">
        <v>5000</v>
      </c>
      <c r="P988" t="b">
        <v>0</v>
      </c>
      <c r="Q988" t="b">
        <v>0</v>
      </c>
      <c r="R988" t="b">
        <v>0</v>
      </c>
      <c r="S988" t="s">
        <v>96</v>
      </c>
      <c r="T988" t="s">
        <v>99</v>
      </c>
    </row>
    <row r="989" spans="1:21" x14ac:dyDescent="0.3">
      <c r="A989" t="s">
        <v>1094</v>
      </c>
      <c r="B989" s="1">
        <v>46109</v>
      </c>
      <c r="C989" s="1">
        <v>46110</v>
      </c>
      <c r="D989" s="1">
        <v>46113</v>
      </c>
      <c r="E989" s="1">
        <v>46113</v>
      </c>
      <c r="F989" t="s">
        <v>34</v>
      </c>
      <c r="G989" t="s">
        <v>63</v>
      </c>
      <c r="H989" t="s">
        <v>21</v>
      </c>
      <c r="I989" t="s">
        <v>44</v>
      </c>
      <c r="J989">
        <v>337</v>
      </c>
      <c r="K989">
        <v>580.6</v>
      </c>
      <c r="L989">
        <v>3572000</v>
      </c>
      <c r="M989" t="b">
        <v>0</v>
      </c>
      <c r="N989" t="b">
        <v>0</v>
      </c>
      <c r="O989">
        <v>1500</v>
      </c>
      <c r="P989" t="b">
        <v>0</v>
      </c>
      <c r="Q989" t="b">
        <v>0</v>
      </c>
      <c r="R989" t="b">
        <v>0</v>
      </c>
      <c r="S989" t="s">
        <v>96</v>
      </c>
      <c r="T989" t="s">
        <v>118</v>
      </c>
    </row>
    <row r="990" spans="1:21" x14ac:dyDescent="0.3">
      <c r="A990" t="s">
        <v>1095</v>
      </c>
      <c r="B990" s="1">
        <v>46130</v>
      </c>
      <c r="C990" s="1">
        <v>46131</v>
      </c>
      <c r="D990" s="1">
        <v>46135</v>
      </c>
      <c r="E990" s="1">
        <v>46136</v>
      </c>
      <c r="F990" t="s">
        <v>33</v>
      </c>
      <c r="G990" t="s">
        <v>54</v>
      </c>
      <c r="H990" t="s">
        <v>22</v>
      </c>
      <c r="I990" t="s">
        <v>45</v>
      </c>
      <c r="J990">
        <v>946.6</v>
      </c>
      <c r="K990">
        <v>684.1</v>
      </c>
      <c r="L990">
        <v>8818000</v>
      </c>
      <c r="M990" t="b">
        <v>0</v>
      </c>
      <c r="N990" t="b">
        <v>0</v>
      </c>
      <c r="O990">
        <v>1000</v>
      </c>
      <c r="P990" t="b">
        <v>0</v>
      </c>
      <c r="Q990" t="b">
        <v>0</v>
      </c>
      <c r="R990" t="b">
        <v>0</v>
      </c>
      <c r="S990" t="s">
        <v>101</v>
      </c>
      <c r="T990" t="s">
        <v>112</v>
      </c>
      <c r="U990">
        <v>1</v>
      </c>
    </row>
    <row r="991" spans="1:21" x14ac:dyDescent="0.3">
      <c r="A991" t="s">
        <v>1096</v>
      </c>
      <c r="B991" s="1">
        <v>46026</v>
      </c>
      <c r="C991" s="1">
        <v>46027</v>
      </c>
      <c r="D991" s="1">
        <v>46032</v>
      </c>
      <c r="E991" s="1">
        <v>46032</v>
      </c>
      <c r="F991" t="s">
        <v>34</v>
      </c>
      <c r="G991" t="s">
        <v>56</v>
      </c>
      <c r="H991" t="s">
        <v>21</v>
      </c>
      <c r="I991" t="s">
        <v>43</v>
      </c>
      <c r="J991">
        <v>1026.2</v>
      </c>
      <c r="K991">
        <v>2366.8000000000002</v>
      </c>
      <c r="L991">
        <v>13630000</v>
      </c>
      <c r="M991" t="b">
        <v>0</v>
      </c>
      <c r="N991" t="b">
        <v>0</v>
      </c>
      <c r="O991">
        <v>5000</v>
      </c>
      <c r="P991" t="b">
        <v>0</v>
      </c>
      <c r="Q991" t="b">
        <v>0</v>
      </c>
      <c r="R991" t="b">
        <v>0</v>
      </c>
      <c r="S991" t="s">
        <v>96</v>
      </c>
      <c r="T991" t="s">
        <v>104</v>
      </c>
    </row>
    <row r="992" spans="1:21" x14ac:dyDescent="0.3">
      <c r="A992" t="s">
        <v>1097</v>
      </c>
      <c r="B992" s="1">
        <v>46115</v>
      </c>
      <c r="C992" s="1">
        <v>46116</v>
      </c>
      <c r="D992" s="1">
        <v>46117</v>
      </c>
      <c r="E992" s="1">
        <v>46117</v>
      </c>
      <c r="F992" t="s">
        <v>34</v>
      </c>
      <c r="G992" t="s">
        <v>61</v>
      </c>
      <c r="H992" t="s">
        <v>20</v>
      </c>
      <c r="I992" t="s">
        <v>45</v>
      </c>
      <c r="J992">
        <v>31.6</v>
      </c>
      <c r="K992">
        <v>656.8</v>
      </c>
      <c r="L992">
        <v>983000</v>
      </c>
      <c r="M992" t="b">
        <v>0</v>
      </c>
      <c r="N992" t="b">
        <v>0</v>
      </c>
      <c r="O992">
        <v>1000</v>
      </c>
      <c r="P992" t="b">
        <v>0</v>
      </c>
      <c r="Q992" t="b">
        <v>0</v>
      </c>
      <c r="R992" t="b">
        <v>0</v>
      </c>
      <c r="S992" t="s">
        <v>96</v>
      </c>
      <c r="T992" t="s">
        <v>112</v>
      </c>
    </row>
    <row r="993" spans="1:21" x14ac:dyDescent="0.3">
      <c r="A993" t="s">
        <v>1098</v>
      </c>
      <c r="B993" s="1">
        <v>46181</v>
      </c>
      <c r="C993" s="1">
        <v>46182</v>
      </c>
      <c r="D993" s="1">
        <v>46186</v>
      </c>
      <c r="E993" s="1">
        <v>46186</v>
      </c>
      <c r="F993" t="s">
        <v>32</v>
      </c>
      <c r="G993" t="s">
        <v>62</v>
      </c>
      <c r="H993" t="s">
        <v>23</v>
      </c>
      <c r="I993" t="s">
        <v>43</v>
      </c>
      <c r="J993">
        <v>608</v>
      </c>
      <c r="K993">
        <v>1512</v>
      </c>
      <c r="L993">
        <v>8891000</v>
      </c>
      <c r="M993" t="b">
        <v>0</v>
      </c>
      <c r="N993" t="b">
        <v>0</v>
      </c>
      <c r="O993">
        <v>5000</v>
      </c>
      <c r="P993" t="b">
        <v>0</v>
      </c>
      <c r="Q993" t="b">
        <v>0</v>
      </c>
      <c r="R993" t="b">
        <v>0</v>
      </c>
      <c r="S993" t="s">
        <v>96</v>
      </c>
      <c r="T993" t="s">
        <v>99</v>
      </c>
    </row>
    <row r="994" spans="1:21" x14ac:dyDescent="0.3">
      <c r="A994" t="s">
        <v>1099</v>
      </c>
      <c r="B994" s="1">
        <v>46106</v>
      </c>
      <c r="C994" s="1">
        <v>46107</v>
      </c>
      <c r="D994" s="1">
        <v>46109</v>
      </c>
      <c r="E994" s="1">
        <v>46110</v>
      </c>
      <c r="F994" t="s">
        <v>31</v>
      </c>
      <c r="G994" t="s">
        <v>59</v>
      </c>
      <c r="H994" t="s">
        <v>22</v>
      </c>
      <c r="I994" t="s">
        <v>42</v>
      </c>
      <c r="J994">
        <v>296.5</v>
      </c>
      <c r="K994">
        <v>14667.3</v>
      </c>
      <c r="L994">
        <v>10617000</v>
      </c>
      <c r="M994" t="b">
        <v>0</v>
      </c>
      <c r="N994" t="b">
        <v>0</v>
      </c>
      <c r="O994">
        <v>16000</v>
      </c>
      <c r="P994" t="b">
        <v>0</v>
      </c>
      <c r="Q994" t="b">
        <v>0</v>
      </c>
      <c r="R994" t="b">
        <v>0</v>
      </c>
      <c r="S994" t="s">
        <v>101</v>
      </c>
      <c r="T994" t="s">
        <v>118</v>
      </c>
      <c r="U994">
        <v>1</v>
      </c>
    </row>
    <row r="995" spans="1:21" x14ac:dyDescent="0.3">
      <c r="A995" t="s">
        <v>1100</v>
      </c>
      <c r="B995" s="1">
        <v>46152</v>
      </c>
      <c r="C995" s="1">
        <v>46152</v>
      </c>
      <c r="D995" s="1">
        <v>46154</v>
      </c>
      <c r="E995" s="1">
        <v>46154</v>
      </c>
      <c r="F995" t="s">
        <v>32</v>
      </c>
      <c r="G995" t="s">
        <v>57</v>
      </c>
      <c r="H995" t="s">
        <v>20</v>
      </c>
      <c r="I995" t="s">
        <v>43</v>
      </c>
      <c r="J995">
        <v>22.7</v>
      </c>
      <c r="K995">
        <v>3391.3</v>
      </c>
      <c r="L995">
        <v>2333000</v>
      </c>
      <c r="M995" t="b">
        <v>0</v>
      </c>
      <c r="N995" t="b">
        <v>0</v>
      </c>
      <c r="O995">
        <v>5000</v>
      </c>
      <c r="P995" t="b">
        <v>0</v>
      </c>
      <c r="Q995" t="b">
        <v>0</v>
      </c>
      <c r="R995" t="b">
        <v>0</v>
      </c>
      <c r="S995" t="s">
        <v>96</v>
      </c>
      <c r="T995" t="s">
        <v>102</v>
      </c>
    </row>
    <row r="996" spans="1:21" x14ac:dyDescent="0.3">
      <c r="A996" t="s">
        <v>1101</v>
      </c>
      <c r="B996" s="1">
        <v>46174</v>
      </c>
      <c r="C996" s="1">
        <v>46175</v>
      </c>
      <c r="D996" s="1">
        <v>46179</v>
      </c>
      <c r="E996" s="1">
        <v>46179</v>
      </c>
      <c r="F996" t="s">
        <v>31</v>
      </c>
      <c r="G996" t="s">
        <v>62</v>
      </c>
      <c r="H996" t="s">
        <v>107</v>
      </c>
      <c r="I996" t="s">
        <v>44</v>
      </c>
      <c r="J996">
        <v>701</v>
      </c>
      <c r="K996">
        <v>262.89999999999998</v>
      </c>
      <c r="L996">
        <v>7481000</v>
      </c>
      <c r="M996" t="b">
        <v>0</v>
      </c>
      <c r="N996" t="b">
        <v>0</v>
      </c>
      <c r="O996">
        <v>1500</v>
      </c>
      <c r="P996" t="b">
        <v>0</v>
      </c>
      <c r="Q996" t="b">
        <v>0</v>
      </c>
      <c r="R996" t="b">
        <v>0</v>
      </c>
      <c r="S996" t="s">
        <v>96</v>
      </c>
      <c r="T996" t="s">
        <v>99</v>
      </c>
    </row>
    <row r="997" spans="1:21" x14ac:dyDescent="0.3">
      <c r="A997" t="s">
        <v>1102</v>
      </c>
      <c r="B997" s="1">
        <v>46117</v>
      </c>
      <c r="C997" s="1">
        <v>46118</v>
      </c>
      <c r="D997" s="1">
        <v>46122</v>
      </c>
      <c r="E997" s="1">
        <v>46123</v>
      </c>
      <c r="F997" t="s">
        <v>34</v>
      </c>
      <c r="G997" t="s">
        <v>56</v>
      </c>
      <c r="H997" t="s">
        <v>23</v>
      </c>
      <c r="I997" t="s">
        <v>43</v>
      </c>
      <c r="J997">
        <v>908.7</v>
      </c>
      <c r="K997">
        <v>1771.5</v>
      </c>
      <c r="L997">
        <v>12635000</v>
      </c>
      <c r="M997" t="b">
        <v>0</v>
      </c>
      <c r="N997" t="b">
        <v>0</v>
      </c>
      <c r="O997">
        <v>5000</v>
      </c>
      <c r="P997" t="b">
        <v>0</v>
      </c>
      <c r="Q997" t="b">
        <v>0</v>
      </c>
      <c r="R997" t="b">
        <v>0</v>
      </c>
      <c r="S997" t="s">
        <v>101</v>
      </c>
      <c r="T997" t="s">
        <v>112</v>
      </c>
      <c r="U997">
        <v>1</v>
      </c>
    </row>
    <row r="998" spans="1:21" x14ac:dyDescent="0.3">
      <c r="A998" t="s">
        <v>1103</v>
      </c>
      <c r="B998" s="1">
        <v>46123</v>
      </c>
      <c r="C998" s="1">
        <v>46124</v>
      </c>
      <c r="D998" s="1">
        <v>46126</v>
      </c>
      <c r="E998" s="1">
        <v>46126</v>
      </c>
      <c r="F998" t="s">
        <v>31</v>
      </c>
      <c r="G998" t="s">
        <v>58</v>
      </c>
      <c r="H998" t="s">
        <v>23</v>
      </c>
      <c r="I998" t="s">
        <v>45</v>
      </c>
      <c r="J998">
        <v>179</v>
      </c>
      <c r="K998">
        <v>166.6</v>
      </c>
      <c r="L998">
        <v>2037000</v>
      </c>
      <c r="M998" t="b">
        <v>0</v>
      </c>
      <c r="N998" t="b">
        <v>0</v>
      </c>
      <c r="O998">
        <v>1000</v>
      </c>
      <c r="P998" t="b">
        <v>0</v>
      </c>
      <c r="Q998" t="b">
        <v>0</v>
      </c>
      <c r="R998" t="b">
        <v>0</v>
      </c>
      <c r="S998" t="s">
        <v>96</v>
      </c>
      <c r="T998" t="s">
        <v>112</v>
      </c>
    </row>
    <row r="999" spans="1:21" x14ac:dyDescent="0.3">
      <c r="A999" t="s">
        <v>1104</v>
      </c>
      <c r="B999" s="1">
        <v>46075</v>
      </c>
      <c r="C999" s="1">
        <v>46076</v>
      </c>
      <c r="D999" s="1">
        <v>46077</v>
      </c>
      <c r="E999" s="1">
        <v>46078</v>
      </c>
      <c r="F999" t="s">
        <v>31</v>
      </c>
      <c r="G999" t="s">
        <v>55</v>
      </c>
      <c r="H999" t="s">
        <v>20</v>
      </c>
      <c r="I999" t="s">
        <v>43</v>
      </c>
      <c r="J999">
        <v>20.8</v>
      </c>
      <c r="K999">
        <v>3136.4</v>
      </c>
      <c r="L999">
        <v>1968000</v>
      </c>
      <c r="M999" t="b">
        <v>0</v>
      </c>
      <c r="N999" t="b">
        <v>0</v>
      </c>
      <c r="O999">
        <v>5000</v>
      </c>
      <c r="P999" t="b">
        <v>0</v>
      </c>
      <c r="Q999" t="b">
        <v>0</v>
      </c>
      <c r="R999" t="b">
        <v>0</v>
      </c>
      <c r="S999" t="s">
        <v>101</v>
      </c>
      <c r="T999" t="s">
        <v>115</v>
      </c>
      <c r="U999">
        <v>1</v>
      </c>
    </row>
    <row r="1000" spans="1:21" x14ac:dyDescent="0.3">
      <c r="A1000" t="s">
        <v>1105</v>
      </c>
      <c r="B1000" s="1">
        <v>46149</v>
      </c>
      <c r="C1000" s="1">
        <v>46150</v>
      </c>
      <c r="D1000" s="1">
        <v>46154</v>
      </c>
      <c r="E1000" s="1">
        <v>46155</v>
      </c>
      <c r="F1000" t="s">
        <v>33</v>
      </c>
      <c r="G1000" t="s">
        <v>58</v>
      </c>
      <c r="H1000" t="s">
        <v>20</v>
      </c>
      <c r="I1000" t="s">
        <v>43</v>
      </c>
      <c r="J1000">
        <v>703.9</v>
      </c>
      <c r="K1000">
        <v>4183.8</v>
      </c>
      <c r="L1000">
        <v>9653000</v>
      </c>
      <c r="M1000" t="b">
        <v>0</v>
      </c>
      <c r="N1000" t="b">
        <v>0</v>
      </c>
      <c r="O1000">
        <v>5000</v>
      </c>
      <c r="P1000" t="b">
        <v>0</v>
      </c>
      <c r="Q1000" t="b">
        <v>0</v>
      </c>
      <c r="R1000" t="b">
        <v>0</v>
      </c>
      <c r="S1000" t="s">
        <v>101</v>
      </c>
      <c r="T1000" t="s">
        <v>102</v>
      </c>
      <c r="U1000">
        <v>1</v>
      </c>
    </row>
    <row r="1001" spans="1:21" x14ac:dyDescent="0.3">
      <c r="A1001" t="s">
        <v>1106</v>
      </c>
      <c r="B1001" s="1">
        <v>46137</v>
      </c>
      <c r="C1001" s="1">
        <v>46138</v>
      </c>
      <c r="D1001" s="1">
        <v>46141</v>
      </c>
      <c r="E1001" s="1">
        <v>46142</v>
      </c>
      <c r="F1001" t="s">
        <v>32</v>
      </c>
      <c r="G1001" t="s">
        <v>60</v>
      </c>
      <c r="H1001" t="s">
        <v>24</v>
      </c>
      <c r="I1001" t="s">
        <v>43</v>
      </c>
      <c r="J1001">
        <v>490.7</v>
      </c>
      <c r="K1001">
        <v>1502.8</v>
      </c>
      <c r="L1001">
        <v>7379000</v>
      </c>
      <c r="M1001" t="b">
        <v>0</v>
      </c>
      <c r="N1001" t="b">
        <v>0</v>
      </c>
      <c r="O1001">
        <v>5000</v>
      </c>
      <c r="P1001" t="b">
        <v>0</v>
      </c>
      <c r="Q1001" t="b">
        <v>0</v>
      </c>
      <c r="R1001" t="b">
        <v>0</v>
      </c>
      <c r="S1001" t="s">
        <v>101</v>
      </c>
      <c r="T1001" t="s">
        <v>112</v>
      </c>
      <c r="U1001">
        <v>1</v>
      </c>
    </row>
    <row r="1002" spans="1:21" x14ac:dyDescent="0.3">
      <c r="A1002" t="s">
        <v>1107</v>
      </c>
      <c r="B1002" s="1">
        <v>46168</v>
      </c>
      <c r="C1002" s="1">
        <v>46168</v>
      </c>
      <c r="D1002" s="1">
        <v>46172</v>
      </c>
      <c r="E1002" s="1">
        <v>46172</v>
      </c>
      <c r="F1002" t="s">
        <v>33</v>
      </c>
      <c r="G1002" t="s">
        <v>56</v>
      </c>
      <c r="H1002" t="s">
        <v>21</v>
      </c>
      <c r="I1002" t="s">
        <v>43</v>
      </c>
      <c r="J1002">
        <v>1400.9</v>
      </c>
      <c r="K1002">
        <v>1695.2</v>
      </c>
      <c r="L1002">
        <v>18776000</v>
      </c>
      <c r="M1002" t="b">
        <v>0</v>
      </c>
      <c r="N1002" t="b">
        <v>0</v>
      </c>
      <c r="O1002">
        <v>5000</v>
      </c>
      <c r="P1002" t="b">
        <v>0</v>
      </c>
      <c r="Q1002" t="b">
        <v>0</v>
      </c>
      <c r="R1002" t="b">
        <v>0</v>
      </c>
      <c r="S1002" t="s">
        <v>96</v>
      </c>
      <c r="T1002" t="s">
        <v>102</v>
      </c>
    </row>
    <row r="1003" spans="1:21" x14ac:dyDescent="0.3">
      <c r="A1003" t="s">
        <v>1108</v>
      </c>
      <c r="B1003" s="1">
        <v>46157</v>
      </c>
      <c r="C1003" s="1">
        <v>46158</v>
      </c>
      <c r="D1003" s="1">
        <v>46161</v>
      </c>
      <c r="E1003" s="1">
        <v>46161</v>
      </c>
      <c r="F1003" t="s">
        <v>34</v>
      </c>
      <c r="G1003" t="s">
        <v>54</v>
      </c>
      <c r="H1003" t="s">
        <v>22</v>
      </c>
      <c r="I1003" t="s">
        <v>44</v>
      </c>
      <c r="J1003">
        <v>434.8</v>
      </c>
      <c r="K1003">
        <v>443.3</v>
      </c>
      <c r="L1003">
        <v>4918000</v>
      </c>
      <c r="M1003" t="b">
        <v>0</v>
      </c>
      <c r="N1003" t="b">
        <v>0</v>
      </c>
      <c r="O1003">
        <v>1500</v>
      </c>
      <c r="P1003" t="b">
        <v>0</v>
      </c>
      <c r="Q1003" t="b">
        <v>0</v>
      </c>
      <c r="R1003" t="b">
        <v>0</v>
      </c>
      <c r="S1003" t="s">
        <v>96</v>
      </c>
      <c r="T1003" t="s">
        <v>102</v>
      </c>
    </row>
    <row r="1004" spans="1:21" x14ac:dyDescent="0.3">
      <c r="A1004" t="s">
        <v>1109</v>
      </c>
      <c r="B1004" s="1">
        <v>46071</v>
      </c>
      <c r="C1004" s="1">
        <v>46072</v>
      </c>
      <c r="D1004" s="1">
        <v>46074</v>
      </c>
      <c r="E1004" s="1">
        <v>46076</v>
      </c>
      <c r="F1004" t="s">
        <v>33</v>
      </c>
      <c r="G1004" t="s">
        <v>63</v>
      </c>
      <c r="H1004" t="s">
        <v>20</v>
      </c>
      <c r="I1004" t="s">
        <v>43</v>
      </c>
      <c r="J1004">
        <v>289.5</v>
      </c>
      <c r="K1004">
        <v>3942.5</v>
      </c>
      <c r="L1004">
        <v>5942000</v>
      </c>
      <c r="M1004" t="b">
        <v>0</v>
      </c>
      <c r="N1004" t="b">
        <v>0</v>
      </c>
      <c r="O1004">
        <v>5000</v>
      </c>
      <c r="P1004" t="b">
        <v>0</v>
      </c>
      <c r="Q1004" t="b">
        <v>0</v>
      </c>
      <c r="R1004" t="b">
        <v>0</v>
      </c>
      <c r="S1004" t="s">
        <v>101</v>
      </c>
      <c r="T1004" t="s">
        <v>115</v>
      </c>
      <c r="U1004">
        <v>2</v>
      </c>
    </row>
    <row r="1005" spans="1:21" x14ac:dyDescent="0.3">
      <c r="A1005" t="s">
        <v>1110</v>
      </c>
      <c r="B1005" s="1">
        <v>46050</v>
      </c>
      <c r="C1005" s="1">
        <v>46051</v>
      </c>
      <c r="D1005" s="1">
        <v>46054</v>
      </c>
      <c r="E1005" s="1">
        <v>46054</v>
      </c>
      <c r="F1005" t="s">
        <v>34</v>
      </c>
      <c r="G1005" t="s">
        <v>53</v>
      </c>
      <c r="H1005" t="s">
        <v>21</v>
      </c>
      <c r="I1005" t="s">
        <v>43</v>
      </c>
      <c r="J1005">
        <v>318.2</v>
      </c>
      <c r="K1005">
        <v>2936.8</v>
      </c>
      <c r="L1005">
        <v>6170000</v>
      </c>
      <c r="M1005" t="b">
        <v>0</v>
      </c>
      <c r="N1005" t="b">
        <v>0</v>
      </c>
      <c r="O1005">
        <v>5000</v>
      </c>
      <c r="P1005" t="b">
        <v>0</v>
      </c>
      <c r="Q1005" t="b">
        <v>0</v>
      </c>
      <c r="R1005" t="b">
        <v>0</v>
      </c>
      <c r="S1005" t="s">
        <v>96</v>
      </c>
      <c r="T1005" t="s">
        <v>104</v>
      </c>
    </row>
    <row r="1006" spans="1:21" x14ac:dyDescent="0.3">
      <c r="A1006" t="s">
        <v>1111</v>
      </c>
      <c r="B1006" s="1">
        <v>46074</v>
      </c>
      <c r="C1006" s="1">
        <v>46075</v>
      </c>
      <c r="D1006" s="1">
        <v>46078</v>
      </c>
      <c r="E1006" s="1">
        <v>46080</v>
      </c>
      <c r="F1006" t="s">
        <v>34</v>
      </c>
      <c r="G1006" t="s">
        <v>54</v>
      </c>
      <c r="H1006" t="s">
        <v>22</v>
      </c>
      <c r="I1006" t="s">
        <v>43</v>
      </c>
      <c r="J1006">
        <v>405.9</v>
      </c>
      <c r="K1006">
        <v>555.29999999999995</v>
      </c>
      <c r="L1006">
        <v>6392000</v>
      </c>
      <c r="M1006" t="b">
        <v>0</v>
      </c>
      <c r="N1006" t="b">
        <v>0</v>
      </c>
      <c r="O1006">
        <v>5000</v>
      </c>
      <c r="P1006" t="b">
        <v>0</v>
      </c>
      <c r="Q1006" t="b">
        <v>0</v>
      </c>
      <c r="R1006" t="b">
        <v>0</v>
      </c>
      <c r="S1006" t="s">
        <v>101</v>
      </c>
      <c r="T1006" t="s">
        <v>115</v>
      </c>
      <c r="U1006">
        <v>2</v>
      </c>
    </row>
    <row r="1007" spans="1:21" x14ac:dyDescent="0.3">
      <c r="A1007" t="s">
        <v>1112</v>
      </c>
      <c r="B1007" s="1">
        <v>46043</v>
      </c>
      <c r="C1007" s="1">
        <v>46044</v>
      </c>
      <c r="D1007" s="1">
        <v>46048</v>
      </c>
      <c r="E1007" s="1">
        <v>46050</v>
      </c>
      <c r="F1007" t="s">
        <v>34</v>
      </c>
      <c r="G1007" t="s">
        <v>62</v>
      </c>
      <c r="H1007" t="s">
        <v>22</v>
      </c>
      <c r="I1007" t="s">
        <v>42</v>
      </c>
      <c r="J1007">
        <v>740.2</v>
      </c>
      <c r="K1007">
        <v>11627</v>
      </c>
      <c r="L1007">
        <v>16487000</v>
      </c>
      <c r="M1007" t="b">
        <v>0</v>
      </c>
      <c r="N1007" t="b">
        <v>0</v>
      </c>
      <c r="O1007">
        <v>16000</v>
      </c>
      <c r="P1007" t="b">
        <v>0</v>
      </c>
      <c r="Q1007" t="b">
        <v>0</v>
      </c>
      <c r="R1007" t="b">
        <v>0</v>
      </c>
      <c r="S1007" t="s">
        <v>101</v>
      </c>
      <c r="T1007" t="s">
        <v>104</v>
      </c>
      <c r="U1007">
        <v>2</v>
      </c>
    </row>
    <row r="1008" spans="1:21" x14ac:dyDescent="0.3">
      <c r="A1008" t="s">
        <v>1113</v>
      </c>
      <c r="B1008" s="1">
        <v>46025</v>
      </c>
      <c r="C1008" s="1">
        <v>46026</v>
      </c>
      <c r="D1008" s="1">
        <v>46029</v>
      </c>
      <c r="E1008" s="1">
        <v>46029</v>
      </c>
      <c r="F1008" t="s">
        <v>32</v>
      </c>
      <c r="G1008" t="s">
        <v>52</v>
      </c>
      <c r="H1008" t="s">
        <v>24</v>
      </c>
      <c r="I1008" t="s">
        <v>44</v>
      </c>
      <c r="J1008">
        <v>323.10000000000002</v>
      </c>
      <c r="K1008">
        <v>374.6</v>
      </c>
      <c r="L1008">
        <v>4322000</v>
      </c>
      <c r="M1008" t="b">
        <v>0</v>
      </c>
      <c r="N1008" t="b">
        <v>0</v>
      </c>
      <c r="O1008">
        <v>1500</v>
      </c>
      <c r="P1008" t="b">
        <v>0</v>
      </c>
      <c r="Q1008" t="b">
        <v>0</v>
      </c>
      <c r="R1008" t="b">
        <v>0</v>
      </c>
      <c r="S1008" t="s">
        <v>96</v>
      </c>
      <c r="T1008" t="s">
        <v>104</v>
      </c>
    </row>
    <row r="1009" spans="1:21" x14ac:dyDescent="0.3">
      <c r="A1009" t="s">
        <v>1114</v>
      </c>
      <c r="B1009" s="1">
        <v>46085</v>
      </c>
      <c r="C1009" s="1">
        <v>46086</v>
      </c>
      <c r="D1009" s="1">
        <v>46089</v>
      </c>
      <c r="E1009" s="1">
        <v>46089</v>
      </c>
      <c r="F1009" t="s">
        <v>31</v>
      </c>
      <c r="G1009" t="s">
        <v>63</v>
      </c>
      <c r="H1009" t="s">
        <v>21</v>
      </c>
      <c r="I1009" t="s">
        <v>44</v>
      </c>
      <c r="J1009">
        <v>319.2</v>
      </c>
      <c r="K1009">
        <v>1014.5</v>
      </c>
      <c r="L1009">
        <v>4117000</v>
      </c>
      <c r="M1009" t="b">
        <v>0</v>
      </c>
      <c r="N1009" t="b">
        <v>0</v>
      </c>
      <c r="O1009">
        <v>1500</v>
      </c>
      <c r="P1009" t="b">
        <v>0</v>
      </c>
      <c r="Q1009" t="b">
        <v>0</v>
      </c>
      <c r="R1009" t="b">
        <v>0</v>
      </c>
      <c r="S1009" t="s">
        <v>96</v>
      </c>
      <c r="T1009" t="s">
        <v>118</v>
      </c>
    </row>
    <row r="1010" spans="1:21" x14ac:dyDescent="0.3">
      <c r="A1010" t="s">
        <v>1115</v>
      </c>
      <c r="B1010" s="1">
        <v>46034</v>
      </c>
      <c r="C1010" s="1">
        <v>46034</v>
      </c>
      <c r="D1010" s="1">
        <v>46036</v>
      </c>
      <c r="E1010" s="1">
        <v>46036</v>
      </c>
      <c r="F1010" t="s">
        <v>32</v>
      </c>
      <c r="G1010" t="s">
        <v>61</v>
      </c>
      <c r="H1010" t="s">
        <v>23</v>
      </c>
      <c r="I1010" t="s">
        <v>42</v>
      </c>
      <c r="J1010">
        <v>136.9</v>
      </c>
      <c r="K1010">
        <v>5715</v>
      </c>
      <c r="L1010">
        <v>4620000</v>
      </c>
      <c r="M1010" t="b">
        <v>0</v>
      </c>
      <c r="N1010" t="b">
        <v>0</v>
      </c>
      <c r="O1010">
        <v>16000</v>
      </c>
      <c r="P1010" t="b">
        <v>0</v>
      </c>
      <c r="Q1010" t="b">
        <v>0</v>
      </c>
      <c r="R1010" t="b">
        <v>0</v>
      </c>
      <c r="S1010" t="s">
        <v>96</v>
      </c>
      <c r="T1010" t="s">
        <v>104</v>
      </c>
    </row>
    <row r="1011" spans="1:21" x14ac:dyDescent="0.3">
      <c r="A1011" t="s">
        <v>1116</v>
      </c>
      <c r="B1011" s="1">
        <v>46178</v>
      </c>
      <c r="C1011" s="1">
        <v>46179</v>
      </c>
      <c r="D1011" s="1">
        <v>46182</v>
      </c>
      <c r="E1011" s="1">
        <v>46182</v>
      </c>
      <c r="F1011" t="s">
        <v>31</v>
      </c>
      <c r="G1011" t="s">
        <v>60</v>
      </c>
      <c r="H1011" t="s">
        <v>21</v>
      </c>
      <c r="I1011" t="s">
        <v>44</v>
      </c>
      <c r="J1011">
        <v>569.5</v>
      </c>
      <c r="K1011">
        <v>774.6</v>
      </c>
      <c r="L1011">
        <v>6067000</v>
      </c>
      <c r="M1011" t="b">
        <v>0</v>
      </c>
      <c r="N1011" t="b">
        <v>0</v>
      </c>
      <c r="O1011">
        <v>1500</v>
      </c>
      <c r="P1011" t="b">
        <v>0</v>
      </c>
      <c r="Q1011" t="b">
        <v>0</v>
      </c>
      <c r="R1011" t="b">
        <v>0</v>
      </c>
      <c r="S1011" t="s">
        <v>96</v>
      </c>
      <c r="T1011" t="s">
        <v>99</v>
      </c>
    </row>
    <row r="1012" spans="1:21" x14ac:dyDescent="0.3">
      <c r="A1012" t="s">
        <v>1117</v>
      </c>
      <c r="B1012" s="1">
        <v>46029</v>
      </c>
      <c r="C1012" s="1">
        <v>46031</v>
      </c>
      <c r="D1012" s="1">
        <v>46032</v>
      </c>
      <c r="E1012" s="1">
        <v>46032</v>
      </c>
      <c r="F1012" t="s">
        <v>32</v>
      </c>
      <c r="G1012" t="s">
        <v>57</v>
      </c>
      <c r="H1012" t="s">
        <v>22</v>
      </c>
      <c r="I1012" t="s">
        <v>43</v>
      </c>
      <c r="J1012">
        <v>26</v>
      </c>
      <c r="K1012">
        <v>2864.8</v>
      </c>
      <c r="L1012">
        <v>1866000</v>
      </c>
      <c r="M1012" t="b">
        <v>0</v>
      </c>
      <c r="N1012" t="b">
        <v>0</v>
      </c>
      <c r="O1012">
        <v>5000</v>
      </c>
      <c r="P1012" t="b">
        <v>0</v>
      </c>
      <c r="Q1012" t="b">
        <v>0</v>
      </c>
      <c r="R1012" t="b">
        <v>0</v>
      </c>
      <c r="S1012" t="s">
        <v>96</v>
      </c>
      <c r="T1012" t="s">
        <v>104</v>
      </c>
    </row>
    <row r="1013" spans="1:21" x14ac:dyDescent="0.3">
      <c r="A1013" t="s">
        <v>1118</v>
      </c>
      <c r="B1013" s="1">
        <v>46094</v>
      </c>
      <c r="C1013" s="1">
        <v>46095</v>
      </c>
      <c r="D1013" s="1">
        <v>46096</v>
      </c>
      <c r="E1013" s="1">
        <v>46097</v>
      </c>
      <c r="F1013" t="s">
        <v>34</v>
      </c>
      <c r="G1013" t="s">
        <v>55</v>
      </c>
      <c r="H1013" t="s">
        <v>20</v>
      </c>
      <c r="I1013" t="s">
        <v>42</v>
      </c>
      <c r="J1013">
        <v>52.8</v>
      </c>
      <c r="K1013">
        <v>12613.3</v>
      </c>
      <c r="L1013">
        <v>6476000</v>
      </c>
      <c r="M1013" t="b">
        <v>0</v>
      </c>
      <c r="N1013" t="b">
        <v>0</v>
      </c>
      <c r="O1013">
        <v>16000</v>
      </c>
      <c r="P1013" t="b">
        <v>0</v>
      </c>
      <c r="Q1013" t="b">
        <v>0</v>
      </c>
      <c r="R1013" t="b">
        <v>0</v>
      </c>
      <c r="S1013" t="s">
        <v>101</v>
      </c>
      <c r="T1013" t="s">
        <v>118</v>
      </c>
      <c r="U1013">
        <v>1</v>
      </c>
    </row>
    <row r="1014" spans="1:21" x14ac:dyDescent="0.3">
      <c r="A1014" t="s">
        <v>1119</v>
      </c>
      <c r="B1014" s="1">
        <v>46048</v>
      </c>
      <c r="C1014" s="1">
        <v>46049</v>
      </c>
      <c r="D1014" s="1">
        <v>46053</v>
      </c>
      <c r="E1014" s="1">
        <v>46053</v>
      </c>
      <c r="F1014" t="s">
        <v>33</v>
      </c>
      <c r="G1014" t="s">
        <v>61</v>
      </c>
      <c r="H1014" t="s">
        <v>24</v>
      </c>
      <c r="I1014" t="s">
        <v>44</v>
      </c>
      <c r="J1014">
        <v>638</v>
      </c>
      <c r="K1014">
        <v>491</v>
      </c>
      <c r="L1014">
        <v>6380000</v>
      </c>
      <c r="M1014" t="b">
        <v>0</v>
      </c>
      <c r="N1014" t="b">
        <v>0</v>
      </c>
      <c r="O1014">
        <v>1500</v>
      </c>
      <c r="P1014" t="b">
        <v>0</v>
      </c>
      <c r="Q1014" t="b">
        <v>0</v>
      </c>
      <c r="R1014" t="b">
        <v>0</v>
      </c>
      <c r="S1014" t="s">
        <v>96</v>
      </c>
      <c r="T1014" t="s">
        <v>104</v>
      </c>
    </row>
    <row r="1015" spans="1:21" x14ac:dyDescent="0.3">
      <c r="A1015" t="s">
        <v>1120</v>
      </c>
      <c r="B1015" s="1">
        <v>46126</v>
      </c>
      <c r="C1015" s="1">
        <v>46127</v>
      </c>
      <c r="D1015" s="1">
        <v>46131</v>
      </c>
      <c r="E1015" s="1">
        <v>46131</v>
      </c>
      <c r="F1015" t="s">
        <v>32</v>
      </c>
      <c r="G1015" t="s">
        <v>56</v>
      </c>
      <c r="H1015" t="s">
        <v>22</v>
      </c>
      <c r="I1015" t="s">
        <v>44</v>
      </c>
      <c r="J1015">
        <v>1083.3</v>
      </c>
      <c r="K1015">
        <v>208</v>
      </c>
      <c r="L1015">
        <v>10304000</v>
      </c>
      <c r="M1015" t="b">
        <v>0</v>
      </c>
      <c r="N1015" t="b">
        <v>0</v>
      </c>
      <c r="O1015">
        <v>1500</v>
      </c>
      <c r="P1015" t="b">
        <v>0</v>
      </c>
      <c r="Q1015" t="b">
        <v>0</v>
      </c>
      <c r="R1015" t="b">
        <v>0</v>
      </c>
      <c r="S1015" t="s">
        <v>96</v>
      </c>
      <c r="T1015" t="s">
        <v>112</v>
      </c>
    </row>
    <row r="1016" spans="1:21" x14ac:dyDescent="0.3">
      <c r="A1016" t="s">
        <v>1121</v>
      </c>
      <c r="B1016" s="1">
        <v>46156</v>
      </c>
      <c r="C1016" s="1">
        <v>46157</v>
      </c>
      <c r="D1016" s="1">
        <v>46160</v>
      </c>
      <c r="E1016" s="1">
        <v>46161</v>
      </c>
      <c r="F1016" t="s">
        <v>31</v>
      </c>
      <c r="G1016" t="s">
        <v>63</v>
      </c>
      <c r="H1016" t="s">
        <v>23</v>
      </c>
      <c r="I1016" t="s">
        <v>42</v>
      </c>
      <c r="J1016">
        <v>303.8</v>
      </c>
      <c r="K1016">
        <v>6576.2</v>
      </c>
      <c r="L1016">
        <v>8958000</v>
      </c>
      <c r="M1016" t="b">
        <v>0</v>
      </c>
      <c r="N1016" t="b">
        <v>0</v>
      </c>
      <c r="O1016">
        <v>16000</v>
      </c>
      <c r="P1016" t="b">
        <v>0</v>
      </c>
      <c r="Q1016" t="b">
        <v>0</v>
      </c>
      <c r="R1016" t="b">
        <v>0</v>
      </c>
      <c r="S1016" t="s">
        <v>101</v>
      </c>
      <c r="T1016" t="s">
        <v>102</v>
      </c>
      <c r="U1016">
        <v>1</v>
      </c>
    </row>
    <row r="1017" spans="1:21" x14ac:dyDescent="0.3">
      <c r="A1017" t="s">
        <v>1122</v>
      </c>
      <c r="B1017" s="1">
        <v>46137</v>
      </c>
      <c r="C1017" s="1">
        <v>46137</v>
      </c>
      <c r="D1017" s="1">
        <v>46141</v>
      </c>
      <c r="E1017" s="1">
        <v>46143</v>
      </c>
      <c r="F1017" t="s">
        <v>34</v>
      </c>
      <c r="G1017" t="s">
        <v>56</v>
      </c>
      <c r="H1017" t="s">
        <v>24</v>
      </c>
      <c r="I1017" t="s">
        <v>42</v>
      </c>
      <c r="J1017">
        <v>955.6</v>
      </c>
      <c r="K1017">
        <v>3055.1</v>
      </c>
      <c r="L1017">
        <v>21412000</v>
      </c>
      <c r="M1017" t="b">
        <v>0</v>
      </c>
      <c r="N1017" t="b">
        <v>0</v>
      </c>
      <c r="O1017">
        <v>16000</v>
      </c>
      <c r="P1017" t="b">
        <v>0</v>
      </c>
      <c r="Q1017" t="b">
        <v>0</v>
      </c>
      <c r="R1017" t="b">
        <v>0</v>
      </c>
      <c r="S1017" t="s">
        <v>101</v>
      </c>
      <c r="T1017" t="s">
        <v>112</v>
      </c>
      <c r="U1017">
        <v>2</v>
      </c>
    </row>
    <row r="1018" spans="1:21" x14ac:dyDescent="0.3">
      <c r="A1018" t="s">
        <v>1123</v>
      </c>
      <c r="B1018" s="1">
        <v>46138</v>
      </c>
      <c r="C1018" s="1">
        <v>46138</v>
      </c>
      <c r="D1018" s="1">
        <v>46140</v>
      </c>
      <c r="E1018" s="1">
        <v>46140</v>
      </c>
      <c r="F1018" t="s">
        <v>32</v>
      </c>
      <c r="G1018" t="s">
        <v>59</v>
      </c>
      <c r="H1018" t="s">
        <v>20</v>
      </c>
      <c r="I1018" t="s">
        <v>44</v>
      </c>
      <c r="J1018">
        <v>210.2</v>
      </c>
      <c r="K1018">
        <v>965</v>
      </c>
      <c r="L1018">
        <v>2839000</v>
      </c>
      <c r="M1018" t="b">
        <v>0</v>
      </c>
      <c r="N1018" t="b">
        <v>0</v>
      </c>
      <c r="O1018">
        <v>1500</v>
      </c>
      <c r="P1018" t="b">
        <v>0</v>
      </c>
      <c r="Q1018" t="b">
        <v>0</v>
      </c>
      <c r="R1018" t="b">
        <v>0</v>
      </c>
      <c r="S1018" t="s">
        <v>96</v>
      </c>
      <c r="T1018" t="s">
        <v>112</v>
      </c>
    </row>
    <row r="1019" spans="1:21" x14ac:dyDescent="0.3">
      <c r="A1019" t="s">
        <v>1124</v>
      </c>
      <c r="B1019" s="1">
        <v>46049</v>
      </c>
      <c r="C1019" s="1">
        <v>46050</v>
      </c>
      <c r="D1019" s="1">
        <v>46052</v>
      </c>
      <c r="E1019" s="1">
        <v>46053</v>
      </c>
      <c r="F1019" t="s">
        <v>31</v>
      </c>
      <c r="G1019" t="s">
        <v>59</v>
      </c>
      <c r="H1019" t="s">
        <v>20</v>
      </c>
      <c r="I1019" t="s">
        <v>44</v>
      </c>
      <c r="J1019">
        <v>297.2</v>
      </c>
      <c r="K1019">
        <v>166.7</v>
      </c>
      <c r="L1019">
        <v>3181000</v>
      </c>
      <c r="M1019" t="b">
        <v>0</v>
      </c>
      <c r="N1019" t="b">
        <v>0</v>
      </c>
      <c r="O1019">
        <v>1500</v>
      </c>
      <c r="P1019" t="b">
        <v>0</v>
      </c>
      <c r="Q1019" t="b">
        <v>0</v>
      </c>
      <c r="R1019" t="b">
        <v>0</v>
      </c>
      <c r="S1019" t="s">
        <v>101</v>
      </c>
      <c r="T1019" t="s">
        <v>104</v>
      </c>
      <c r="U1019">
        <v>1</v>
      </c>
    </row>
    <row r="1020" spans="1:21" x14ac:dyDescent="0.3">
      <c r="A1020" t="s">
        <v>1125</v>
      </c>
      <c r="B1020" s="1">
        <v>46154</v>
      </c>
      <c r="C1020" s="1">
        <v>46155</v>
      </c>
      <c r="D1020" s="1">
        <v>46157</v>
      </c>
      <c r="E1020" s="1">
        <v>46156</v>
      </c>
      <c r="F1020" t="s">
        <v>32</v>
      </c>
      <c r="G1020" t="s">
        <v>63</v>
      </c>
      <c r="H1020" t="s">
        <v>21</v>
      </c>
      <c r="I1020" t="s">
        <v>43</v>
      </c>
      <c r="J1020">
        <v>183.6</v>
      </c>
      <c r="K1020">
        <v>2544</v>
      </c>
      <c r="L1020">
        <v>3976000</v>
      </c>
      <c r="M1020" t="b">
        <v>0</v>
      </c>
      <c r="N1020" t="b">
        <v>0</v>
      </c>
      <c r="O1020">
        <v>5000</v>
      </c>
      <c r="P1020" t="b">
        <v>0</v>
      </c>
      <c r="Q1020" t="b">
        <v>0</v>
      </c>
      <c r="R1020" t="b">
        <v>0</v>
      </c>
      <c r="S1020" t="s">
        <v>96</v>
      </c>
      <c r="T1020" t="s">
        <v>102</v>
      </c>
    </row>
    <row r="1021" spans="1:21" x14ac:dyDescent="0.3">
      <c r="A1021" t="s">
        <v>1126</v>
      </c>
      <c r="B1021" s="1">
        <v>46054</v>
      </c>
      <c r="C1021" s="1">
        <v>46054</v>
      </c>
      <c r="D1021" s="1">
        <v>46058</v>
      </c>
      <c r="E1021" s="1">
        <v>46058</v>
      </c>
      <c r="F1021" t="s">
        <v>33</v>
      </c>
      <c r="G1021" t="s">
        <v>52</v>
      </c>
      <c r="H1021" t="s">
        <v>24</v>
      </c>
      <c r="I1021" t="s">
        <v>43</v>
      </c>
      <c r="J1021">
        <v>637.4</v>
      </c>
      <c r="K1021">
        <v>4425.5</v>
      </c>
      <c r="L1021">
        <v>9286000</v>
      </c>
      <c r="M1021" t="b">
        <v>0</v>
      </c>
      <c r="N1021" t="b">
        <v>0</v>
      </c>
      <c r="O1021">
        <v>5000</v>
      </c>
      <c r="P1021" t="b">
        <v>0</v>
      </c>
      <c r="Q1021" t="b">
        <v>0</v>
      </c>
      <c r="R1021" t="b">
        <v>0</v>
      </c>
      <c r="S1021" t="s">
        <v>96</v>
      </c>
      <c r="T1021" t="s">
        <v>115</v>
      </c>
    </row>
    <row r="1022" spans="1:21" x14ac:dyDescent="0.3">
      <c r="A1022" t="s">
        <v>1127</v>
      </c>
      <c r="B1022" s="1">
        <v>46112</v>
      </c>
      <c r="C1022" s="1">
        <v>46113</v>
      </c>
      <c r="D1022" s="1">
        <v>46115</v>
      </c>
      <c r="E1022" s="1">
        <v>46115</v>
      </c>
      <c r="F1022" t="s">
        <v>34</v>
      </c>
      <c r="G1022" t="s">
        <v>57</v>
      </c>
      <c r="H1022" t="s">
        <v>20</v>
      </c>
      <c r="I1022" t="s">
        <v>43</v>
      </c>
      <c r="J1022">
        <v>167</v>
      </c>
      <c r="K1022">
        <v>3105.6</v>
      </c>
      <c r="L1022">
        <v>4252000</v>
      </c>
      <c r="M1022" t="b">
        <v>0</v>
      </c>
      <c r="N1022" t="b">
        <v>0</v>
      </c>
      <c r="O1022">
        <v>5000</v>
      </c>
      <c r="P1022" t="b">
        <v>0</v>
      </c>
      <c r="Q1022" t="b">
        <v>0</v>
      </c>
      <c r="R1022" t="b">
        <v>0</v>
      </c>
      <c r="S1022" t="s">
        <v>96</v>
      </c>
      <c r="T1022" t="s">
        <v>112</v>
      </c>
    </row>
    <row r="1023" spans="1:21" x14ac:dyDescent="0.3">
      <c r="A1023" t="s">
        <v>1128</v>
      </c>
      <c r="B1023" s="1">
        <v>46111</v>
      </c>
      <c r="C1023" s="1">
        <v>46111</v>
      </c>
      <c r="D1023" s="1">
        <v>46113</v>
      </c>
      <c r="E1023" s="1">
        <v>46113</v>
      </c>
      <c r="F1023" t="s">
        <v>34</v>
      </c>
      <c r="G1023" t="s">
        <v>61</v>
      </c>
      <c r="H1023" t="s">
        <v>23</v>
      </c>
      <c r="I1023" t="s">
        <v>44</v>
      </c>
      <c r="J1023">
        <v>22.4</v>
      </c>
      <c r="K1023">
        <v>331.1</v>
      </c>
      <c r="L1023">
        <v>835000</v>
      </c>
      <c r="M1023" t="b">
        <v>0</v>
      </c>
      <c r="N1023" t="b">
        <v>0</v>
      </c>
      <c r="O1023">
        <v>1500</v>
      </c>
      <c r="P1023" t="b">
        <v>0</v>
      </c>
      <c r="Q1023" t="b">
        <v>0</v>
      </c>
      <c r="R1023" t="b">
        <v>0</v>
      </c>
      <c r="S1023" t="s">
        <v>96</v>
      </c>
      <c r="T1023" t="s">
        <v>118</v>
      </c>
    </row>
    <row r="1024" spans="1:21" x14ac:dyDescent="0.3">
      <c r="A1024" t="s">
        <v>1129</v>
      </c>
      <c r="B1024" s="1">
        <v>46073</v>
      </c>
      <c r="C1024" s="1">
        <v>46075</v>
      </c>
      <c r="D1024" s="1">
        <v>46079</v>
      </c>
      <c r="E1024" s="1">
        <v>46080</v>
      </c>
      <c r="F1024" t="s">
        <v>33</v>
      </c>
      <c r="G1024" t="s">
        <v>54</v>
      </c>
      <c r="H1024" t="s">
        <v>20</v>
      </c>
      <c r="I1024" t="s">
        <v>43</v>
      </c>
      <c r="J1024">
        <v>950.2</v>
      </c>
      <c r="K1024">
        <v>4439.3</v>
      </c>
      <c r="L1024">
        <v>14494000</v>
      </c>
      <c r="M1024" t="b">
        <v>0</v>
      </c>
      <c r="N1024" t="b">
        <v>0</v>
      </c>
      <c r="O1024">
        <v>5000</v>
      </c>
      <c r="P1024" t="b">
        <v>0</v>
      </c>
      <c r="Q1024" t="b">
        <v>0</v>
      </c>
      <c r="R1024" t="b">
        <v>0</v>
      </c>
      <c r="S1024" t="s">
        <v>101</v>
      </c>
      <c r="T1024" t="s">
        <v>115</v>
      </c>
      <c r="U1024">
        <v>1</v>
      </c>
    </row>
    <row r="1025" spans="1:21" x14ac:dyDescent="0.3">
      <c r="A1025" t="s">
        <v>1130</v>
      </c>
      <c r="B1025" s="1">
        <v>46039</v>
      </c>
      <c r="C1025" s="1">
        <v>46040</v>
      </c>
      <c r="D1025" s="1">
        <v>46043</v>
      </c>
      <c r="E1025" s="1">
        <v>46043</v>
      </c>
      <c r="F1025" t="s">
        <v>32</v>
      </c>
      <c r="G1025" t="s">
        <v>54</v>
      </c>
      <c r="H1025" t="s">
        <v>21</v>
      </c>
      <c r="I1025" t="s">
        <v>43</v>
      </c>
      <c r="J1025">
        <v>532.4</v>
      </c>
      <c r="K1025">
        <v>2637.5</v>
      </c>
      <c r="L1025">
        <v>9947000</v>
      </c>
      <c r="M1025" t="b">
        <v>0</v>
      </c>
      <c r="N1025" t="b">
        <v>0</v>
      </c>
      <c r="O1025">
        <v>5000</v>
      </c>
      <c r="P1025" t="b">
        <v>0</v>
      </c>
      <c r="Q1025" t="b">
        <v>0</v>
      </c>
      <c r="R1025" t="b">
        <v>0</v>
      </c>
      <c r="S1025" t="s">
        <v>96</v>
      </c>
      <c r="T1025" t="s">
        <v>104</v>
      </c>
    </row>
    <row r="1026" spans="1:21" x14ac:dyDescent="0.3">
      <c r="A1026" t="s">
        <v>1131</v>
      </c>
      <c r="B1026" s="1">
        <v>46068</v>
      </c>
      <c r="C1026" s="1">
        <v>46069</v>
      </c>
      <c r="D1026" s="1">
        <v>46072</v>
      </c>
      <c r="E1026" s="1">
        <v>46074</v>
      </c>
      <c r="F1026" t="s">
        <v>32</v>
      </c>
      <c r="G1026" t="s">
        <v>60</v>
      </c>
      <c r="H1026" t="s">
        <v>22</v>
      </c>
      <c r="I1026" t="s">
        <v>43</v>
      </c>
      <c r="J1026">
        <v>462.1</v>
      </c>
      <c r="K1026">
        <v>4402.7</v>
      </c>
      <c r="L1026">
        <v>8391000</v>
      </c>
      <c r="M1026" t="b">
        <v>0</v>
      </c>
      <c r="N1026" t="b">
        <v>0</v>
      </c>
      <c r="O1026">
        <v>5000</v>
      </c>
      <c r="P1026" t="b">
        <v>0</v>
      </c>
      <c r="Q1026" t="b">
        <v>0</v>
      </c>
      <c r="R1026" t="b">
        <v>0</v>
      </c>
      <c r="S1026" t="s">
        <v>101</v>
      </c>
      <c r="T1026" t="s">
        <v>115</v>
      </c>
      <c r="U1026">
        <v>2</v>
      </c>
    </row>
    <row r="1027" spans="1:21" x14ac:dyDescent="0.3">
      <c r="A1027" t="s">
        <v>1132</v>
      </c>
      <c r="B1027" s="1">
        <v>46114</v>
      </c>
      <c r="C1027" s="1">
        <v>46115</v>
      </c>
      <c r="D1027" s="1">
        <v>46118</v>
      </c>
      <c r="E1027" s="1">
        <v>46118</v>
      </c>
      <c r="F1027" t="s">
        <v>32</v>
      </c>
      <c r="G1027" t="s">
        <v>62</v>
      </c>
      <c r="H1027" t="s">
        <v>22</v>
      </c>
      <c r="I1027" t="s">
        <v>43</v>
      </c>
      <c r="J1027">
        <v>588.1</v>
      </c>
      <c r="K1027">
        <v>3325.4</v>
      </c>
      <c r="L1027">
        <v>8754000</v>
      </c>
      <c r="M1027" t="b">
        <v>0</v>
      </c>
      <c r="N1027" t="b">
        <v>0</v>
      </c>
      <c r="O1027">
        <v>5000</v>
      </c>
      <c r="P1027" t="b">
        <v>0</v>
      </c>
      <c r="Q1027" t="b">
        <v>0</v>
      </c>
      <c r="R1027" t="b">
        <v>0</v>
      </c>
      <c r="S1027" t="s">
        <v>96</v>
      </c>
      <c r="T1027" t="s">
        <v>112</v>
      </c>
    </row>
    <row r="1028" spans="1:21" x14ac:dyDescent="0.3">
      <c r="A1028" t="s">
        <v>1133</v>
      </c>
      <c r="B1028" s="1">
        <v>46045</v>
      </c>
      <c r="C1028" s="1">
        <v>46046</v>
      </c>
      <c r="D1028" s="1">
        <v>46048</v>
      </c>
      <c r="E1028" s="1">
        <v>46049</v>
      </c>
      <c r="F1028" t="s">
        <v>34</v>
      </c>
      <c r="G1028" t="s">
        <v>58</v>
      </c>
      <c r="H1028" t="s">
        <v>22</v>
      </c>
      <c r="I1028" t="s">
        <v>43</v>
      </c>
      <c r="J1028">
        <v>164.8</v>
      </c>
      <c r="K1028">
        <v>3357.8</v>
      </c>
      <c r="L1028">
        <v>4101000</v>
      </c>
      <c r="M1028" t="b">
        <v>0</v>
      </c>
      <c r="N1028" t="b">
        <v>0</v>
      </c>
      <c r="O1028">
        <v>5000</v>
      </c>
      <c r="P1028" t="b">
        <v>0</v>
      </c>
      <c r="Q1028" t="b">
        <v>0</v>
      </c>
      <c r="R1028" t="b">
        <v>0</v>
      </c>
      <c r="S1028" t="s">
        <v>101</v>
      </c>
      <c r="T1028" t="s">
        <v>104</v>
      </c>
      <c r="U1028">
        <v>1</v>
      </c>
    </row>
    <row r="1029" spans="1:21" x14ac:dyDescent="0.3">
      <c r="A1029" t="s">
        <v>1134</v>
      </c>
      <c r="B1029" s="1">
        <v>46071</v>
      </c>
      <c r="C1029" s="1">
        <v>46071</v>
      </c>
      <c r="D1029" s="1">
        <v>46075</v>
      </c>
      <c r="E1029" s="1">
        <v>46076</v>
      </c>
      <c r="F1029" t="s">
        <v>31</v>
      </c>
      <c r="G1029" t="s">
        <v>60</v>
      </c>
      <c r="H1029" t="s">
        <v>20</v>
      </c>
      <c r="I1029" t="s">
        <v>43</v>
      </c>
      <c r="J1029">
        <v>601.9</v>
      </c>
      <c r="K1029">
        <v>3476.7</v>
      </c>
      <c r="L1029">
        <v>11612000</v>
      </c>
      <c r="M1029" t="b">
        <v>0</v>
      </c>
      <c r="N1029" t="b">
        <v>0</v>
      </c>
      <c r="O1029">
        <v>5000</v>
      </c>
      <c r="P1029" t="b">
        <v>0</v>
      </c>
      <c r="Q1029" t="b">
        <v>0</v>
      </c>
      <c r="R1029" t="b">
        <v>0</v>
      </c>
      <c r="S1029" t="s">
        <v>101</v>
      </c>
      <c r="T1029" t="s">
        <v>115</v>
      </c>
      <c r="U1029">
        <v>1</v>
      </c>
    </row>
    <row r="1030" spans="1:21" x14ac:dyDescent="0.3">
      <c r="A1030" t="s">
        <v>1135</v>
      </c>
      <c r="B1030" s="1">
        <v>46029</v>
      </c>
      <c r="C1030" s="1">
        <v>46031</v>
      </c>
      <c r="D1030" s="1">
        <v>46034</v>
      </c>
      <c r="E1030" s="1">
        <v>46034</v>
      </c>
      <c r="F1030" t="s">
        <v>31</v>
      </c>
      <c r="G1030" t="s">
        <v>58</v>
      </c>
      <c r="H1030" t="s">
        <v>21</v>
      </c>
      <c r="I1030" t="s">
        <v>42</v>
      </c>
      <c r="J1030">
        <v>200.1</v>
      </c>
      <c r="K1030">
        <v>2566.5</v>
      </c>
      <c r="L1030">
        <v>5137000</v>
      </c>
      <c r="M1030" t="b">
        <v>0</v>
      </c>
      <c r="N1030" t="b">
        <v>0</v>
      </c>
      <c r="O1030">
        <v>16000</v>
      </c>
      <c r="P1030" t="b">
        <v>0</v>
      </c>
      <c r="Q1030" t="b">
        <v>0</v>
      </c>
      <c r="R1030" t="b">
        <v>0</v>
      </c>
      <c r="S1030" t="s">
        <v>96</v>
      </c>
      <c r="T1030" t="s">
        <v>104</v>
      </c>
    </row>
    <row r="1031" spans="1:21" x14ac:dyDescent="0.3">
      <c r="A1031" t="s">
        <v>1136</v>
      </c>
      <c r="B1031" s="1">
        <v>46080</v>
      </c>
      <c r="C1031" s="1">
        <v>46081</v>
      </c>
      <c r="D1031" s="1">
        <v>46084</v>
      </c>
      <c r="E1031" s="1">
        <v>46085</v>
      </c>
      <c r="F1031" t="s">
        <v>31</v>
      </c>
      <c r="G1031" t="s">
        <v>54</v>
      </c>
      <c r="H1031" t="s">
        <v>22</v>
      </c>
      <c r="I1031" t="s">
        <v>43</v>
      </c>
      <c r="J1031">
        <v>523.29999999999995</v>
      </c>
      <c r="K1031">
        <v>2252.8000000000002</v>
      </c>
      <c r="L1031">
        <v>6775000</v>
      </c>
      <c r="M1031" t="b">
        <v>0</v>
      </c>
      <c r="N1031" t="b">
        <v>0</v>
      </c>
      <c r="O1031">
        <v>5000</v>
      </c>
      <c r="P1031" t="b">
        <v>0</v>
      </c>
      <c r="Q1031" t="b">
        <v>0</v>
      </c>
      <c r="R1031" t="b">
        <v>0</v>
      </c>
      <c r="S1031" t="s">
        <v>101</v>
      </c>
      <c r="T1031" t="s">
        <v>115</v>
      </c>
      <c r="U1031">
        <v>1</v>
      </c>
    </row>
    <row r="1032" spans="1:21" x14ac:dyDescent="0.3">
      <c r="A1032" t="s">
        <v>1137</v>
      </c>
      <c r="B1032" s="1">
        <v>46171</v>
      </c>
      <c r="C1032" s="1">
        <v>46172</v>
      </c>
      <c r="D1032" s="1">
        <v>46175</v>
      </c>
      <c r="E1032" s="1">
        <v>46174</v>
      </c>
      <c r="F1032" t="s">
        <v>34</v>
      </c>
      <c r="G1032" t="s">
        <v>53</v>
      </c>
      <c r="H1032" t="s">
        <v>23</v>
      </c>
      <c r="I1032" t="s">
        <v>43</v>
      </c>
      <c r="K1032">
        <v>2359.8000000000002</v>
      </c>
      <c r="L1032">
        <v>7389000</v>
      </c>
      <c r="M1032" t="b">
        <v>0</v>
      </c>
      <c r="N1032" t="b">
        <v>1</v>
      </c>
      <c r="O1032">
        <v>5000</v>
      </c>
      <c r="P1032" t="b">
        <v>0</v>
      </c>
      <c r="Q1032" t="b">
        <v>0</v>
      </c>
      <c r="R1032" t="b">
        <v>1</v>
      </c>
      <c r="S1032" t="s">
        <v>96</v>
      </c>
      <c r="T1032" t="s">
        <v>102</v>
      </c>
    </row>
    <row r="1033" spans="1:21" x14ac:dyDescent="0.3">
      <c r="A1033" t="s">
        <v>1138</v>
      </c>
      <c r="B1033" s="1">
        <v>46110</v>
      </c>
      <c r="C1033" s="1">
        <v>46111</v>
      </c>
      <c r="D1033" s="1">
        <v>46113</v>
      </c>
      <c r="E1033" s="1">
        <v>46114</v>
      </c>
      <c r="F1033" t="s">
        <v>31</v>
      </c>
      <c r="G1033" t="s">
        <v>58</v>
      </c>
      <c r="H1033" t="s">
        <v>24</v>
      </c>
      <c r="I1033" t="s">
        <v>42</v>
      </c>
      <c r="J1033">
        <v>166.9</v>
      </c>
      <c r="K1033">
        <v>4250</v>
      </c>
      <c r="L1033">
        <v>4534000</v>
      </c>
      <c r="M1033" t="b">
        <v>0</v>
      </c>
      <c r="N1033" t="b">
        <v>0</v>
      </c>
      <c r="O1033">
        <v>16000</v>
      </c>
      <c r="P1033" t="b">
        <v>0</v>
      </c>
      <c r="Q1033" t="b">
        <v>0</v>
      </c>
      <c r="R1033" t="b">
        <v>0</v>
      </c>
      <c r="S1033" t="s">
        <v>101</v>
      </c>
      <c r="T1033" t="s">
        <v>118</v>
      </c>
      <c r="U1033">
        <v>1</v>
      </c>
    </row>
    <row r="1034" spans="1:21" x14ac:dyDescent="0.3">
      <c r="A1034" t="s">
        <v>1139</v>
      </c>
      <c r="B1034" s="1">
        <v>46124</v>
      </c>
      <c r="C1034" s="1">
        <v>46125</v>
      </c>
      <c r="D1034" s="1">
        <v>46126</v>
      </c>
      <c r="E1034" s="1">
        <v>46126</v>
      </c>
      <c r="F1034" t="s">
        <v>34</v>
      </c>
      <c r="G1034" t="s">
        <v>61</v>
      </c>
      <c r="H1034" t="s">
        <v>20</v>
      </c>
      <c r="I1034" t="s">
        <v>43</v>
      </c>
      <c r="J1034">
        <v>19.5</v>
      </c>
      <c r="K1034">
        <v>3876.7</v>
      </c>
      <c r="L1034">
        <v>2512000</v>
      </c>
      <c r="M1034" t="b">
        <v>0</v>
      </c>
      <c r="N1034" t="b">
        <v>0</v>
      </c>
      <c r="O1034">
        <v>5000</v>
      </c>
      <c r="P1034" t="b">
        <v>0</v>
      </c>
      <c r="Q1034" t="b">
        <v>0</v>
      </c>
      <c r="R1034" t="b">
        <v>0</v>
      </c>
      <c r="S1034" t="s">
        <v>96</v>
      </c>
      <c r="T1034" t="s">
        <v>112</v>
      </c>
    </row>
    <row r="1035" spans="1:21" x14ac:dyDescent="0.3">
      <c r="A1035" t="s">
        <v>1140</v>
      </c>
      <c r="B1035" s="1">
        <v>46192</v>
      </c>
      <c r="C1035" s="1">
        <v>46193</v>
      </c>
      <c r="D1035" s="1">
        <v>46196</v>
      </c>
      <c r="E1035" s="1">
        <v>46196</v>
      </c>
      <c r="F1035" t="s">
        <v>32</v>
      </c>
      <c r="G1035" t="s">
        <v>54</v>
      </c>
      <c r="H1035" t="s">
        <v>22</v>
      </c>
      <c r="I1035" t="s">
        <v>43</v>
      </c>
      <c r="J1035">
        <v>524.5</v>
      </c>
      <c r="K1035">
        <v>1281</v>
      </c>
      <c r="L1035">
        <v>7146000</v>
      </c>
      <c r="M1035" t="b">
        <v>0</v>
      </c>
      <c r="N1035" t="b">
        <v>0</v>
      </c>
      <c r="O1035">
        <v>5000</v>
      </c>
      <c r="P1035" t="b">
        <v>0</v>
      </c>
      <c r="Q1035" t="b">
        <v>0</v>
      </c>
      <c r="R1035" t="b">
        <v>0</v>
      </c>
      <c r="S1035" t="s">
        <v>96</v>
      </c>
      <c r="T1035" t="s">
        <v>99</v>
      </c>
    </row>
    <row r="1036" spans="1:21" x14ac:dyDescent="0.3">
      <c r="A1036" t="s">
        <v>1141</v>
      </c>
      <c r="B1036" s="1">
        <v>46190</v>
      </c>
      <c r="C1036" s="1">
        <v>46191</v>
      </c>
      <c r="D1036" s="1">
        <v>46193</v>
      </c>
      <c r="E1036" s="1">
        <v>46193</v>
      </c>
      <c r="F1036" t="s">
        <v>33</v>
      </c>
      <c r="G1036" t="s">
        <v>62</v>
      </c>
      <c r="H1036" t="s">
        <v>20</v>
      </c>
      <c r="I1036" t="s">
        <v>43</v>
      </c>
      <c r="J1036">
        <v>151.6</v>
      </c>
      <c r="K1036">
        <v>2098.5</v>
      </c>
      <c r="L1036">
        <v>3483000</v>
      </c>
      <c r="M1036" t="b">
        <v>0</v>
      </c>
      <c r="N1036" t="b">
        <v>0</v>
      </c>
      <c r="O1036">
        <v>5000</v>
      </c>
      <c r="P1036" t="b">
        <v>0</v>
      </c>
      <c r="Q1036" t="b">
        <v>0</v>
      </c>
      <c r="R1036" t="b">
        <v>0</v>
      </c>
      <c r="S1036" t="s">
        <v>96</v>
      </c>
      <c r="T1036" t="s">
        <v>99</v>
      </c>
    </row>
    <row r="1037" spans="1:21" x14ac:dyDescent="0.3">
      <c r="A1037" t="s">
        <v>1142</v>
      </c>
      <c r="B1037" s="1">
        <v>46199</v>
      </c>
      <c r="C1037" s="1">
        <v>46200</v>
      </c>
      <c r="D1037" s="1">
        <v>46205</v>
      </c>
      <c r="E1037" s="1">
        <v>46205</v>
      </c>
      <c r="F1037" t="s">
        <v>34</v>
      </c>
      <c r="G1037" t="s">
        <v>56</v>
      </c>
      <c r="H1037" t="s">
        <v>21</v>
      </c>
      <c r="I1037" t="s">
        <v>44</v>
      </c>
      <c r="J1037">
        <v>911.4</v>
      </c>
      <c r="K1037">
        <v>408.6</v>
      </c>
      <c r="L1037">
        <v>8964000</v>
      </c>
      <c r="M1037" t="b">
        <v>0</v>
      </c>
      <c r="N1037" t="b">
        <v>0</v>
      </c>
      <c r="O1037">
        <v>1500</v>
      </c>
      <c r="P1037" t="b">
        <v>0</v>
      </c>
      <c r="Q1037" t="b">
        <v>0</v>
      </c>
      <c r="R1037" t="b">
        <v>0</v>
      </c>
      <c r="S1037" t="s">
        <v>96</v>
      </c>
      <c r="T1037" t="s">
        <v>99</v>
      </c>
    </row>
    <row r="1038" spans="1:21" x14ac:dyDescent="0.3">
      <c r="A1038" t="s">
        <v>1143</v>
      </c>
      <c r="B1038" s="1">
        <v>46031</v>
      </c>
      <c r="C1038" s="1">
        <v>46032</v>
      </c>
      <c r="D1038" s="1">
        <v>46035</v>
      </c>
      <c r="E1038" s="1">
        <v>46036</v>
      </c>
      <c r="F1038" t="s">
        <v>31</v>
      </c>
      <c r="G1038" t="s">
        <v>59</v>
      </c>
      <c r="H1038" t="s">
        <v>22</v>
      </c>
      <c r="I1038" t="s">
        <v>43</v>
      </c>
      <c r="J1038">
        <v>319</v>
      </c>
      <c r="K1038">
        <v>1996</v>
      </c>
      <c r="L1038">
        <v>5990000</v>
      </c>
      <c r="M1038" t="b">
        <v>0</v>
      </c>
      <c r="N1038" t="b">
        <v>0</v>
      </c>
      <c r="O1038">
        <v>5000</v>
      </c>
      <c r="P1038" t="b">
        <v>0</v>
      </c>
      <c r="Q1038" t="b">
        <v>0</v>
      </c>
      <c r="R1038" t="b">
        <v>0</v>
      </c>
      <c r="S1038" t="s">
        <v>101</v>
      </c>
      <c r="T1038" t="s">
        <v>104</v>
      </c>
      <c r="U1038">
        <v>1</v>
      </c>
    </row>
    <row r="1039" spans="1:21" x14ac:dyDescent="0.3">
      <c r="A1039" t="s">
        <v>1144</v>
      </c>
      <c r="B1039" s="1">
        <v>46102</v>
      </c>
      <c r="C1039" s="1">
        <v>46104</v>
      </c>
      <c r="D1039" s="1">
        <v>46107</v>
      </c>
      <c r="E1039" s="1">
        <v>46107</v>
      </c>
      <c r="F1039" t="s">
        <v>31</v>
      </c>
      <c r="G1039" t="s">
        <v>53</v>
      </c>
      <c r="H1039" t="s">
        <v>20</v>
      </c>
      <c r="I1039" t="s">
        <v>44</v>
      </c>
      <c r="J1039">
        <v>338.1</v>
      </c>
      <c r="K1039">
        <v>674.8</v>
      </c>
      <c r="L1039">
        <v>4175000</v>
      </c>
      <c r="M1039" t="b">
        <v>0</v>
      </c>
      <c r="N1039" t="b">
        <v>0</v>
      </c>
      <c r="O1039">
        <v>1500</v>
      </c>
      <c r="P1039" t="b">
        <v>0</v>
      </c>
      <c r="Q1039" t="b">
        <v>0</v>
      </c>
      <c r="R1039" t="b">
        <v>0</v>
      </c>
      <c r="S1039" t="s">
        <v>96</v>
      </c>
      <c r="T1039" t="s">
        <v>118</v>
      </c>
    </row>
    <row r="1040" spans="1:21" x14ac:dyDescent="0.3">
      <c r="A1040" t="s">
        <v>1145</v>
      </c>
      <c r="B1040" s="1">
        <v>46203</v>
      </c>
      <c r="C1040" s="1">
        <v>46204</v>
      </c>
      <c r="D1040" s="1">
        <v>46206</v>
      </c>
      <c r="E1040" s="1">
        <v>46208</v>
      </c>
      <c r="F1040" t="s">
        <v>31</v>
      </c>
      <c r="G1040" t="s">
        <v>58</v>
      </c>
      <c r="H1040" t="s">
        <v>20</v>
      </c>
      <c r="I1040" t="s">
        <v>43</v>
      </c>
      <c r="J1040">
        <v>180.3</v>
      </c>
      <c r="K1040">
        <v>3329.9</v>
      </c>
      <c r="L1040">
        <v>4021000</v>
      </c>
      <c r="M1040" t="b">
        <v>0</v>
      </c>
      <c r="N1040" t="b">
        <v>0</v>
      </c>
      <c r="O1040">
        <v>5000</v>
      </c>
      <c r="P1040" t="b">
        <v>0</v>
      </c>
      <c r="Q1040" t="b">
        <v>0</v>
      </c>
      <c r="R1040" t="b">
        <v>0</v>
      </c>
      <c r="S1040" t="s">
        <v>101</v>
      </c>
      <c r="T1040" t="s">
        <v>97</v>
      </c>
      <c r="U1040">
        <v>2</v>
      </c>
    </row>
    <row r="1041" spans="1:21" x14ac:dyDescent="0.3">
      <c r="A1041" t="s">
        <v>1146</v>
      </c>
      <c r="B1041" s="1">
        <v>46171</v>
      </c>
      <c r="C1041" s="1">
        <v>46173</v>
      </c>
      <c r="D1041" s="1">
        <v>46177</v>
      </c>
      <c r="E1041" s="1">
        <v>46177</v>
      </c>
      <c r="F1041" t="s">
        <v>34</v>
      </c>
      <c r="G1041" t="s">
        <v>62</v>
      </c>
      <c r="H1041" t="s">
        <v>24</v>
      </c>
      <c r="I1041" t="s">
        <v>44</v>
      </c>
      <c r="J1041">
        <v>745.1</v>
      </c>
      <c r="K1041">
        <v>1047.5999999999999</v>
      </c>
      <c r="L1041">
        <v>7327000</v>
      </c>
      <c r="M1041" t="b">
        <v>0</v>
      </c>
      <c r="N1041" t="b">
        <v>0</v>
      </c>
      <c r="O1041">
        <v>1500</v>
      </c>
      <c r="P1041" t="b">
        <v>0</v>
      </c>
      <c r="Q1041" t="b">
        <v>0</v>
      </c>
      <c r="R1041" t="b">
        <v>0</v>
      </c>
      <c r="S1041" t="s">
        <v>96</v>
      </c>
      <c r="T1041" t="s">
        <v>102</v>
      </c>
    </row>
    <row r="1042" spans="1:21" x14ac:dyDescent="0.3">
      <c r="A1042" t="s">
        <v>1147</v>
      </c>
      <c r="B1042" s="1">
        <v>46081</v>
      </c>
      <c r="C1042" s="1">
        <v>46081</v>
      </c>
      <c r="D1042" s="1">
        <v>46085</v>
      </c>
      <c r="E1042" s="1">
        <v>46087</v>
      </c>
      <c r="F1042" t="s">
        <v>33</v>
      </c>
      <c r="G1042" t="s">
        <v>56</v>
      </c>
      <c r="H1042" t="s">
        <v>23</v>
      </c>
      <c r="I1042" t="s">
        <v>43</v>
      </c>
      <c r="J1042">
        <v>1541.6</v>
      </c>
      <c r="K1042">
        <v>4428.6000000000004</v>
      </c>
      <c r="L1042">
        <v>20830000</v>
      </c>
      <c r="M1042" t="b">
        <v>0</v>
      </c>
      <c r="N1042" t="b">
        <v>0</v>
      </c>
      <c r="O1042">
        <v>5000</v>
      </c>
      <c r="P1042" t="b">
        <v>0</v>
      </c>
      <c r="Q1042" t="b">
        <v>0</v>
      </c>
      <c r="R1042" t="b">
        <v>0</v>
      </c>
      <c r="S1042" t="s">
        <v>101</v>
      </c>
      <c r="T1042" t="s">
        <v>115</v>
      </c>
      <c r="U1042">
        <v>2</v>
      </c>
    </row>
    <row r="1043" spans="1:21" x14ac:dyDescent="0.3">
      <c r="A1043" t="s">
        <v>1148</v>
      </c>
      <c r="B1043" s="1">
        <v>46164</v>
      </c>
      <c r="C1043" s="1">
        <v>46166</v>
      </c>
      <c r="D1043" s="1">
        <v>46169</v>
      </c>
      <c r="E1043" s="1">
        <v>46169</v>
      </c>
      <c r="F1043" t="s">
        <v>34</v>
      </c>
      <c r="G1043" t="s">
        <v>60</v>
      </c>
      <c r="H1043" t="s">
        <v>20</v>
      </c>
      <c r="I1043" t="s">
        <v>42</v>
      </c>
      <c r="J1043">
        <v>597.20000000000005</v>
      </c>
      <c r="K1043">
        <v>5447.8</v>
      </c>
      <c r="L1043">
        <v>12403000</v>
      </c>
      <c r="M1043" t="b">
        <v>0</v>
      </c>
      <c r="N1043" t="b">
        <v>0</v>
      </c>
      <c r="O1043">
        <v>16000</v>
      </c>
      <c r="P1043" t="b">
        <v>0</v>
      </c>
      <c r="Q1043" t="b">
        <v>0</v>
      </c>
      <c r="R1043" t="b">
        <v>0</v>
      </c>
      <c r="S1043" t="s">
        <v>96</v>
      </c>
      <c r="T1043" t="s">
        <v>102</v>
      </c>
    </row>
    <row r="1044" spans="1:21" x14ac:dyDescent="0.3">
      <c r="A1044" t="s">
        <v>1149</v>
      </c>
      <c r="B1044" s="1">
        <v>46168</v>
      </c>
      <c r="C1044" s="1">
        <v>46169</v>
      </c>
      <c r="D1044" s="1">
        <v>46170</v>
      </c>
      <c r="E1044" s="1">
        <v>46170</v>
      </c>
      <c r="F1044" t="s">
        <v>34</v>
      </c>
      <c r="G1044" t="s">
        <v>61</v>
      </c>
      <c r="H1044" t="s">
        <v>23</v>
      </c>
      <c r="I1044" t="s">
        <v>43</v>
      </c>
      <c r="J1044">
        <v>22.5</v>
      </c>
      <c r="K1044">
        <v>1381.1</v>
      </c>
      <c r="L1044">
        <v>1519000</v>
      </c>
      <c r="M1044" t="b">
        <v>0</v>
      </c>
      <c r="N1044" t="b">
        <v>0</v>
      </c>
      <c r="O1044">
        <v>5000</v>
      </c>
      <c r="P1044" t="b">
        <v>0</v>
      </c>
      <c r="Q1044" t="b">
        <v>0</v>
      </c>
      <c r="R1044" t="b">
        <v>0</v>
      </c>
      <c r="S1044" t="s">
        <v>96</v>
      </c>
      <c r="T1044" t="s">
        <v>102</v>
      </c>
    </row>
    <row r="1045" spans="1:21" x14ac:dyDescent="0.3">
      <c r="A1045" t="s">
        <v>1150</v>
      </c>
      <c r="B1045" s="1">
        <v>46164</v>
      </c>
      <c r="C1045" s="1">
        <v>46165</v>
      </c>
      <c r="D1045" s="1">
        <v>46168</v>
      </c>
      <c r="E1045" s="1">
        <v>46168</v>
      </c>
      <c r="F1045" t="s">
        <v>33</v>
      </c>
      <c r="G1045" t="s">
        <v>57</v>
      </c>
      <c r="H1045" t="s">
        <v>20</v>
      </c>
      <c r="I1045" t="s">
        <v>43</v>
      </c>
      <c r="J1045">
        <v>528.6</v>
      </c>
      <c r="K1045">
        <v>2691.2</v>
      </c>
      <c r="L1045">
        <v>8816000</v>
      </c>
      <c r="M1045" t="b">
        <v>0</v>
      </c>
      <c r="N1045" t="b">
        <v>0</v>
      </c>
      <c r="O1045">
        <v>5000</v>
      </c>
      <c r="P1045" t="b">
        <v>0</v>
      </c>
      <c r="Q1045" t="b">
        <v>0</v>
      </c>
      <c r="R1045" t="b">
        <v>0</v>
      </c>
      <c r="S1045" t="s">
        <v>96</v>
      </c>
      <c r="T1045" t="s">
        <v>102</v>
      </c>
    </row>
    <row r="1046" spans="1:21" x14ac:dyDescent="0.3">
      <c r="A1046" t="s">
        <v>1151</v>
      </c>
      <c r="B1046" s="1">
        <v>46133</v>
      </c>
      <c r="C1046" s="1">
        <v>46134</v>
      </c>
      <c r="D1046" s="1">
        <v>46138</v>
      </c>
      <c r="E1046" s="1">
        <v>46138</v>
      </c>
      <c r="F1046" t="s">
        <v>31</v>
      </c>
      <c r="G1046" t="s">
        <v>62</v>
      </c>
      <c r="H1046" t="s">
        <v>22</v>
      </c>
      <c r="I1046" t="s">
        <v>43</v>
      </c>
      <c r="J1046">
        <v>680.9</v>
      </c>
      <c r="K1046">
        <v>3073.5</v>
      </c>
      <c r="L1046">
        <v>11188000</v>
      </c>
      <c r="M1046" t="b">
        <v>0</v>
      </c>
      <c r="N1046" t="b">
        <v>0</v>
      </c>
      <c r="O1046">
        <v>5000</v>
      </c>
      <c r="P1046" t="b">
        <v>0</v>
      </c>
      <c r="Q1046" t="b">
        <v>0</v>
      </c>
      <c r="R1046" t="b">
        <v>0</v>
      </c>
      <c r="S1046" t="s">
        <v>96</v>
      </c>
      <c r="T1046" t="s">
        <v>112</v>
      </c>
    </row>
    <row r="1047" spans="1:21" x14ac:dyDescent="0.3">
      <c r="A1047" t="s">
        <v>1152</v>
      </c>
      <c r="B1047" s="1">
        <v>46024</v>
      </c>
      <c r="C1047" s="1">
        <v>46025</v>
      </c>
      <c r="D1047" s="1">
        <v>46029</v>
      </c>
      <c r="E1047" s="1">
        <v>46029</v>
      </c>
      <c r="F1047" t="s">
        <v>34</v>
      </c>
      <c r="G1047" t="s">
        <v>62</v>
      </c>
      <c r="H1047" t="s">
        <v>24</v>
      </c>
      <c r="I1047" t="s">
        <v>43</v>
      </c>
      <c r="J1047">
        <v>748.7</v>
      </c>
      <c r="K1047">
        <v>2989.2</v>
      </c>
      <c r="L1047">
        <v>10638000</v>
      </c>
      <c r="M1047" t="b">
        <v>0</v>
      </c>
      <c r="N1047" t="b">
        <v>0</v>
      </c>
      <c r="O1047">
        <v>5000</v>
      </c>
      <c r="P1047" t="b">
        <v>0</v>
      </c>
      <c r="Q1047" t="b">
        <v>0</v>
      </c>
      <c r="R1047" t="b">
        <v>0</v>
      </c>
      <c r="S1047" t="s">
        <v>96</v>
      </c>
      <c r="T1047" t="s">
        <v>104</v>
      </c>
    </row>
    <row r="1048" spans="1:21" x14ac:dyDescent="0.3">
      <c r="A1048" t="s">
        <v>1153</v>
      </c>
      <c r="B1048" s="1">
        <v>46041</v>
      </c>
      <c r="C1048" s="1">
        <v>46042</v>
      </c>
      <c r="D1048" s="1">
        <v>46046</v>
      </c>
      <c r="E1048" s="1">
        <v>46046</v>
      </c>
      <c r="F1048" t="s">
        <v>33</v>
      </c>
      <c r="G1048" t="s">
        <v>55</v>
      </c>
      <c r="H1048" t="s">
        <v>20</v>
      </c>
      <c r="I1048" t="s">
        <v>44</v>
      </c>
      <c r="J1048">
        <v>620.9</v>
      </c>
      <c r="K1048">
        <v>1061.3</v>
      </c>
      <c r="L1048">
        <v>7983000</v>
      </c>
      <c r="M1048" t="b">
        <v>0</v>
      </c>
      <c r="N1048" t="b">
        <v>0</v>
      </c>
      <c r="O1048">
        <v>1500</v>
      </c>
      <c r="P1048" t="b">
        <v>0</v>
      </c>
      <c r="Q1048" t="b">
        <v>0</v>
      </c>
      <c r="R1048" t="b">
        <v>0</v>
      </c>
      <c r="S1048" t="s">
        <v>96</v>
      </c>
      <c r="T1048" t="s">
        <v>104</v>
      </c>
    </row>
    <row r="1049" spans="1:21" x14ac:dyDescent="0.3">
      <c r="A1049" t="s">
        <v>1154</v>
      </c>
      <c r="B1049" s="1">
        <v>46169</v>
      </c>
      <c r="C1049" s="1">
        <v>46169</v>
      </c>
      <c r="D1049" s="1">
        <v>46172</v>
      </c>
      <c r="E1049" s="1">
        <v>46173</v>
      </c>
      <c r="F1049" t="s">
        <v>32</v>
      </c>
      <c r="G1049" t="s">
        <v>60</v>
      </c>
      <c r="H1049" t="s">
        <v>21</v>
      </c>
      <c r="I1049" t="s">
        <v>45</v>
      </c>
      <c r="J1049">
        <v>451.2</v>
      </c>
      <c r="K1049">
        <v>886.7</v>
      </c>
      <c r="L1049">
        <v>4931000</v>
      </c>
      <c r="M1049" t="b">
        <v>0</v>
      </c>
      <c r="N1049" t="b">
        <v>0</v>
      </c>
      <c r="O1049">
        <v>1000</v>
      </c>
      <c r="P1049" t="b">
        <v>0</v>
      </c>
      <c r="Q1049" t="b">
        <v>0</v>
      </c>
      <c r="R1049" t="b">
        <v>0</v>
      </c>
      <c r="S1049" t="s">
        <v>101</v>
      </c>
      <c r="T1049" t="s">
        <v>102</v>
      </c>
      <c r="U1049">
        <v>1</v>
      </c>
    </row>
    <row r="1050" spans="1:21" x14ac:dyDescent="0.3">
      <c r="A1050" t="s">
        <v>1155</v>
      </c>
      <c r="B1050" s="1">
        <v>46181</v>
      </c>
      <c r="C1050" s="1">
        <v>46181</v>
      </c>
      <c r="D1050" s="1">
        <v>46185</v>
      </c>
      <c r="E1050" s="1">
        <v>46185</v>
      </c>
      <c r="F1050" t="s">
        <v>33</v>
      </c>
      <c r="G1050" t="s">
        <v>56</v>
      </c>
      <c r="H1050" t="s">
        <v>24</v>
      </c>
      <c r="I1050" t="s">
        <v>44</v>
      </c>
      <c r="J1050">
        <v>1636.3</v>
      </c>
      <c r="K1050">
        <v>533.20000000000005</v>
      </c>
      <c r="L1050">
        <v>17573000</v>
      </c>
      <c r="M1050" t="b">
        <v>0</v>
      </c>
      <c r="N1050" t="b">
        <v>0</v>
      </c>
      <c r="O1050">
        <v>1500</v>
      </c>
      <c r="P1050" t="b">
        <v>0</v>
      </c>
      <c r="Q1050" t="b">
        <v>0</v>
      </c>
      <c r="R1050" t="b">
        <v>0</v>
      </c>
      <c r="S1050" t="s">
        <v>96</v>
      </c>
      <c r="T1050" t="s">
        <v>99</v>
      </c>
    </row>
    <row r="1051" spans="1:21" x14ac:dyDescent="0.3">
      <c r="A1051" t="s">
        <v>1156</v>
      </c>
      <c r="B1051" s="1">
        <v>46172</v>
      </c>
      <c r="C1051" s="1">
        <v>46173</v>
      </c>
      <c r="D1051" s="1">
        <v>46177</v>
      </c>
      <c r="E1051" s="1">
        <v>46177</v>
      </c>
      <c r="F1051" t="s">
        <v>33</v>
      </c>
      <c r="G1051" t="s">
        <v>57</v>
      </c>
      <c r="H1051" t="s">
        <v>21</v>
      </c>
      <c r="I1051" t="s">
        <v>43</v>
      </c>
      <c r="J1051">
        <v>466.4</v>
      </c>
      <c r="K1051">
        <v>3595</v>
      </c>
      <c r="L1051">
        <v>7645000</v>
      </c>
      <c r="M1051" t="b">
        <v>0</v>
      </c>
      <c r="N1051" t="b">
        <v>0</v>
      </c>
      <c r="O1051">
        <v>5000</v>
      </c>
      <c r="P1051" t="b">
        <v>0</v>
      </c>
      <c r="Q1051" t="b">
        <v>0</v>
      </c>
      <c r="R1051" t="b">
        <v>0</v>
      </c>
      <c r="S1051" t="s">
        <v>96</v>
      </c>
      <c r="T1051" t="s">
        <v>102</v>
      </c>
    </row>
    <row r="1052" spans="1:21" x14ac:dyDescent="0.3">
      <c r="A1052" t="s">
        <v>1157</v>
      </c>
      <c r="B1052" s="1">
        <v>46042</v>
      </c>
      <c r="C1052" s="1">
        <v>46043</v>
      </c>
      <c r="D1052" s="1">
        <v>46044</v>
      </c>
      <c r="E1052" s="1">
        <v>46044</v>
      </c>
      <c r="F1052" t="s">
        <v>34</v>
      </c>
      <c r="G1052" t="s">
        <v>55</v>
      </c>
      <c r="H1052" t="s">
        <v>21</v>
      </c>
      <c r="I1052" t="s">
        <v>44</v>
      </c>
      <c r="J1052">
        <v>57.5</v>
      </c>
      <c r="K1052">
        <v>791</v>
      </c>
      <c r="L1052">
        <v>1470000</v>
      </c>
      <c r="M1052" t="b">
        <v>0</v>
      </c>
      <c r="N1052" t="b">
        <v>0</v>
      </c>
      <c r="O1052">
        <v>1500</v>
      </c>
      <c r="P1052" t="b">
        <v>0</v>
      </c>
      <c r="Q1052" t="b">
        <v>0</v>
      </c>
      <c r="R1052" t="b">
        <v>0</v>
      </c>
      <c r="S1052" t="s">
        <v>96</v>
      </c>
      <c r="T1052" t="s">
        <v>104</v>
      </c>
    </row>
    <row r="1053" spans="1:21" x14ac:dyDescent="0.3">
      <c r="A1053" t="s">
        <v>1158</v>
      </c>
      <c r="B1053" s="1">
        <v>46174</v>
      </c>
      <c r="C1053" s="1">
        <v>46174</v>
      </c>
      <c r="D1053" s="1">
        <v>46177</v>
      </c>
      <c r="E1053" s="1">
        <v>46177</v>
      </c>
      <c r="F1053" t="s">
        <v>33</v>
      </c>
      <c r="G1053" t="s">
        <v>57</v>
      </c>
      <c r="H1053" t="s">
        <v>22</v>
      </c>
      <c r="I1053" t="s">
        <v>43</v>
      </c>
      <c r="J1053">
        <v>444.9</v>
      </c>
      <c r="K1053">
        <v>4203.3999999999996</v>
      </c>
      <c r="L1053">
        <v>7707000</v>
      </c>
      <c r="M1053" t="b">
        <v>0</v>
      </c>
      <c r="N1053" t="b">
        <v>0</v>
      </c>
      <c r="O1053">
        <v>5000</v>
      </c>
      <c r="P1053" t="b">
        <v>0</v>
      </c>
      <c r="Q1053" t="b">
        <v>0</v>
      </c>
      <c r="R1053" t="b">
        <v>0</v>
      </c>
      <c r="S1053" t="s">
        <v>96</v>
      </c>
      <c r="T1053" t="s">
        <v>99</v>
      </c>
    </row>
    <row r="1054" spans="1:21" x14ac:dyDescent="0.3">
      <c r="A1054" t="s">
        <v>1159</v>
      </c>
      <c r="B1054" s="1">
        <v>46048</v>
      </c>
      <c r="C1054" s="1">
        <v>46050</v>
      </c>
      <c r="D1054" s="1">
        <v>46051</v>
      </c>
      <c r="E1054" s="1">
        <v>46051</v>
      </c>
      <c r="F1054" t="s">
        <v>31</v>
      </c>
      <c r="G1054" t="s">
        <v>55</v>
      </c>
      <c r="H1054" t="s">
        <v>22</v>
      </c>
      <c r="I1054" t="s">
        <v>43</v>
      </c>
      <c r="J1054">
        <v>19.600000000000001</v>
      </c>
      <c r="K1054">
        <v>540.70000000000005</v>
      </c>
      <c r="L1054">
        <v>1219000</v>
      </c>
      <c r="M1054" t="b">
        <v>0</v>
      </c>
      <c r="N1054" t="b">
        <v>0</v>
      </c>
      <c r="O1054">
        <v>5000</v>
      </c>
      <c r="P1054" t="b">
        <v>0</v>
      </c>
      <c r="Q1054" t="b">
        <v>0</v>
      </c>
      <c r="R1054" t="b">
        <v>0</v>
      </c>
      <c r="S1054" t="s">
        <v>96</v>
      </c>
      <c r="T1054" t="s">
        <v>104</v>
      </c>
    </row>
    <row r="1055" spans="1:21" x14ac:dyDescent="0.3">
      <c r="A1055" t="s">
        <v>1160</v>
      </c>
      <c r="B1055" s="1">
        <v>46151</v>
      </c>
      <c r="C1055" s="1">
        <v>46151</v>
      </c>
      <c r="D1055" s="1">
        <v>46153</v>
      </c>
      <c r="E1055" s="1">
        <v>46153</v>
      </c>
      <c r="F1055" t="s">
        <v>34</v>
      </c>
      <c r="G1055" t="s">
        <v>58</v>
      </c>
      <c r="H1055" t="s">
        <v>20</v>
      </c>
      <c r="I1055" t="s">
        <v>43</v>
      </c>
      <c r="J1055">
        <v>145</v>
      </c>
      <c r="K1055">
        <v>931</v>
      </c>
      <c r="L1055">
        <v>2585000</v>
      </c>
      <c r="M1055" t="b">
        <v>0</v>
      </c>
      <c r="N1055" t="b">
        <v>0</v>
      </c>
      <c r="O1055">
        <v>5000</v>
      </c>
      <c r="P1055" t="b">
        <v>0</v>
      </c>
      <c r="Q1055" t="b">
        <v>0</v>
      </c>
      <c r="R1055" t="b">
        <v>0</v>
      </c>
      <c r="S1055" t="s">
        <v>96</v>
      </c>
      <c r="T1055" t="s">
        <v>102</v>
      </c>
    </row>
    <row r="1056" spans="1:21" x14ac:dyDescent="0.3">
      <c r="A1056" t="s">
        <v>1161</v>
      </c>
      <c r="B1056" s="1">
        <v>46123</v>
      </c>
      <c r="C1056" s="1">
        <v>46124</v>
      </c>
      <c r="D1056" s="1">
        <v>46126</v>
      </c>
      <c r="E1056" s="1">
        <v>46126</v>
      </c>
      <c r="F1056" t="s">
        <v>32</v>
      </c>
      <c r="G1056" t="s">
        <v>59</v>
      </c>
      <c r="H1056" t="s">
        <v>23</v>
      </c>
      <c r="I1056" t="s">
        <v>43</v>
      </c>
      <c r="J1056">
        <v>168.6</v>
      </c>
      <c r="K1056">
        <v>1965.6</v>
      </c>
      <c r="L1056">
        <v>3370000</v>
      </c>
      <c r="M1056" t="b">
        <v>0</v>
      </c>
      <c r="N1056" t="b">
        <v>0</v>
      </c>
      <c r="O1056">
        <v>5000</v>
      </c>
      <c r="P1056" t="b">
        <v>0</v>
      </c>
      <c r="Q1056" t="b">
        <v>0</v>
      </c>
      <c r="R1056" t="b">
        <v>0</v>
      </c>
      <c r="S1056" t="s">
        <v>96</v>
      </c>
      <c r="T1056" t="s">
        <v>112</v>
      </c>
    </row>
    <row r="1057" spans="1:21" x14ac:dyDescent="0.3">
      <c r="A1057" t="s">
        <v>1162</v>
      </c>
      <c r="B1057" s="1">
        <v>46189</v>
      </c>
      <c r="C1057" s="1">
        <v>46190</v>
      </c>
      <c r="D1057" s="1">
        <v>46193</v>
      </c>
      <c r="E1057" s="1">
        <v>46193</v>
      </c>
      <c r="F1057" t="s">
        <v>31</v>
      </c>
      <c r="G1057" t="s">
        <v>54</v>
      </c>
      <c r="H1057" t="s">
        <v>20</v>
      </c>
      <c r="I1057" t="s">
        <v>43</v>
      </c>
      <c r="J1057">
        <v>507.1</v>
      </c>
      <c r="K1057">
        <v>517.79999999999995</v>
      </c>
      <c r="L1057">
        <v>6640000</v>
      </c>
      <c r="M1057" t="b">
        <v>0</v>
      </c>
      <c r="N1057" t="b">
        <v>0</v>
      </c>
      <c r="O1057">
        <v>5000</v>
      </c>
      <c r="P1057" t="b">
        <v>0</v>
      </c>
      <c r="Q1057" t="b">
        <v>0</v>
      </c>
      <c r="R1057" t="b">
        <v>0</v>
      </c>
      <c r="S1057" t="s">
        <v>96</v>
      </c>
      <c r="T1057" t="s">
        <v>99</v>
      </c>
    </row>
    <row r="1058" spans="1:21" x14ac:dyDescent="0.3">
      <c r="A1058" t="s">
        <v>1163</v>
      </c>
      <c r="B1058" s="1">
        <v>46049</v>
      </c>
      <c r="C1058" s="1">
        <v>46050</v>
      </c>
      <c r="D1058" s="1">
        <v>46053</v>
      </c>
      <c r="F1058" t="s">
        <v>33</v>
      </c>
      <c r="G1058" t="s">
        <v>53</v>
      </c>
      <c r="H1058" t="s">
        <v>21</v>
      </c>
      <c r="I1058" t="s">
        <v>43</v>
      </c>
      <c r="J1058">
        <v>580.79999999999995</v>
      </c>
      <c r="K1058">
        <v>3583.4</v>
      </c>
      <c r="L1058">
        <v>9027000</v>
      </c>
      <c r="M1058" t="b">
        <v>0</v>
      </c>
      <c r="N1058" t="b">
        <v>0</v>
      </c>
      <c r="O1058">
        <v>5000</v>
      </c>
      <c r="P1058" t="b">
        <v>0</v>
      </c>
      <c r="Q1058" t="b">
        <v>0</v>
      </c>
      <c r="R1058" t="b">
        <v>0</v>
      </c>
      <c r="S1058" t="s">
        <v>203</v>
      </c>
      <c r="T1058" t="s">
        <v>104</v>
      </c>
    </row>
    <row r="1059" spans="1:21" x14ac:dyDescent="0.3">
      <c r="A1059" t="s">
        <v>1164</v>
      </c>
      <c r="B1059" s="1">
        <v>46056</v>
      </c>
      <c r="C1059" s="1">
        <v>46056</v>
      </c>
      <c r="D1059" s="1">
        <v>46059</v>
      </c>
      <c r="E1059" s="1">
        <v>46061</v>
      </c>
      <c r="F1059" t="s">
        <v>32</v>
      </c>
      <c r="G1059" t="s">
        <v>54</v>
      </c>
      <c r="H1059" t="s">
        <v>20</v>
      </c>
      <c r="I1059" t="s">
        <v>42</v>
      </c>
      <c r="J1059">
        <v>550.1</v>
      </c>
      <c r="K1059">
        <v>9368.2000000000007</v>
      </c>
      <c r="L1059">
        <v>13360000</v>
      </c>
      <c r="M1059" t="b">
        <v>0</v>
      </c>
      <c r="N1059" t="b">
        <v>0</v>
      </c>
      <c r="O1059">
        <v>16000</v>
      </c>
      <c r="P1059" t="b">
        <v>0</v>
      </c>
      <c r="Q1059" t="b">
        <v>0</v>
      </c>
      <c r="R1059" t="b">
        <v>0</v>
      </c>
      <c r="S1059" t="s">
        <v>101</v>
      </c>
      <c r="T1059" t="s">
        <v>115</v>
      </c>
      <c r="U1059">
        <v>2</v>
      </c>
    </row>
    <row r="1060" spans="1:21" x14ac:dyDescent="0.3">
      <c r="A1060" t="s">
        <v>1165</v>
      </c>
      <c r="B1060" s="1">
        <v>46050</v>
      </c>
      <c r="C1060" s="1">
        <v>46051</v>
      </c>
      <c r="D1060" s="1">
        <v>46056</v>
      </c>
      <c r="E1060" s="1">
        <v>46056</v>
      </c>
      <c r="F1060" t="s">
        <v>33</v>
      </c>
      <c r="G1060" t="s">
        <v>58</v>
      </c>
      <c r="H1060" t="s">
        <v>21</v>
      </c>
      <c r="I1060" t="s">
        <v>43</v>
      </c>
      <c r="J1060">
        <v>710.5</v>
      </c>
      <c r="K1060">
        <v>616.79999999999995</v>
      </c>
      <c r="L1060">
        <v>10428000</v>
      </c>
      <c r="M1060" t="b">
        <v>0</v>
      </c>
      <c r="N1060" t="b">
        <v>0</v>
      </c>
      <c r="O1060">
        <v>5000</v>
      </c>
      <c r="P1060" t="b">
        <v>0</v>
      </c>
      <c r="Q1060" t="b">
        <v>0</v>
      </c>
      <c r="R1060" t="b">
        <v>0</v>
      </c>
      <c r="S1060" t="s">
        <v>96</v>
      </c>
      <c r="T1060" t="s">
        <v>104</v>
      </c>
    </row>
    <row r="1061" spans="1:21" x14ac:dyDescent="0.3">
      <c r="A1061" t="s">
        <v>1166</v>
      </c>
      <c r="B1061" s="1">
        <v>46042</v>
      </c>
      <c r="C1061" s="1">
        <v>46043</v>
      </c>
      <c r="D1061" s="1">
        <v>46047</v>
      </c>
      <c r="E1061" s="1">
        <v>46047</v>
      </c>
      <c r="F1061" t="s">
        <v>31</v>
      </c>
      <c r="G1061" t="s">
        <v>62</v>
      </c>
      <c r="H1061" t="s">
        <v>23</v>
      </c>
      <c r="I1061" t="s">
        <v>44</v>
      </c>
      <c r="J1061">
        <v>729.5</v>
      </c>
      <c r="K1061">
        <v>540.5</v>
      </c>
      <c r="L1061">
        <v>8187000</v>
      </c>
      <c r="M1061" t="b">
        <v>0</v>
      </c>
      <c r="N1061" t="b">
        <v>0</v>
      </c>
      <c r="O1061">
        <v>1500</v>
      </c>
      <c r="P1061" t="b">
        <v>0</v>
      </c>
      <c r="Q1061" t="b">
        <v>0</v>
      </c>
      <c r="R1061" t="b">
        <v>0</v>
      </c>
      <c r="S1061" t="s">
        <v>96</v>
      </c>
      <c r="T1061" t="s">
        <v>104</v>
      </c>
    </row>
    <row r="1062" spans="1:21" x14ac:dyDescent="0.3">
      <c r="A1062" t="s">
        <v>1167</v>
      </c>
      <c r="B1062" s="1">
        <v>46137</v>
      </c>
      <c r="C1062" s="1">
        <v>46138</v>
      </c>
      <c r="D1062" s="1">
        <v>46139</v>
      </c>
      <c r="E1062" s="1">
        <v>46138</v>
      </c>
      <c r="F1062" t="s">
        <v>34</v>
      </c>
      <c r="G1062" t="s">
        <v>61</v>
      </c>
      <c r="H1062" t="s">
        <v>21</v>
      </c>
      <c r="I1062" t="s">
        <v>44</v>
      </c>
      <c r="J1062">
        <v>26.5</v>
      </c>
      <c r="K1062">
        <v>1092.8</v>
      </c>
      <c r="L1062">
        <v>1039000</v>
      </c>
      <c r="M1062" t="b">
        <v>0</v>
      </c>
      <c r="N1062" t="b">
        <v>0</v>
      </c>
      <c r="O1062">
        <v>1500</v>
      </c>
      <c r="P1062" t="b">
        <v>0</v>
      </c>
      <c r="Q1062" t="b">
        <v>0</v>
      </c>
      <c r="R1062" t="b">
        <v>0</v>
      </c>
      <c r="S1062" t="s">
        <v>96</v>
      </c>
      <c r="T1062" t="s">
        <v>112</v>
      </c>
    </row>
    <row r="1063" spans="1:21" x14ac:dyDescent="0.3">
      <c r="A1063" t="s">
        <v>1168</v>
      </c>
      <c r="B1063" s="1">
        <v>46156</v>
      </c>
      <c r="C1063" s="1">
        <v>46157</v>
      </c>
      <c r="D1063" s="1">
        <v>46159</v>
      </c>
      <c r="E1063" s="1">
        <v>46159</v>
      </c>
      <c r="F1063" t="s">
        <v>32</v>
      </c>
      <c r="G1063" t="s">
        <v>55</v>
      </c>
      <c r="H1063" t="s">
        <v>20</v>
      </c>
      <c r="I1063" t="s">
        <v>43</v>
      </c>
      <c r="J1063">
        <v>130</v>
      </c>
      <c r="K1063">
        <v>4203.5</v>
      </c>
      <c r="L1063">
        <v>3269000</v>
      </c>
      <c r="M1063" t="b">
        <v>0</v>
      </c>
      <c r="N1063" t="b">
        <v>0</v>
      </c>
      <c r="O1063">
        <v>5000</v>
      </c>
      <c r="P1063" t="b">
        <v>0</v>
      </c>
      <c r="Q1063" t="b">
        <v>0</v>
      </c>
      <c r="R1063" t="b">
        <v>0</v>
      </c>
      <c r="S1063" t="s">
        <v>96</v>
      </c>
      <c r="T1063" t="s">
        <v>102</v>
      </c>
    </row>
    <row r="1064" spans="1:21" x14ac:dyDescent="0.3">
      <c r="A1064" t="s">
        <v>1169</v>
      </c>
      <c r="B1064" s="1">
        <v>46107</v>
      </c>
      <c r="C1064" s="1">
        <v>46108</v>
      </c>
      <c r="D1064" s="1">
        <v>46109</v>
      </c>
      <c r="E1064" s="1">
        <v>46109</v>
      </c>
      <c r="F1064" t="s">
        <v>34</v>
      </c>
      <c r="G1064" t="s">
        <v>55</v>
      </c>
      <c r="H1064" t="s">
        <v>20</v>
      </c>
      <c r="I1064" t="s">
        <v>44</v>
      </c>
      <c r="J1064">
        <v>61.1</v>
      </c>
      <c r="K1064">
        <v>503.1</v>
      </c>
      <c r="L1064">
        <v>1372000</v>
      </c>
      <c r="M1064" t="b">
        <v>0</v>
      </c>
      <c r="N1064" t="b">
        <v>0</v>
      </c>
      <c r="O1064">
        <v>1500</v>
      </c>
      <c r="P1064" t="b">
        <v>0</v>
      </c>
      <c r="Q1064" t="b">
        <v>0</v>
      </c>
      <c r="R1064" t="b">
        <v>0</v>
      </c>
      <c r="S1064" t="s">
        <v>96</v>
      </c>
      <c r="T1064" t="s">
        <v>118</v>
      </c>
    </row>
    <row r="1065" spans="1:21" x14ac:dyDescent="0.3">
      <c r="A1065" t="s">
        <v>1170</v>
      </c>
      <c r="B1065" s="1">
        <v>46040</v>
      </c>
      <c r="C1065" s="1">
        <v>46041</v>
      </c>
      <c r="D1065" s="1">
        <v>46043</v>
      </c>
      <c r="E1065" s="1">
        <v>46043</v>
      </c>
      <c r="F1065" t="s">
        <v>34</v>
      </c>
      <c r="G1065" t="s">
        <v>57</v>
      </c>
      <c r="H1065" t="s">
        <v>20</v>
      </c>
      <c r="I1065" t="s">
        <v>44</v>
      </c>
      <c r="J1065">
        <v>154.30000000000001</v>
      </c>
      <c r="K1065">
        <v>903.9</v>
      </c>
      <c r="L1065">
        <v>2395000</v>
      </c>
      <c r="M1065" t="b">
        <v>0</v>
      </c>
      <c r="N1065" t="b">
        <v>0</v>
      </c>
      <c r="O1065">
        <v>1500</v>
      </c>
      <c r="P1065" t="b">
        <v>0</v>
      </c>
      <c r="Q1065" t="b">
        <v>0</v>
      </c>
      <c r="R1065" t="b">
        <v>0</v>
      </c>
      <c r="S1065" t="s">
        <v>96</v>
      </c>
      <c r="T1065" t="s">
        <v>104</v>
      </c>
    </row>
    <row r="1066" spans="1:21" x14ac:dyDescent="0.3">
      <c r="A1066" t="s">
        <v>1171</v>
      </c>
      <c r="B1066" s="1">
        <v>46056</v>
      </c>
      <c r="C1066" s="1">
        <v>46057</v>
      </c>
      <c r="D1066" s="1">
        <v>46060</v>
      </c>
      <c r="E1066" s="1">
        <v>46060</v>
      </c>
      <c r="F1066" t="s">
        <v>34</v>
      </c>
      <c r="G1066" t="s">
        <v>54</v>
      </c>
      <c r="H1066" t="s">
        <v>23</v>
      </c>
      <c r="I1066" t="s">
        <v>43</v>
      </c>
      <c r="J1066">
        <v>423.1</v>
      </c>
      <c r="K1066">
        <v>1478.7</v>
      </c>
      <c r="L1066">
        <v>6881000</v>
      </c>
      <c r="M1066" t="b">
        <v>0</v>
      </c>
      <c r="N1066" t="b">
        <v>0</v>
      </c>
      <c r="O1066">
        <v>5000</v>
      </c>
      <c r="P1066" t="b">
        <v>0</v>
      </c>
      <c r="Q1066" t="b">
        <v>0</v>
      </c>
      <c r="R1066" t="b">
        <v>0</v>
      </c>
      <c r="S1066" t="s">
        <v>96</v>
      </c>
      <c r="T1066" t="s">
        <v>115</v>
      </c>
    </row>
    <row r="1067" spans="1:21" x14ac:dyDescent="0.3">
      <c r="A1067" t="s">
        <v>1172</v>
      </c>
      <c r="B1067" s="1">
        <v>46140</v>
      </c>
      <c r="C1067" s="1">
        <v>46141</v>
      </c>
      <c r="D1067" s="1">
        <v>46143</v>
      </c>
      <c r="E1067" s="1">
        <v>46143</v>
      </c>
      <c r="F1067" t="s">
        <v>34</v>
      </c>
      <c r="G1067" t="s">
        <v>58</v>
      </c>
      <c r="H1067" t="s">
        <v>22</v>
      </c>
      <c r="I1067" t="s">
        <v>43</v>
      </c>
      <c r="J1067">
        <v>136.6</v>
      </c>
      <c r="K1067">
        <v>3261.2</v>
      </c>
      <c r="L1067">
        <v>3608000</v>
      </c>
      <c r="M1067" t="b">
        <v>0</v>
      </c>
      <c r="N1067" t="b">
        <v>0</v>
      </c>
      <c r="O1067">
        <v>5000</v>
      </c>
      <c r="P1067" t="b">
        <v>0</v>
      </c>
      <c r="Q1067" t="b">
        <v>0</v>
      </c>
      <c r="R1067" t="b">
        <v>0</v>
      </c>
      <c r="S1067" t="s">
        <v>96</v>
      </c>
      <c r="T1067" t="s">
        <v>112</v>
      </c>
    </row>
    <row r="1068" spans="1:21" x14ac:dyDescent="0.3">
      <c r="A1068" t="s">
        <v>1173</v>
      </c>
      <c r="B1068" s="1">
        <v>46167</v>
      </c>
      <c r="C1068" s="1">
        <v>46168</v>
      </c>
      <c r="D1068" s="1">
        <v>46173</v>
      </c>
      <c r="E1068" s="1">
        <v>46174</v>
      </c>
      <c r="F1068" t="s">
        <v>33</v>
      </c>
      <c r="G1068" t="s">
        <v>56</v>
      </c>
      <c r="H1068" t="s">
        <v>24</v>
      </c>
      <c r="I1068" t="s">
        <v>43</v>
      </c>
      <c r="J1068">
        <v>1551.2</v>
      </c>
      <c r="K1068">
        <v>2501.3000000000002</v>
      </c>
      <c r="L1068">
        <v>21927000</v>
      </c>
      <c r="M1068" t="b">
        <v>0</v>
      </c>
      <c r="N1068" t="b">
        <v>0</v>
      </c>
      <c r="O1068">
        <v>5000</v>
      </c>
      <c r="P1068" t="b">
        <v>0</v>
      </c>
      <c r="Q1068" t="b">
        <v>0</v>
      </c>
      <c r="R1068" t="b">
        <v>0</v>
      </c>
      <c r="S1068" t="s">
        <v>101</v>
      </c>
      <c r="T1068" t="s">
        <v>102</v>
      </c>
      <c r="U1068">
        <v>1</v>
      </c>
    </row>
    <row r="1069" spans="1:21" x14ac:dyDescent="0.3">
      <c r="A1069" t="s">
        <v>1174</v>
      </c>
      <c r="B1069" s="1">
        <v>46070</v>
      </c>
      <c r="C1069" s="1">
        <v>46070</v>
      </c>
      <c r="D1069" s="1">
        <v>46074</v>
      </c>
      <c r="E1069" s="1">
        <v>46076</v>
      </c>
      <c r="F1069" t="s">
        <v>34</v>
      </c>
      <c r="G1069" t="s">
        <v>56</v>
      </c>
      <c r="H1069" t="s">
        <v>20</v>
      </c>
      <c r="I1069" t="s">
        <v>45</v>
      </c>
      <c r="J1069">
        <v>908.1</v>
      </c>
      <c r="K1069">
        <v>496.5</v>
      </c>
      <c r="L1069">
        <v>8366000</v>
      </c>
      <c r="M1069" t="b">
        <v>0</v>
      </c>
      <c r="N1069" t="b">
        <v>0</v>
      </c>
      <c r="O1069">
        <v>1000</v>
      </c>
      <c r="P1069" t="b">
        <v>0</v>
      </c>
      <c r="Q1069" t="b">
        <v>0</v>
      </c>
      <c r="R1069" t="b">
        <v>0</v>
      </c>
      <c r="S1069" t="s">
        <v>101</v>
      </c>
      <c r="T1069" t="s">
        <v>115</v>
      </c>
      <c r="U1069">
        <v>2</v>
      </c>
    </row>
    <row r="1070" spans="1:21" x14ac:dyDescent="0.3">
      <c r="A1070" t="s">
        <v>1175</v>
      </c>
      <c r="B1070" s="1">
        <v>46093</v>
      </c>
      <c r="C1070" s="1">
        <v>46095</v>
      </c>
      <c r="D1070" s="1">
        <v>46099</v>
      </c>
      <c r="E1070" s="1">
        <v>46100</v>
      </c>
      <c r="F1070" t="s">
        <v>32</v>
      </c>
      <c r="G1070" t="s">
        <v>62</v>
      </c>
      <c r="H1070" t="s">
        <v>23</v>
      </c>
      <c r="I1070" t="s">
        <v>43</v>
      </c>
      <c r="J1070">
        <v>612.6</v>
      </c>
      <c r="K1070">
        <v>968.7</v>
      </c>
      <c r="L1070">
        <v>8262000</v>
      </c>
      <c r="M1070" t="b">
        <v>0</v>
      </c>
      <c r="N1070" t="b">
        <v>0</v>
      </c>
      <c r="O1070">
        <v>5000</v>
      </c>
      <c r="P1070" t="b">
        <v>0</v>
      </c>
      <c r="Q1070" t="b">
        <v>0</v>
      </c>
      <c r="R1070" t="b">
        <v>0</v>
      </c>
      <c r="S1070" t="s">
        <v>101</v>
      </c>
      <c r="T1070" t="s">
        <v>118</v>
      </c>
      <c r="U1070">
        <v>1</v>
      </c>
    </row>
    <row r="1071" spans="1:21" x14ac:dyDescent="0.3">
      <c r="A1071" t="s">
        <v>1176</v>
      </c>
      <c r="B1071" s="1">
        <v>46155</v>
      </c>
      <c r="C1071" s="1">
        <v>46156</v>
      </c>
      <c r="D1071" s="1">
        <v>46159</v>
      </c>
      <c r="E1071" s="1">
        <v>46161</v>
      </c>
      <c r="F1071" t="s">
        <v>32</v>
      </c>
      <c r="G1071" t="s">
        <v>58</v>
      </c>
      <c r="H1071" t="s">
        <v>24</v>
      </c>
      <c r="I1071" t="s">
        <v>45</v>
      </c>
      <c r="J1071">
        <v>303.5</v>
      </c>
      <c r="K1071">
        <v>620.5</v>
      </c>
      <c r="L1071">
        <v>3150000</v>
      </c>
      <c r="M1071" t="b">
        <v>0</v>
      </c>
      <c r="N1071" t="b">
        <v>0</v>
      </c>
      <c r="O1071">
        <v>1000</v>
      </c>
      <c r="P1071" t="b">
        <v>0</v>
      </c>
      <c r="Q1071" t="b">
        <v>0</v>
      </c>
      <c r="R1071" t="b">
        <v>0</v>
      </c>
      <c r="S1071" t="s">
        <v>101</v>
      </c>
      <c r="T1071" t="s">
        <v>102</v>
      </c>
      <c r="U1071">
        <v>2</v>
      </c>
    </row>
    <row r="1072" spans="1:21" x14ac:dyDescent="0.3">
      <c r="A1072" t="s">
        <v>1177</v>
      </c>
      <c r="B1072" s="1">
        <v>46145</v>
      </c>
      <c r="C1072" s="1">
        <v>46146</v>
      </c>
      <c r="D1072" s="1">
        <v>46150</v>
      </c>
      <c r="E1072" s="1">
        <v>46151</v>
      </c>
      <c r="F1072" t="s">
        <v>33</v>
      </c>
      <c r="G1072" t="s">
        <v>56</v>
      </c>
      <c r="H1072" t="s">
        <v>23</v>
      </c>
      <c r="I1072" t="s">
        <v>45</v>
      </c>
      <c r="J1072">
        <v>1540.1</v>
      </c>
      <c r="K1072">
        <v>168.5</v>
      </c>
      <c r="L1072">
        <v>13927000</v>
      </c>
      <c r="M1072" t="b">
        <v>0</v>
      </c>
      <c r="N1072" t="b">
        <v>0</v>
      </c>
      <c r="O1072">
        <v>1000</v>
      </c>
      <c r="P1072" t="b">
        <v>0</v>
      </c>
      <c r="Q1072" t="b">
        <v>0</v>
      </c>
      <c r="R1072" t="b">
        <v>0</v>
      </c>
      <c r="S1072" t="s">
        <v>101</v>
      </c>
      <c r="T1072" t="s">
        <v>102</v>
      </c>
      <c r="U1072">
        <v>1</v>
      </c>
    </row>
    <row r="1073" spans="1:21" x14ac:dyDescent="0.3">
      <c r="A1073" t="s">
        <v>1178</v>
      </c>
      <c r="B1073" s="1">
        <v>46153</v>
      </c>
      <c r="C1073" s="1">
        <v>46154</v>
      </c>
      <c r="D1073" s="1">
        <v>46159</v>
      </c>
      <c r="E1073" s="1">
        <v>46160</v>
      </c>
      <c r="F1073" t="s">
        <v>31</v>
      </c>
      <c r="G1073" t="s">
        <v>62</v>
      </c>
      <c r="H1073" t="s">
        <v>24</v>
      </c>
      <c r="I1073" t="s">
        <v>45</v>
      </c>
      <c r="J1073">
        <v>751.5</v>
      </c>
      <c r="K1073">
        <v>570.20000000000005</v>
      </c>
      <c r="L1073">
        <v>6950000</v>
      </c>
      <c r="M1073" t="b">
        <v>0</v>
      </c>
      <c r="N1073" t="b">
        <v>0</v>
      </c>
      <c r="O1073">
        <v>1000</v>
      </c>
      <c r="P1073" t="b">
        <v>0</v>
      </c>
      <c r="Q1073" t="b">
        <v>0</v>
      </c>
      <c r="R1073" t="b">
        <v>0</v>
      </c>
      <c r="S1073" t="s">
        <v>101</v>
      </c>
      <c r="T1073" t="s">
        <v>102</v>
      </c>
      <c r="U1073">
        <v>1</v>
      </c>
    </row>
    <row r="1074" spans="1:21" x14ac:dyDescent="0.3">
      <c r="A1074" t="s">
        <v>1179</v>
      </c>
      <c r="B1074" s="1">
        <v>46118</v>
      </c>
      <c r="C1074" s="1">
        <v>46118</v>
      </c>
      <c r="D1074" s="1">
        <v>46120</v>
      </c>
      <c r="E1074" s="1">
        <v>46120</v>
      </c>
      <c r="F1074" t="s">
        <v>34</v>
      </c>
      <c r="G1074" t="s">
        <v>53</v>
      </c>
      <c r="H1074" t="s">
        <v>23</v>
      </c>
      <c r="I1074" t="s">
        <v>44</v>
      </c>
      <c r="J1074">
        <v>298.2</v>
      </c>
      <c r="K1074">
        <v>412.6</v>
      </c>
      <c r="L1074">
        <v>3396000</v>
      </c>
      <c r="M1074" t="b">
        <v>0</v>
      </c>
      <c r="N1074" t="b">
        <v>0</v>
      </c>
      <c r="O1074">
        <v>1500</v>
      </c>
      <c r="P1074" t="b">
        <v>0</v>
      </c>
      <c r="Q1074" t="b">
        <v>0</v>
      </c>
      <c r="R1074" t="b">
        <v>0</v>
      </c>
      <c r="S1074" t="s">
        <v>96</v>
      </c>
      <c r="T1074" t="s">
        <v>112</v>
      </c>
    </row>
    <row r="1075" spans="1:21" x14ac:dyDescent="0.3">
      <c r="A1075" t="s">
        <v>1180</v>
      </c>
      <c r="B1075" s="1">
        <v>46076</v>
      </c>
      <c r="C1075" s="1">
        <v>46076</v>
      </c>
      <c r="D1075" s="1">
        <v>46078</v>
      </c>
      <c r="E1075" s="1">
        <v>46078</v>
      </c>
      <c r="F1075" t="s">
        <v>34</v>
      </c>
      <c r="G1075" t="s">
        <v>57</v>
      </c>
      <c r="H1075" t="s">
        <v>24</v>
      </c>
      <c r="I1075" t="s">
        <v>42</v>
      </c>
      <c r="J1075">
        <v>165.8</v>
      </c>
      <c r="K1075">
        <v>5575.7</v>
      </c>
      <c r="L1075">
        <v>5626000</v>
      </c>
      <c r="M1075" t="b">
        <v>0</v>
      </c>
      <c r="N1075" t="b">
        <v>0</v>
      </c>
      <c r="O1075">
        <v>16000</v>
      </c>
      <c r="P1075" t="b">
        <v>0</v>
      </c>
      <c r="Q1075" t="b">
        <v>0</v>
      </c>
      <c r="R1075" t="b">
        <v>0</v>
      </c>
      <c r="S1075" t="s">
        <v>96</v>
      </c>
      <c r="T1075" t="s">
        <v>115</v>
      </c>
    </row>
    <row r="1076" spans="1:21" x14ac:dyDescent="0.3">
      <c r="A1076" t="s">
        <v>1181</v>
      </c>
      <c r="B1076" s="1">
        <v>46028</v>
      </c>
      <c r="C1076" s="1">
        <v>46029</v>
      </c>
      <c r="D1076" s="1">
        <v>46033</v>
      </c>
      <c r="E1076" s="1">
        <v>46033</v>
      </c>
      <c r="F1076" t="s">
        <v>34</v>
      </c>
      <c r="G1076" t="s">
        <v>62</v>
      </c>
      <c r="H1076" t="s">
        <v>21</v>
      </c>
      <c r="I1076" t="s">
        <v>43</v>
      </c>
      <c r="J1076">
        <v>740.5</v>
      </c>
      <c r="K1076">
        <v>724.6</v>
      </c>
      <c r="L1076">
        <v>8774000</v>
      </c>
      <c r="M1076" t="b">
        <v>0</v>
      </c>
      <c r="N1076" t="b">
        <v>0</v>
      </c>
      <c r="O1076">
        <v>5000</v>
      </c>
      <c r="P1076" t="b">
        <v>0</v>
      </c>
      <c r="Q1076" t="b">
        <v>0</v>
      </c>
      <c r="R1076" t="b">
        <v>0</v>
      </c>
      <c r="S1076" t="s">
        <v>96</v>
      </c>
      <c r="T1076" t="s">
        <v>104</v>
      </c>
    </row>
    <row r="1077" spans="1:21" x14ac:dyDescent="0.3">
      <c r="A1077" t="s">
        <v>1182</v>
      </c>
      <c r="B1077" s="1">
        <v>46025</v>
      </c>
      <c r="C1077" s="1">
        <v>46026</v>
      </c>
      <c r="D1077" s="1">
        <v>46030</v>
      </c>
      <c r="E1077" s="1">
        <v>46031</v>
      </c>
      <c r="F1077" t="s">
        <v>33</v>
      </c>
      <c r="G1077" t="s">
        <v>56</v>
      </c>
      <c r="H1077" t="s">
        <v>21</v>
      </c>
      <c r="I1077" t="s">
        <v>43</v>
      </c>
      <c r="J1077">
        <v>1393.6</v>
      </c>
      <c r="K1077">
        <v>3734.8</v>
      </c>
      <c r="L1077">
        <v>22302000</v>
      </c>
      <c r="M1077" t="b">
        <v>0</v>
      </c>
      <c r="N1077" t="b">
        <v>0</v>
      </c>
      <c r="O1077">
        <v>5000</v>
      </c>
      <c r="P1077" t="b">
        <v>0</v>
      </c>
      <c r="Q1077" t="b">
        <v>0</v>
      </c>
      <c r="R1077" t="b">
        <v>0</v>
      </c>
      <c r="S1077" t="s">
        <v>101</v>
      </c>
      <c r="T1077" t="s">
        <v>104</v>
      </c>
      <c r="U1077">
        <v>1</v>
      </c>
    </row>
    <row r="1078" spans="1:21" x14ac:dyDescent="0.3">
      <c r="A1078" t="s">
        <v>1183</v>
      </c>
      <c r="B1078" s="1">
        <v>46039</v>
      </c>
      <c r="C1078" s="1">
        <v>46040</v>
      </c>
      <c r="D1078" s="1">
        <v>46043</v>
      </c>
      <c r="E1078" s="1">
        <v>46043</v>
      </c>
      <c r="F1078" t="s">
        <v>33</v>
      </c>
      <c r="G1078" t="s">
        <v>52</v>
      </c>
      <c r="H1078" t="s">
        <v>22</v>
      </c>
      <c r="I1078" t="s">
        <v>45</v>
      </c>
      <c r="J1078">
        <v>548</v>
      </c>
      <c r="K1078">
        <v>644.70000000000005</v>
      </c>
      <c r="L1078">
        <v>5504000</v>
      </c>
      <c r="M1078" t="b">
        <v>0</v>
      </c>
      <c r="N1078" t="b">
        <v>0</v>
      </c>
      <c r="O1078">
        <v>1000</v>
      </c>
      <c r="P1078" t="b">
        <v>0</v>
      </c>
      <c r="Q1078" t="b">
        <v>0</v>
      </c>
      <c r="R1078" t="b">
        <v>0</v>
      </c>
      <c r="S1078" t="s">
        <v>96</v>
      </c>
      <c r="T1078" t="s">
        <v>104</v>
      </c>
    </row>
    <row r="1079" spans="1:21" x14ac:dyDescent="0.3">
      <c r="A1079" t="s">
        <v>1184</v>
      </c>
      <c r="B1079" s="1">
        <v>46054</v>
      </c>
      <c r="C1079" s="1">
        <v>46054</v>
      </c>
      <c r="D1079" s="1">
        <v>46057</v>
      </c>
      <c r="E1079" s="1">
        <v>46057</v>
      </c>
      <c r="F1079" t="s">
        <v>32</v>
      </c>
      <c r="G1079" t="s">
        <v>61</v>
      </c>
      <c r="H1079" t="s">
        <v>20</v>
      </c>
      <c r="I1079" t="s">
        <v>42</v>
      </c>
      <c r="J1079">
        <v>160.5</v>
      </c>
      <c r="K1079">
        <v>3938.1</v>
      </c>
      <c r="L1079">
        <v>5436000</v>
      </c>
      <c r="M1079" t="b">
        <v>0</v>
      </c>
      <c r="N1079" t="b">
        <v>0</v>
      </c>
      <c r="O1079">
        <v>16000</v>
      </c>
      <c r="P1079" t="b">
        <v>0</v>
      </c>
      <c r="Q1079" t="b">
        <v>0</v>
      </c>
      <c r="R1079" t="b">
        <v>0</v>
      </c>
      <c r="S1079" t="s">
        <v>96</v>
      </c>
      <c r="T1079" t="s">
        <v>115</v>
      </c>
    </row>
    <row r="1080" spans="1:21" x14ac:dyDescent="0.3">
      <c r="A1080" t="s">
        <v>1185</v>
      </c>
      <c r="B1080" s="1">
        <v>46120</v>
      </c>
      <c r="C1080" s="1">
        <v>46121</v>
      </c>
      <c r="D1080" s="1">
        <v>46125</v>
      </c>
      <c r="E1080" s="1">
        <v>46125</v>
      </c>
      <c r="F1080" t="s">
        <v>34</v>
      </c>
      <c r="G1080" t="s">
        <v>62</v>
      </c>
      <c r="H1080" t="s">
        <v>20</v>
      </c>
      <c r="I1080" t="s">
        <v>43</v>
      </c>
      <c r="J1080">
        <v>763</v>
      </c>
      <c r="K1080">
        <v>1807.5</v>
      </c>
      <c r="L1080">
        <v>10732000</v>
      </c>
      <c r="M1080" t="b">
        <v>0</v>
      </c>
      <c r="N1080" t="b">
        <v>0</v>
      </c>
      <c r="O1080">
        <v>5000</v>
      </c>
      <c r="P1080" t="b">
        <v>0</v>
      </c>
      <c r="Q1080" t="b">
        <v>0</v>
      </c>
      <c r="R1080" t="b">
        <v>0</v>
      </c>
      <c r="S1080" t="s">
        <v>96</v>
      </c>
      <c r="T1080" t="s">
        <v>112</v>
      </c>
    </row>
    <row r="1081" spans="1:21" x14ac:dyDescent="0.3">
      <c r="A1081" t="s">
        <v>1186</v>
      </c>
      <c r="B1081" s="1">
        <v>46119</v>
      </c>
      <c r="C1081" s="1">
        <v>46120</v>
      </c>
      <c r="D1081" s="1">
        <v>46123</v>
      </c>
      <c r="E1081" s="1">
        <v>46123</v>
      </c>
      <c r="F1081" t="s">
        <v>32</v>
      </c>
      <c r="G1081" t="s">
        <v>58</v>
      </c>
      <c r="H1081" t="s">
        <v>24</v>
      </c>
      <c r="I1081" t="s">
        <v>43</v>
      </c>
      <c r="J1081">
        <v>303.5</v>
      </c>
      <c r="K1081">
        <v>3813.1</v>
      </c>
      <c r="L1081">
        <v>6082000</v>
      </c>
      <c r="M1081" t="b">
        <v>0</v>
      </c>
      <c r="N1081" t="b">
        <v>0</v>
      </c>
      <c r="O1081">
        <v>5000</v>
      </c>
      <c r="P1081" t="b">
        <v>0</v>
      </c>
      <c r="Q1081" t="b">
        <v>0</v>
      </c>
      <c r="R1081" t="b">
        <v>0</v>
      </c>
      <c r="S1081" t="s">
        <v>96</v>
      </c>
      <c r="T1081" t="s">
        <v>112</v>
      </c>
    </row>
    <row r="1082" spans="1:21" x14ac:dyDescent="0.3">
      <c r="A1082" t="s">
        <v>1187</v>
      </c>
      <c r="B1082" s="1">
        <v>46177</v>
      </c>
      <c r="C1082" s="1">
        <v>46178</v>
      </c>
      <c r="D1082" s="1">
        <v>46182</v>
      </c>
      <c r="E1082" s="1">
        <v>46182</v>
      </c>
      <c r="F1082" t="s">
        <v>34</v>
      </c>
      <c r="G1082" t="s">
        <v>62</v>
      </c>
      <c r="H1082" t="s">
        <v>24</v>
      </c>
      <c r="I1082" t="s">
        <v>43</v>
      </c>
      <c r="J1082">
        <v>755.1</v>
      </c>
      <c r="K1082">
        <v>1006.6</v>
      </c>
      <c r="L1082">
        <v>11144000</v>
      </c>
      <c r="M1082" t="b">
        <v>0</v>
      </c>
      <c r="N1082" t="b">
        <v>0</v>
      </c>
      <c r="O1082">
        <v>5000</v>
      </c>
      <c r="P1082" t="b">
        <v>0</v>
      </c>
      <c r="Q1082" t="b">
        <v>0</v>
      </c>
      <c r="R1082" t="b">
        <v>0</v>
      </c>
      <c r="S1082" t="s">
        <v>96</v>
      </c>
      <c r="T1082" t="s">
        <v>99</v>
      </c>
    </row>
    <row r="1083" spans="1:21" x14ac:dyDescent="0.3">
      <c r="A1083" t="s">
        <v>1188</v>
      </c>
      <c r="B1083" s="1">
        <v>46077</v>
      </c>
      <c r="C1083" s="1">
        <v>46079</v>
      </c>
      <c r="D1083" s="1">
        <v>46083</v>
      </c>
      <c r="E1083" s="1">
        <v>46084</v>
      </c>
      <c r="F1083" t="s">
        <v>33</v>
      </c>
      <c r="G1083" t="s">
        <v>55</v>
      </c>
      <c r="H1083" t="s">
        <v>20</v>
      </c>
      <c r="I1083" t="s">
        <v>44</v>
      </c>
      <c r="J1083">
        <v>609.4</v>
      </c>
      <c r="K1083">
        <v>722.1</v>
      </c>
      <c r="L1083">
        <v>6549000</v>
      </c>
      <c r="M1083" t="b">
        <v>0</v>
      </c>
      <c r="N1083" t="b">
        <v>0</v>
      </c>
      <c r="O1083">
        <v>1500</v>
      </c>
      <c r="P1083" t="b">
        <v>0</v>
      </c>
      <c r="Q1083" t="b">
        <v>0</v>
      </c>
      <c r="R1083" t="b">
        <v>0</v>
      </c>
      <c r="S1083" t="s">
        <v>101</v>
      </c>
      <c r="T1083" t="s">
        <v>115</v>
      </c>
      <c r="U1083">
        <v>1</v>
      </c>
    </row>
    <row r="1084" spans="1:21" x14ac:dyDescent="0.3">
      <c r="A1084" t="s">
        <v>1189</v>
      </c>
      <c r="B1084" s="1">
        <v>46175</v>
      </c>
      <c r="C1084" s="1">
        <v>46176</v>
      </c>
      <c r="D1084" s="1">
        <v>46178</v>
      </c>
      <c r="E1084" s="1">
        <v>46178</v>
      </c>
      <c r="F1084" t="s">
        <v>34</v>
      </c>
      <c r="G1084" t="s">
        <v>58</v>
      </c>
      <c r="H1084" t="s">
        <v>20</v>
      </c>
      <c r="I1084" t="s">
        <v>44</v>
      </c>
      <c r="J1084">
        <v>144.4</v>
      </c>
      <c r="K1084">
        <v>499.1</v>
      </c>
      <c r="L1084">
        <v>2334000</v>
      </c>
      <c r="M1084" t="b">
        <v>0</v>
      </c>
      <c r="N1084" t="b">
        <v>0</v>
      </c>
      <c r="O1084">
        <v>1500</v>
      </c>
      <c r="P1084" t="b">
        <v>0</v>
      </c>
      <c r="Q1084" t="b">
        <v>0</v>
      </c>
      <c r="R1084" t="b">
        <v>0</v>
      </c>
      <c r="S1084" t="s">
        <v>96</v>
      </c>
      <c r="T1084" t="s">
        <v>99</v>
      </c>
    </row>
    <row r="1085" spans="1:21" x14ac:dyDescent="0.3">
      <c r="A1085" t="s">
        <v>1190</v>
      </c>
      <c r="B1085" s="1">
        <v>46091</v>
      </c>
      <c r="C1085" s="1">
        <v>46092</v>
      </c>
      <c r="D1085" s="1">
        <v>46095</v>
      </c>
      <c r="E1085" s="1">
        <v>46095</v>
      </c>
      <c r="F1085" t="s">
        <v>34</v>
      </c>
      <c r="G1085" t="s">
        <v>58</v>
      </c>
      <c r="H1085" t="s">
        <v>22</v>
      </c>
      <c r="I1085" t="s">
        <v>44</v>
      </c>
      <c r="J1085">
        <v>156.4</v>
      </c>
      <c r="K1085">
        <v>597.20000000000005</v>
      </c>
      <c r="L1085">
        <v>2278000</v>
      </c>
      <c r="M1085" t="b">
        <v>0</v>
      </c>
      <c r="N1085" t="b">
        <v>0</v>
      </c>
      <c r="O1085">
        <v>1500</v>
      </c>
      <c r="P1085" t="b">
        <v>0</v>
      </c>
      <c r="Q1085" t="b">
        <v>0</v>
      </c>
      <c r="R1085" t="b">
        <v>0</v>
      </c>
      <c r="S1085" t="s">
        <v>96</v>
      </c>
      <c r="T1085" t="s">
        <v>118</v>
      </c>
    </row>
    <row r="1086" spans="1:21" x14ac:dyDescent="0.3">
      <c r="A1086" t="s">
        <v>1191</v>
      </c>
      <c r="B1086" s="1">
        <v>46137</v>
      </c>
      <c r="C1086" s="1">
        <v>46137</v>
      </c>
      <c r="D1086" s="1">
        <v>46140</v>
      </c>
      <c r="E1086" s="1">
        <v>46142</v>
      </c>
      <c r="F1086" t="s">
        <v>33</v>
      </c>
      <c r="G1086" t="s">
        <v>59</v>
      </c>
      <c r="H1086" t="s">
        <v>24</v>
      </c>
      <c r="I1086" t="s">
        <v>43</v>
      </c>
      <c r="J1086">
        <v>480.8</v>
      </c>
      <c r="K1086">
        <v>2285.4</v>
      </c>
      <c r="L1086">
        <v>7631000</v>
      </c>
      <c r="M1086" t="b">
        <v>0</v>
      </c>
      <c r="N1086" t="b">
        <v>0</v>
      </c>
      <c r="O1086">
        <v>5000</v>
      </c>
      <c r="P1086" t="b">
        <v>0</v>
      </c>
      <c r="Q1086" t="b">
        <v>0</v>
      </c>
      <c r="R1086" t="b">
        <v>0</v>
      </c>
      <c r="S1086" t="s">
        <v>101</v>
      </c>
      <c r="T1086" t="s">
        <v>112</v>
      </c>
      <c r="U1086">
        <v>2</v>
      </c>
    </row>
    <row r="1087" spans="1:21" x14ac:dyDescent="0.3">
      <c r="A1087" t="s">
        <v>1192</v>
      </c>
      <c r="B1087" s="1">
        <v>46187</v>
      </c>
      <c r="C1087" s="1">
        <v>46188</v>
      </c>
      <c r="D1087" s="1">
        <v>46189</v>
      </c>
      <c r="E1087" s="1">
        <v>46188</v>
      </c>
      <c r="F1087" t="s">
        <v>34</v>
      </c>
      <c r="G1087" t="s">
        <v>61</v>
      </c>
      <c r="H1087" t="s">
        <v>22</v>
      </c>
      <c r="I1087" t="s">
        <v>45</v>
      </c>
      <c r="J1087">
        <v>19.399999999999999</v>
      </c>
      <c r="K1087">
        <v>536.70000000000005</v>
      </c>
      <c r="L1087">
        <v>752000</v>
      </c>
      <c r="M1087" t="b">
        <v>0</v>
      </c>
      <c r="N1087" t="b">
        <v>0</v>
      </c>
      <c r="O1087">
        <v>1000</v>
      </c>
      <c r="P1087" t="b">
        <v>0</v>
      </c>
      <c r="Q1087" t="b">
        <v>0</v>
      </c>
      <c r="R1087" t="b">
        <v>0</v>
      </c>
      <c r="S1087" t="s">
        <v>96</v>
      </c>
      <c r="T1087" t="s">
        <v>99</v>
      </c>
    </row>
    <row r="1088" spans="1:21" x14ac:dyDescent="0.3">
      <c r="A1088" t="s">
        <v>1193</v>
      </c>
      <c r="B1088" s="1">
        <v>46040</v>
      </c>
      <c r="C1088" s="1">
        <v>46041</v>
      </c>
      <c r="D1088" s="1">
        <v>46044</v>
      </c>
      <c r="E1088" s="1">
        <v>46044</v>
      </c>
      <c r="F1088" t="s">
        <v>34</v>
      </c>
      <c r="G1088" t="s">
        <v>59</v>
      </c>
      <c r="H1088" t="s">
        <v>24</v>
      </c>
      <c r="I1088" t="s">
        <v>44</v>
      </c>
      <c r="J1088">
        <v>358.3</v>
      </c>
      <c r="K1088">
        <v>913.1</v>
      </c>
      <c r="L1088">
        <v>4096000</v>
      </c>
      <c r="M1088" t="b">
        <v>0</v>
      </c>
      <c r="N1088" t="b">
        <v>0</v>
      </c>
      <c r="O1088">
        <v>1500</v>
      </c>
      <c r="P1088" t="b">
        <v>0</v>
      </c>
      <c r="Q1088" t="b">
        <v>0</v>
      </c>
      <c r="R1088" t="b">
        <v>0</v>
      </c>
      <c r="S1088" t="s">
        <v>96</v>
      </c>
      <c r="T1088" t="s">
        <v>104</v>
      </c>
    </row>
    <row r="1089" spans="1:21" x14ac:dyDescent="0.3">
      <c r="A1089" t="s">
        <v>1194</v>
      </c>
      <c r="B1089" s="1">
        <v>46029</v>
      </c>
      <c r="C1089" s="1">
        <v>46030</v>
      </c>
      <c r="D1089" s="1">
        <v>46031</v>
      </c>
      <c r="E1089" s="1">
        <v>46031</v>
      </c>
      <c r="F1089" t="s">
        <v>34</v>
      </c>
      <c r="G1089" t="s">
        <v>61</v>
      </c>
      <c r="H1089" t="s">
        <v>22</v>
      </c>
      <c r="I1089" t="s">
        <v>43</v>
      </c>
      <c r="J1089">
        <v>22</v>
      </c>
      <c r="K1089">
        <v>1974.6</v>
      </c>
      <c r="L1089">
        <v>2006000</v>
      </c>
      <c r="M1089" t="b">
        <v>0</v>
      </c>
      <c r="N1089" t="b">
        <v>0</v>
      </c>
      <c r="O1089">
        <v>5000</v>
      </c>
      <c r="P1089" t="b">
        <v>0</v>
      </c>
      <c r="Q1089" t="b">
        <v>0</v>
      </c>
      <c r="R1089" t="b">
        <v>0</v>
      </c>
      <c r="S1089" t="s">
        <v>96</v>
      </c>
      <c r="T1089" t="s">
        <v>104</v>
      </c>
    </row>
    <row r="1090" spans="1:21" x14ac:dyDescent="0.3">
      <c r="A1090" t="s">
        <v>1195</v>
      </c>
      <c r="B1090" s="1">
        <v>46170</v>
      </c>
      <c r="C1090" s="1">
        <v>46171</v>
      </c>
      <c r="D1090" s="1">
        <v>46173</v>
      </c>
      <c r="F1090" t="s">
        <v>31</v>
      </c>
      <c r="G1090" t="s">
        <v>55</v>
      </c>
      <c r="H1090" t="s">
        <v>21</v>
      </c>
      <c r="I1090" t="s">
        <v>43</v>
      </c>
      <c r="J1090">
        <v>19.2</v>
      </c>
      <c r="K1090">
        <v>3593.4</v>
      </c>
      <c r="L1090">
        <v>2330000</v>
      </c>
      <c r="M1090" t="b">
        <v>0</v>
      </c>
      <c r="N1090" t="b">
        <v>0</v>
      </c>
      <c r="O1090">
        <v>5000</v>
      </c>
      <c r="P1090" t="b">
        <v>0</v>
      </c>
      <c r="Q1090" t="b">
        <v>0</v>
      </c>
      <c r="R1090" t="b">
        <v>0</v>
      </c>
      <c r="S1090" t="s">
        <v>203</v>
      </c>
      <c r="T1090" t="s">
        <v>102</v>
      </c>
    </row>
    <row r="1091" spans="1:21" x14ac:dyDescent="0.3">
      <c r="A1091" t="s">
        <v>1196</v>
      </c>
      <c r="B1091" s="1">
        <v>46202</v>
      </c>
      <c r="C1091" s="1">
        <v>46202</v>
      </c>
      <c r="D1091" s="1">
        <v>46205</v>
      </c>
      <c r="E1091" s="1">
        <v>46205</v>
      </c>
      <c r="F1091" t="s">
        <v>33</v>
      </c>
      <c r="G1091" t="s">
        <v>62</v>
      </c>
      <c r="H1091" t="s">
        <v>20</v>
      </c>
      <c r="I1091" t="s">
        <v>43</v>
      </c>
      <c r="J1091">
        <v>159.80000000000001</v>
      </c>
      <c r="K1091">
        <v>2534.1999999999998</v>
      </c>
      <c r="L1091">
        <v>3583000</v>
      </c>
      <c r="M1091" t="b">
        <v>0</v>
      </c>
      <c r="N1091" t="b">
        <v>0</v>
      </c>
      <c r="O1091">
        <v>5000</v>
      </c>
      <c r="P1091" t="b">
        <v>0</v>
      </c>
      <c r="Q1091" t="b">
        <v>0</v>
      </c>
      <c r="R1091" t="b">
        <v>0</v>
      </c>
      <c r="S1091" t="s">
        <v>96</v>
      </c>
      <c r="T1091" t="s">
        <v>99</v>
      </c>
    </row>
    <row r="1092" spans="1:21" x14ac:dyDescent="0.3">
      <c r="A1092" t="s">
        <v>1197</v>
      </c>
      <c r="B1092" s="1">
        <v>46067</v>
      </c>
      <c r="C1092" s="1">
        <v>46067</v>
      </c>
      <c r="D1092" s="1">
        <v>46070</v>
      </c>
      <c r="E1092" s="1">
        <v>46070</v>
      </c>
      <c r="F1092" t="s">
        <v>31</v>
      </c>
      <c r="G1092" t="s">
        <v>63</v>
      </c>
      <c r="H1092" t="s">
        <v>24</v>
      </c>
      <c r="I1092" t="s">
        <v>45</v>
      </c>
      <c r="J1092">
        <v>312.89999999999998</v>
      </c>
      <c r="K1092">
        <v>411.3</v>
      </c>
      <c r="L1092">
        <v>3301000</v>
      </c>
      <c r="M1092" t="b">
        <v>0</v>
      </c>
      <c r="N1092" t="b">
        <v>0</v>
      </c>
      <c r="O1092">
        <v>1000</v>
      </c>
      <c r="P1092" t="b">
        <v>0</v>
      </c>
      <c r="Q1092" t="b">
        <v>0</v>
      </c>
      <c r="R1092" t="b">
        <v>0</v>
      </c>
      <c r="S1092" t="s">
        <v>96</v>
      </c>
      <c r="T1092" t="s">
        <v>115</v>
      </c>
    </row>
    <row r="1093" spans="1:21" x14ac:dyDescent="0.3">
      <c r="A1093" t="s">
        <v>1198</v>
      </c>
      <c r="B1093" s="1">
        <v>46043</v>
      </c>
      <c r="C1093" s="1">
        <v>46044</v>
      </c>
      <c r="D1093" s="1">
        <v>46047</v>
      </c>
      <c r="E1093" s="1">
        <v>46048</v>
      </c>
      <c r="F1093" t="s">
        <v>34</v>
      </c>
      <c r="G1093" t="s">
        <v>58</v>
      </c>
      <c r="H1093" t="s">
        <v>23</v>
      </c>
      <c r="I1093" t="s">
        <v>43</v>
      </c>
      <c r="J1093">
        <v>143.6</v>
      </c>
      <c r="K1093">
        <v>1777.5</v>
      </c>
      <c r="L1093">
        <v>3423000</v>
      </c>
      <c r="M1093" t="b">
        <v>0</v>
      </c>
      <c r="N1093" t="b">
        <v>0</v>
      </c>
      <c r="O1093">
        <v>5000</v>
      </c>
      <c r="P1093" t="b">
        <v>0</v>
      </c>
      <c r="Q1093" t="b">
        <v>0</v>
      </c>
      <c r="R1093" t="b">
        <v>0</v>
      </c>
      <c r="S1093" t="s">
        <v>101</v>
      </c>
      <c r="T1093" t="s">
        <v>104</v>
      </c>
      <c r="U1093">
        <v>1</v>
      </c>
    </row>
    <row r="1094" spans="1:21" x14ac:dyDescent="0.3">
      <c r="A1094" t="s">
        <v>1199</v>
      </c>
      <c r="B1094" s="1">
        <v>46161</v>
      </c>
      <c r="C1094" s="1">
        <v>46161</v>
      </c>
      <c r="D1094" s="1">
        <v>46164</v>
      </c>
      <c r="E1094" s="1">
        <v>46164</v>
      </c>
      <c r="F1094" t="s">
        <v>32</v>
      </c>
      <c r="G1094" t="s">
        <v>58</v>
      </c>
      <c r="H1094" t="s">
        <v>24</v>
      </c>
      <c r="I1094" t="s">
        <v>43</v>
      </c>
      <c r="J1094">
        <v>317.3</v>
      </c>
      <c r="K1094">
        <v>2817.4</v>
      </c>
      <c r="L1094">
        <v>6197000</v>
      </c>
      <c r="M1094" t="b">
        <v>0</v>
      </c>
      <c r="N1094" t="b">
        <v>0</v>
      </c>
      <c r="O1094">
        <v>5000</v>
      </c>
      <c r="P1094" t="b">
        <v>0</v>
      </c>
      <c r="Q1094" t="b">
        <v>0</v>
      </c>
      <c r="R1094" t="b">
        <v>0</v>
      </c>
      <c r="S1094" t="s">
        <v>96</v>
      </c>
      <c r="T1094" t="s">
        <v>102</v>
      </c>
    </row>
    <row r="1095" spans="1:21" x14ac:dyDescent="0.3">
      <c r="A1095" t="s">
        <v>1200</v>
      </c>
      <c r="B1095" s="1">
        <v>46147</v>
      </c>
      <c r="C1095" s="1">
        <v>46148</v>
      </c>
      <c r="D1095" s="1">
        <v>46151</v>
      </c>
      <c r="E1095" s="1">
        <v>46150</v>
      </c>
      <c r="F1095" t="s">
        <v>34</v>
      </c>
      <c r="G1095" t="s">
        <v>63</v>
      </c>
      <c r="H1095" t="s">
        <v>23</v>
      </c>
      <c r="I1095" t="s">
        <v>42</v>
      </c>
      <c r="J1095">
        <v>336.5</v>
      </c>
      <c r="K1095">
        <v>10480.1</v>
      </c>
      <c r="L1095">
        <v>8797000</v>
      </c>
      <c r="M1095" t="b">
        <v>0</v>
      </c>
      <c r="N1095" t="b">
        <v>0</v>
      </c>
      <c r="O1095">
        <v>16000</v>
      </c>
      <c r="P1095" t="b">
        <v>0</v>
      </c>
      <c r="Q1095" t="b">
        <v>0</v>
      </c>
      <c r="R1095" t="b">
        <v>0</v>
      </c>
      <c r="S1095" t="s">
        <v>96</v>
      </c>
      <c r="T1095" t="s">
        <v>102</v>
      </c>
    </row>
    <row r="1096" spans="1:21" x14ac:dyDescent="0.3">
      <c r="A1096" t="s">
        <v>1201</v>
      </c>
      <c r="B1096" s="1">
        <v>46162</v>
      </c>
      <c r="C1096" s="1">
        <v>46163</v>
      </c>
      <c r="D1096" s="1">
        <v>46164</v>
      </c>
      <c r="E1096" s="1">
        <v>46164</v>
      </c>
      <c r="F1096" t="s">
        <v>34</v>
      </c>
      <c r="G1096" t="s">
        <v>61</v>
      </c>
      <c r="H1096" t="s">
        <v>20</v>
      </c>
      <c r="I1096" t="s">
        <v>43</v>
      </c>
      <c r="J1096">
        <v>23</v>
      </c>
      <c r="K1096">
        <v>4471.3</v>
      </c>
      <c r="L1096">
        <v>2659000</v>
      </c>
      <c r="M1096" t="b">
        <v>0</v>
      </c>
      <c r="N1096" t="b">
        <v>0</v>
      </c>
      <c r="O1096">
        <v>5000</v>
      </c>
      <c r="P1096" t="b">
        <v>0</v>
      </c>
      <c r="Q1096" t="b">
        <v>0</v>
      </c>
      <c r="R1096" t="b">
        <v>0</v>
      </c>
      <c r="S1096" t="s">
        <v>96</v>
      </c>
      <c r="T1096" t="s">
        <v>102</v>
      </c>
    </row>
    <row r="1097" spans="1:21" x14ac:dyDescent="0.3">
      <c r="A1097" t="s">
        <v>1202</v>
      </c>
      <c r="B1097" s="1">
        <v>46133</v>
      </c>
      <c r="C1097" s="1">
        <v>46135</v>
      </c>
      <c r="D1097" s="1">
        <v>46137</v>
      </c>
      <c r="E1097" s="1">
        <v>46137</v>
      </c>
      <c r="F1097" t="s">
        <v>34</v>
      </c>
      <c r="G1097" t="s">
        <v>52</v>
      </c>
      <c r="H1097" t="s">
        <v>20</v>
      </c>
      <c r="I1097" t="s">
        <v>45</v>
      </c>
      <c r="J1097">
        <v>267.89999999999998</v>
      </c>
      <c r="K1097">
        <v>207.3</v>
      </c>
      <c r="L1097">
        <v>2720000</v>
      </c>
      <c r="M1097" t="b">
        <v>0</v>
      </c>
      <c r="N1097" t="b">
        <v>0</v>
      </c>
      <c r="O1097">
        <v>1000</v>
      </c>
      <c r="P1097" t="b">
        <v>0</v>
      </c>
      <c r="Q1097" t="b">
        <v>0</v>
      </c>
      <c r="R1097" t="b">
        <v>0</v>
      </c>
      <c r="S1097" t="s">
        <v>96</v>
      </c>
      <c r="T1097" t="s">
        <v>112</v>
      </c>
    </row>
    <row r="1098" spans="1:21" x14ac:dyDescent="0.3">
      <c r="A1098" t="s">
        <v>1203</v>
      </c>
      <c r="B1098" s="1">
        <v>46119</v>
      </c>
      <c r="C1098" s="1">
        <v>46119</v>
      </c>
      <c r="D1098" s="1">
        <v>46121</v>
      </c>
      <c r="E1098" s="1">
        <v>46121</v>
      </c>
      <c r="F1098" t="s">
        <v>32</v>
      </c>
      <c r="G1098" t="s">
        <v>53</v>
      </c>
      <c r="H1098" t="s">
        <v>24</v>
      </c>
      <c r="I1098" t="s">
        <v>43</v>
      </c>
      <c r="J1098">
        <v>267.39999999999998</v>
      </c>
      <c r="K1098">
        <v>1326.8</v>
      </c>
      <c r="L1098">
        <v>4492000</v>
      </c>
      <c r="M1098" t="b">
        <v>0</v>
      </c>
      <c r="N1098" t="b">
        <v>0</v>
      </c>
      <c r="O1098">
        <v>5000</v>
      </c>
      <c r="P1098" t="b">
        <v>0</v>
      </c>
      <c r="Q1098" t="b">
        <v>0</v>
      </c>
      <c r="R1098" t="b">
        <v>0</v>
      </c>
      <c r="S1098" t="s">
        <v>96</v>
      </c>
      <c r="T1098" t="s">
        <v>112</v>
      </c>
    </row>
    <row r="1099" spans="1:21" x14ac:dyDescent="0.3">
      <c r="A1099" t="s">
        <v>1204</v>
      </c>
      <c r="B1099" s="1">
        <v>46193</v>
      </c>
      <c r="C1099" s="1">
        <v>46194</v>
      </c>
      <c r="D1099" s="1">
        <v>46197</v>
      </c>
      <c r="E1099" s="1">
        <v>46199</v>
      </c>
      <c r="F1099" t="s">
        <v>34</v>
      </c>
      <c r="G1099" t="s">
        <v>63</v>
      </c>
      <c r="H1099" t="s">
        <v>23</v>
      </c>
      <c r="I1099" t="s">
        <v>45</v>
      </c>
      <c r="J1099">
        <v>346.9</v>
      </c>
      <c r="K1099">
        <v>263.39999999999998</v>
      </c>
      <c r="L1099">
        <v>3745000</v>
      </c>
      <c r="M1099" t="b">
        <v>0</v>
      </c>
      <c r="N1099" t="b">
        <v>0</v>
      </c>
      <c r="O1099">
        <v>1000</v>
      </c>
      <c r="P1099" t="b">
        <v>0</v>
      </c>
      <c r="Q1099" t="b">
        <v>0</v>
      </c>
      <c r="R1099" t="b">
        <v>0</v>
      </c>
      <c r="S1099" t="s">
        <v>101</v>
      </c>
      <c r="T1099" t="s">
        <v>99</v>
      </c>
      <c r="U1099">
        <v>2</v>
      </c>
    </row>
    <row r="1100" spans="1:21" x14ac:dyDescent="0.3">
      <c r="A1100" t="s">
        <v>1205</v>
      </c>
      <c r="B1100" s="1">
        <v>46047</v>
      </c>
      <c r="C1100" s="1">
        <v>46049</v>
      </c>
      <c r="D1100" s="1">
        <v>46052</v>
      </c>
      <c r="E1100" s="1">
        <v>46052</v>
      </c>
      <c r="F1100" t="s">
        <v>31</v>
      </c>
      <c r="G1100" t="s">
        <v>60</v>
      </c>
      <c r="H1100" t="s">
        <v>20</v>
      </c>
      <c r="I1100" t="s">
        <v>43</v>
      </c>
      <c r="J1100">
        <v>572.79999999999995</v>
      </c>
      <c r="K1100">
        <v>1615.5</v>
      </c>
      <c r="M1100" t="b">
        <v>0</v>
      </c>
      <c r="N1100" t="b">
        <v>1</v>
      </c>
      <c r="O1100">
        <v>5000</v>
      </c>
      <c r="P1100" t="b">
        <v>0</v>
      </c>
      <c r="Q1100" t="b">
        <v>0</v>
      </c>
      <c r="R1100" t="b">
        <v>1</v>
      </c>
      <c r="S1100" t="s">
        <v>96</v>
      </c>
      <c r="T1100" t="s">
        <v>104</v>
      </c>
    </row>
    <row r="1101" spans="1:21" x14ac:dyDescent="0.3">
      <c r="A1101" t="s">
        <v>1206</v>
      </c>
      <c r="B1101" s="1">
        <v>46171</v>
      </c>
      <c r="C1101" s="1">
        <v>46172</v>
      </c>
      <c r="D1101" s="1">
        <v>46174</v>
      </c>
      <c r="E1101" s="1">
        <v>46174</v>
      </c>
      <c r="F1101" t="s">
        <v>34</v>
      </c>
      <c r="G1101" t="s">
        <v>57</v>
      </c>
      <c r="H1101" t="s">
        <v>21</v>
      </c>
      <c r="I1101" t="s">
        <v>43</v>
      </c>
      <c r="J1101">
        <v>157.1</v>
      </c>
      <c r="K1101">
        <v>506.9</v>
      </c>
      <c r="L1101">
        <v>2601000</v>
      </c>
      <c r="M1101" t="b">
        <v>0</v>
      </c>
      <c r="N1101" t="b">
        <v>0</v>
      </c>
      <c r="O1101">
        <v>5000</v>
      </c>
      <c r="P1101" t="b">
        <v>0</v>
      </c>
      <c r="Q1101" t="b">
        <v>0</v>
      </c>
      <c r="R1101" t="b">
        <v>0</v>
      </c>
      <c r="S1101" t="s">
        <v>96</v>
      </c>
      <c r="T1101" t="s">
        <v>102</v>
      </c>
    </row>
    <row r="1102" spans="1:21" x14ac:dyDescent="0.3">
      <c r="A1102" t="s">
        <v>1207</v>
      </c>
      <c r="B1102" s="1">
        <v>46103</v>
      </c>
      <c r="C1102" s="1">
        <v>46104</v>
      </c>
      <c r="D1102" s="1">
        <v>46107</v>
      </c>
      <c r="E1102" s="1">
        <v>46107</v>
      </c>
      <c r="F1102" t="s">
        <v>32</v>
      </c>
      <c r="G1102" t="s">
        <v>52</v>
      </c>
      <c r="H1102" t="s">
        <v>20</v>
      </c>
      <c r="I1102" t="s">
        <v>45</v>
      </c>
      <c r="J1102">
        <v>328.6</v>
      </c>
      <c r="K1102">
        <v>402.7</v>
      </c>
      <c r="L1102">
        <v>3200000</v>
      </c>
      <c r="M1102" t="b">
        <v>0</v>
      </c>
      <c r="N1102" t="b">
        <v>0</v>
      </c>
      <c r="O1102">
        <v>1000</v>
      </c>
      <c r="P1102" t="b">
        <v>0</v>
      </c>
      <c r="Q1102" t="b">
        <v>0</v>
      </c>
      <c r="R1102" t="b">
        <v>0</v>
      </c>
      <c r="S1102" t="s">
        <v>96</v>
      </c>
      <c r="T1102" t="s">
        <v>118</v>
      </c>
    </row>
    <row r="1103" spans="1:21" x14ac:dyDescent="0.3">
      <c r="A1103" t="s">
        <v>1208</v>
      </c>
      <c r="B1103" s="1">
        <v>46065</v>
      </c>
      <c r="C1103" s="1">
        <v>46066</v>
      </c>
      <c r="D1103" s="1">
        <v>46068</v>
      </c>
      <c r="E1103" s="1">
        <v>46069</v>
      </c>
      <c r="F1103" t="s">
        <v>31</v>
      </c>
      <c r="G1103" t="s">
        <v>52</v>
      </c>
      <c r="H1103" t="s">
        <v>24</v>
      </c>
      <c r="I1103" t="s">
        <v>42</v>
      </c>
      <c r="J1103">
        <v>279.89999999999998</v>
      </c>
      <c r="K1103">
        <v>7027.3</v>
      </c>
      <c r="L1103">
        <v>7701000</v>
      </c>
      <c r="M1103" t="b">
        <v>0</v>
      </c>
      <c r="N1103" t="b">
        <v>0</v>
      </c>
      <c r="O1103">
        <v>16000</v>
      </c>
      <c r="P1103" t="b">
        <v>0</v>
      </c>
      <c r="Q1103" t="b">
        <v>0</v>
      </c>
      <c r="R1103" t="b">
        <v>0</v>
      </c>
      <c r="S1103" t="s">
        <v>101</v>
      </c>
      <c r="T1103" t="s">
        <v>115</v>
      </c>
      <c r="U1103">
        <v>1</v>
      </c>
    </row>
    <row r="1104" spans="1:21" x14ac:dyDescent="0.3">
      <c r="A1104" t="s">
        <v>1209</v>
      </c>
      <c r="B1104" s="1">
        <v>46122</v>
      </c>
      <c r="C1104" s="1">
        <v>46123</v>
      </c>
      <c r="D1104" s="1">
        <v>46126</v>
      </c>
      <c r="E1104" s="1">
        <v>46127</v>
      </c>
      <c r="F1104" t="s">
        <v>34</v>
      </c>
      <c r="G1104" t="s">
        <v>53</v>
      </c>
      <c r="H1104" t="s">
        <v>22</v>
      </c>
      <c r="I1104" t="s">
        <v>44</v>
      </c>
      <c r="J1104">
        <v>331.3</v>
      </c>
      <c r="K1104">
        <v>1356.4</v>
      </c>
      <c r="L1104">
        <v>4540000</v>
      </c>
      <c r="M1104" t="b">
        <v>0</v>
      </c>
      <c r="N1104" t="b">
        <v>0</v>
      </c>
      <c r="O1104">
        <v>1500</v>
      </c>
      <c r="P1104" t="b">
        <v>0</v>
      </c>
      <c r="Q1104" t="b">
        <v>0</v>
      </c>
      <c r="R1104" t="b">
        <v>0</v>
      </c>
      <c r="S1104" t="s">
        <v>101</v>
      </c>
      <c r="T1104" t="s">
        <v>112</v>
      </c>
      <c r="U1104">
        <v>1</v>
      </c>
    </row>
    <row r="1105" spans="1:21" x14ac:dyDescent="0.3">
      <c r="A1105" t="s">
        <v>1210</v>
      </c>
      <c r="B1105" s="1">
        <v>46120</v>
      </c>
      <c r="C1105" s="1">
        <v>46121</v>
      </c>
      <c r="D1105" s="1">
        <v>46122</v>
      </c>
      <c r="E1105" s="1">
        <v>46122</v>
      </c>
      <c r="F1105" t="s">
        <v>33</v>
      </c>
      <c r="G1105" t="s">
        <v>60</v>
      </c>
      <c r="H1105" t="s">
        <v>23</v>
      </c>
      <c r="I1105" t="s">
        <v>42</v>
      </c>
      <c r="J1105">
        <v>30.5</v>
      </c>
      <c r="K1105">
        <v>10072.9</v>
      </c>
      <c r="L1105">
        <v>4195000</v>
      </c>
      <c r="M1105" t="b">
        <v>0</v>
      </c>
      <c r="N1105" t="b">
        <v>0</v>
      </c>
      <c r="O1105">
        <v>16000</v>
      </c>
      <c r="P1105" t="b">
        <v>0</v>
      </c>
      <c r="Q1105" t="b">
        <v>0</v>
      </c>
      <c r="R1105" t="b">
        <v>0</v>
      </c>
      <c r="S1105" t="s">
        <v>96</v>
      </c>
      <c r="T1105" t="s">
        <v>112</v>
      </c>
    </row>
    <row r="1106" spans="1:21" x14ac:dyDescent="0.3">
      <c r="A1106" t="s">
        <v>1211</v>
      </c>
      <c r="B1106" s="1">
        <v>46152</v>
      </c>
      <c r="C1106" s="1">
        <v>46153</v>
      </c>
      <c r="D1106" s="1">
        <v>46156</v>
      </c>
      <c r="E1106" s="1">
        <v>46156</v>
      </c>
      <c r="F1106" t="s">
        <v>34</v>
      </c>
      <c r="G1106" t="s">
        <v>54</v>
      </c>
      <c r="H1106" t="s">
        <v>21</v>
      </c>
      <c r="I1106" t="s">
        <v>43</v>
      </c>
      <c r="J1106">
        <v>417.5</v>
      </c>
      <c r="K1106">
        <v>3430</v>
      </c>
      <c r="L1106">
        <v>7118000</v>
      </c>
      <c r="M1106" t="b">
        <v>0</v>
      </c>
      <c r="N1106" t="b">
        <v>0</v>
      </c>
      <c r="O1106">
        <v>5000</v>
      </c>
      <c r="P1106" t="b">
        <v>0</v>
      </c>
      <c r="Q1106" t="b">
        <v>0</v>
      </c>
      <c r="R1106" t="b">
        <v>0</v>
      </c>
      <c r="S1106" t="s">
        <v>96</v>
      </c>
      <c r="T1106" t="s">
        <v>102</v>
      </c>
    </row>
    <row r="1107" spans="1:21" x14ac:dyDescent="0.3">
      <c r="A1107" t="s">
        <v>1212</v>
      </c>
      <c r="B1107" s="1">
        <v>46101</v>
      </c>
      <c r="C1107" s="1">
        <v>46102</v>
      </c>
      <c r="D1107" s="1">
        <v>46105</v>
      </c>
      <c r="E1107" s="1">
        <v>46101</v>
      </c>
      <c r="F1107" t="s">
        <v>31</v>
      </c>
      <c r="G1107" t="s">
        <v>59</v>
      </c>
      <c r="H1107" t="s">
        <v>23</v>
      </c>
      <c r="I1107" t="s">
        <v>44</v>
      </c>
      <c r="J1107">
        <v>306.7</v>
      </c>
      <c r="K1107">
        <v>319.2</v>
      </c>
      <c r="L1107">
        <v>3298000</v>
      </c>
      <c r="M1107" t="b">
        <v>1</v>
      </c>
      <c r="N1107" t="b">
        <v>0</v>
      </c>
      <c r="O1107">
        <v>1500</v>
      </c>
      <c r="P1107" t="b">
        <v>0</v>
      </c>
      <c r="Q1107" t="b">
        <v>0</v>
      </c>
      <c r="R1107" t="b">
        <v>1</v>
      </c>
      <c r="S1107" t="s">
        <v>260</v>
      </c>
      <c r="T1107" t="s">
        <v>118</v>
      </c>
    </row>
    <row r="1108" spans="1:21" x14ac:dyDescent="0.3">
      <c r="A1108" t="s">
        <v>1213</v>
      </c>
      <c r="B1108" s="1">
        <v>46183</v>
      </c>
      <c r="C1108" s="1">
        <v>46184</v>
      </c>
      <c r="D1108" s="1">
        <v>46187</v>
      </c>
      <c r="E1108" s="1">
        <v>46187</v>
      </c>
      <c r="F1108" t="s">
        <v>31</v>
      </c>
      <c r="G1108" t="s">
        <v>54</v>
      </c>
      <c r="H1108" t="s">
        <v>22</v>
      </c>
      <c r="I1108" t="s">
        <v>44</v>
      </c>
      <c r="J1108">
        <v>450.3</v>
      </c>
      <c r="K1108">
        <v>1022.7</v>
      </c>
      <c r="L1108">
        <v>4947000</v>
      </c>
      <c r="M1108" t="b">
        <v>0</v>
      </c>
      <c r="N1108" t="b">
        <v>0</v>
      </c>
      <c r="O1108">
        <v>1500</v>
      </c>
      <c r="P1108" t="b">
        <v>0</v>
      </c>
      <c r="Q1108" t="b">
        <v>0</v>
      </c>
      <c r="R1108" t="b">
        <v>0</v>
      </c>
      <c r="S1108" t="s">
        <v>96</v>
      </c>
      <c r="T1108" t="s">
        <v>99</v>
      </c>
    </row>
    <row r="1109" spans="1:21" x14ac:dyDescent="0.3">
      <c r="A1109" t="s">
        <v>1214</v>
      </c>
      <c r="B1109" s="1">
        <v>46095</v>
      </c>
      <c r="C1109" s="1">
        <v>46096</v>
      </c>
      <c r="D1109" s="1">
        <v>46100</v>
      </c>
      <c r="E1109" s="1">
        <v>46102</v>
      </c>
      <c r="F1109" t="s">
        <v>32</v>
      </c>
      <c r="G1109" t="s">
        <v>56</v>
      </c>
      <c r="H1109" t="s">
        <v>24</v>
      </c>
      <c r="I1109" t="s">
        <v>43</v>
      </c>
      <c r="J1109">
        <v>1128.9000000000001</v>
      </c>
      <c r="K1109">
        <v>3203.9</v>
      </c>
      <c r="L1109">
        <v>17938000</v>
      </c>
      <c r="M1109" t="b">
        <v>0</v>
      </c>
      <c r="N1109" t="b">
        <v>0</v>
      </c>
      <c r="O1109">
        <v>5000</v>
      </c>
      <c r="P1109" t="b">
        <v>0</v>
      </c>
      <c r="Q1109" t="b">
        <v>0</v>
      </c>
      <c r="R1109" t="b">
        <v>0</v>
      </c>
      <c r="S1109" t="s">
        <v>101</v>
      </c>
      <c r="T1109" t="s">
        <v>118</v>
      </c>
      <c r="U1109">
        <v>2</v>
      </c>
    </row>
    <row r="1110" spans="1:21" x14ac:dyDescent="0.3">
      <c r="A1110" t="s">
        <v>1215</v>
      </c>
      <c r="B1110" s="1">
        <v>46190</v>
      </c>
      <c r="C1110" s="1">
        <v>46191</v>
      </c>
      <c r="D1110" s="1">
        <v>46194</v>
      </c>
      <c r="E1110" s="1">
        <v>46194</v>
      </c>
      <c r="F1110" t="s">
        <v>32</v>
      </c>
      <c r="G1110" t="s">
        <v>54</v>
      </c>
      <c r="H1110" t="s">
        <v>21</v>
      </c>
      <c r="I1110" t="s">
        <v>44</v>
      </c>
      <c r="J1110">
        <v>507.7</v>
      </c>
      <c r="K1110">
        <v>606</v>
      </c>
      <c r="L1110">
        <v>5669000</v>
      </c>
      <c r="M1110" t="b">
        <v>0</v>
      </c>
      <c r="N1110" t="b">
        <v>0</v>
      </c>
      <c r="O1110">
        <v>1500</v>
      </c>
      <c r="P1110" t="b">
        <v>0</v>
      </c>
      <c r="Q1110" t="b">
        <v>0</v>
      </c>
      <c r="R1110" t="b">
        <v>0</v>
      </c>
      <c r="S1110" t="s">
        <v>96</v>
      </c>
      <c r="T1110" t="s">
        <v>99</v>
      </c>
    </row>
    <row r="1111" spans="1:21" x14ac:dyDescent="0.3">
      <c r="A1111" t="s">
        <v>1216</v>
      </c>
      <c r="B1111" s="1">
        <v>46169</v>
      </c>
      <c r="C1111" s="1">
        <v>46170</v>
      </c>
      <c r="D1111" s="1">
        <v>46173</v>
      </c>
      <c r="E1111" s="1">
        <v>46174</v>
      </c>
      <c r="F1111" t="s">
        <v>34</v>
      </c>
      <c r="G1111" t="s">
        <v>59</v>
      </c>
      <c r="H1111" t="s">
        <v>24</v>
      </c>
      <c r="I1111" t="s">
        <v>42</v>
      </c>
      <c r="J1111">
        <v>325.8</v>
      </c>
      <c r="K1111">
        <v>10120.1</v>
      </c>
      <c r="L1111">
        <v>8735000</v>
      </c>
      <c r="M1111" t="b">
        <v>0</v>
      </c>
      <c r="N1111" t="b">
        <v>0</v>
      </c>
      <c r="O1111">
        <v>16000</v>
      </c>
      <c r="P1111" t="b">
        <v>0</v>
      </c>
      <c r="Q1111" t="b">
        <v>0</v>
      </c>
      <c r="R1111" t="b">
        <v>0</v>
      </c>
      <c r="S1111" t="s">
        <v>101</v>
      </c>
      <c r="T1111" t="s">
        <v>102</v>
      </c>
      <c r="U1111">
        <v>1</v>
      </c>
    </row>
    <row r="1112" spans="1:21" x14ac:dyDescent="0.3">
      <c r="A1112" t="s">
        <v>1217</v>
      </c>
      <c r="B1112" s="1">
        <v>46192</v>
      </c>
      <c r="C1112" s="1">
        <v>46193</v>
      </c>
      <c r="D1112" s="1">
        <v>46196</v>
      </c>
      <c r="E1112" s="1">
        <v>46196</v>
      </c>
      <c r="F1112" t="s">
        <v>32</v>
      </c>
      <c r="G1112" t="s">
        <v>60</v>
      </c>
      <c r="H1112" t="s">
        <v>23</v>
      </c>
      <c r="I1112" t="s">
        <v>45</v>
      </c>
      <c r="J1112">
        <v>472.2</v>
      </c>
      <c r="K1112">
        <v>330.3</v>
      </c>
      <c r="L1112">
        <v>4113000</v>
      </c>
      <c r="M1112" t="b">
        <v>0</v>
      </c>
      <c r="N1112" t="b">
        <v>0</v>
      </c>
      <c r="O1112">
        <v>1000</v>
      </c>
      <c r="P1112" t="b">
        <v>0</v>
      </c>
      <c r="Q1112" t="b">
        <v>0</v>
      </c>
      <c r="R1112" t="b">
        <v>0</v>
      </c>
      <c r="S1112" t="s">
        <v>96</v>
      </c>
      <c r="T1112" t="s">
        <v>99</v>
      </c>
    </row>
    <row r="1113" spans="1:21" x14ac:dyDescent="0.3">
      <c r="A1113" t="s">
        <v>1218</v>
      </c>
      <c r="B1113" s="1">
        <v>46111</v>
      </c>
      <c r="C1113" s="1">
        <v>46111</v>
      </c>
      <c r="D1113" s="1">
        <v>46112</v>
      </c>
      <c r="E1113" s="1">
        <v>46114</v>
      </c>
      <c r="F1113" t="s">
        <v>34</v>
      </c>
      <c r="G1113" t="s">
        <v>61</v>
      </c>
      <c r="H1113" t="s">
        <v>22</v>
      </c>
      <c r="I1113" t="s">
        <v>45</v>
      </c>
      <c r="J1113">
        <v>21.6</v>
      </c>
      <c r="K1113">
        <v>790.3</v>
      </c>
      <c r="L1113">
        <v>942000</v>
      </c>
      <c r="M1113" t="b">
        <v>0</v>
      </c>
      <c r="N1113" t="b">
        <v>0</v>
      </c>
      <c r="O1113">
        <v>1000</v>
      </c>
      <c r="P1113" t="b">
        <v>0</v>
      </c>
      <c r="Q1113" t="b">
        <v>0</v>
      </c>
      <c r="R1113" t="b">
        <v>0</v>
      </c>
      <c r="S1113" t="s">
        <v>101</v>
      </c>
      <c r="T1113" t="s">
        <v>118</v>
      </c>
      <c r="U1113">
        <v>2</v>
      </c>
    </row>
    <row r="1114" spans="1:21" x14ac:dyDescent="0.3">
      <c r="A1114" t="s">
        <v>1219</v>
      </c>
      <c r="B1114" s="1">
        <v>46124</v>
      </c>
      <c r="C1114" s="1">
        <v>46125</v>
      </c>
      <c r="D1114" s="1">
        <v>46127</v>
      </c>
      <c r="E1114" s="1">
        <v>46127</v>
      </c>
      <c r="F1114" t="s">
        <v>34</v>
      </c>
      <c r="G1114" t="s">
        <v>58</v>
      </c>
      <c r="H1114" t="s">
        <v>20</v>
      </c>
      <c r="I1114" t="s">
        <v>44</v>
      </c>
      <c r="J1114">
        <v>153.6</v>
      </c>
      <c r="K1114">
        <v>467.6</v>
      </c>
      <c r="L1114">
        <v>2221000</v>
      </c>
      <c r="M1114" t="b">
        <v>0</v>
      </c>
      <c r="N1114" t="b">
        <v>0</v>
      </c>
      <c r="O1114">
        <v>1500</v>
      </c>
      <c r="P1114" t="b">
        <v>0</v>
      </c>
      <c r="Q1114" t="b">
        <v>0</v>
      </c>
      <c r="R1114" t="b">
        <v>0</v>
      </c>
      <c r="S1114" t="s">
        <v>96</v>
      </c>
      <c r="T1114" t="s">
        <v>112</v>
      </c>
    </row>
    <row r="1115" spans="1:21" x14ac:dyDescent="0.3">
      <c r="A1115" t="s">
        <v>1220</v>
      </c>
      <c r="B1115" s="1">
        <v>46053</v>
      </c>
      <c r="C1115" s="1">
        <v>46054</v>
      </c>
      <c r="D1115" s="1">
        <v>46056</v>
      </c>
      <c r="E1115" s="1">
        <v>46058</v>
      </c>
      <c r="F1115" t="s">
        <v>33</v>
      </c>
      <c r="G1115" t="s">
        <v>62</v>
      </c>
      <c r="H1115" t="s">
        <v>22</v>
      </c>
      <c r="I1115" t="s">
        <v>45</v>
      </c>
      <c r="J1115">
        <v>151.4</v>
      </c>
      <c r="K1115">
        <v>876.8</v>
      </c>
      <c r="L1115">
        <v>2249000</v>
      </c>
      <c r="M1115" t="b">
        <v>0</v>
      </c>
      <c r="N1115" t="b">
        <v>0</v>
      </c>
      <c r="O1115">
        <v>1000</v>
      </c>
      <c r="P1115" t="b">
        <v>0</v>
      </c>
      <c r="Q1115" t="b">
        <v>0</v>
      </c>
      <c r="R1115" t="b">
        <v>0</v>
      </c>
      <c r="S1115" t="s">
        <v>101</v>
      </c>
      <c r="T1115" t="s">
        <v>115</v>
      </c>
      <c r="U1115">
        <v>2</v>
      </c>
    </row>
    <row r="1116" spans="1:21" x14ac:dyDescent="0.3">
      <c r="A1116" t="s">
        <v>1221</v>
      </c>
      <c r="B1116" s="1">
        <v>46058</v>
      </c>
      <c r="C1116" s="1">
        <v>46059</v>
      </c>
      <c r="D1116" s="1">
        <v>46063</v>
      </c>
      <c r="E1116" s="1">
        <v>46058</v>
      </c>
      <c r="F1116" t="s">
        <v>31</v>
      </c>
      <c r="G1116" t="s">
        <v>56</v>
      </c>
      <c r="H1116" t="s">
        <v>20</v>
      </c>
      <c r="I1116" t="s">
        <v>44</v>
      </c>
      <c r="J1116">
        <v>860.8</v>
      </c>
      <c r="K1116">
        <v>156.9</v>
      </c>
      <c r="L1116">
        <v>8894000</v>
      </c>
      <c r="M1116" t="b">
        <v>1</v>
      </c>
      <c r="N1116" t="b">
        <v>0</v>
      </c>
      <c r="O1116">
        <v>1500</v>
      </c>
      <c r="P1116" t="b">
        <v>0</v>
      </c>
      <c r="Q1116" t="b">
        <v>0</v>
      </c>
      <c r="R1116" t="b">
        <v>1</v>
      </c>
      <c r="S1116" t="s">
        <v>260</v>
      </c>
      <c r="T1116" t="s">
        <v>115</v>
      </c>
    </row>
    <row r="1117" spans="1:21" x14ac:dyDescent="0.3">
      <c r="A1117" t="s">
        <v>1222</v>
      </c>
      <c r="B1117" s="1">
        <v>46096</v>
      </c>
      <c r="C1117" s="1">
        <v>46097</v>
      </c>
      <c r="D1117" s="1">
        <v>46098</v>
      </c>
      <c r="E1117" s="1">
        <v>46098</v>
      </c>
      <c r="F1117" t="s">
        <v>31</v>
      </c>
      <c r="G1117" t="s">
        <v>55</v>
      </c>
      <c r="H1117" t="s">
        <v>21</v>
      </c>
      <c r="I1117" t="s">
        <v>42</v>
      </c>
      <c r="J1117">
        <v>18.100000000000001</v>
      </c>
      <c r="K1117">
        <v>6852.7</v>
      </c>
      <c r="L1117">
        <v>3370000</v>
      </c>
      <c r="M1117" t="b">
        <v>0</v>
      </c>
      <c r="N1117" t="b">
        <v>0</v>
      </c>
      <c r="O1117">
        <v>16000</v>
      </c>
      <c r="P1117" t="b">
        <v>0</v>
      </c>
      <c r="Q1117" t="b">
        <v>0</v>
      </c>
      <c r="R1117" t="b">
        <v>0</v>
      </c>
      <c r="S1117" t="s">
        <v>96</v>
      </c>
      <c r="T1117" t="s">
        <v>118</v>
      </c>
    </row>
    <row r="1118" spans="1:21" x14ac:dyDescent="0.3">
      <c r="A1118" t="s">
        <v>1223</v>
      </c>
      <c r="B1118" s="1">
        <v>46121</v>
      </c>
      <c r="C1118" s="1">
        <v>46122</v>
      </c>
      <c r="D1118" s="1">
        <v>46124</v>
      </c>
      <c r="E1118" s="1">
        <v>46124</v>
      </c>
      <c r="F1118" t="s">
        <v>34</v>
      </c>
      <c r="G1118" t="s">
        <v>61</v>
      </c>
      <c r="H1118" t="s">
        <v>20</v>
      </c>
      <c r="I1118" t="s">
        <v>43</v>
      </c>
      <c r="J1118">
        <v>19.899999999999999</v>
      </c>
      <c r="K1118">
        <v>2588.4</v>
      </c>
      <c r="L1118">
        <v>2014000</v>
      </c>
      <c r="M1118" t="b">
        <v>0</v>
      </c>
      <c r="N1118" t="b">
        <v>0</v>
      </c>
      <c r="O1118">
        <v>5000</v>
      </c>
      <c r="P1118" t="b">
        <v>0</v>
      </c>
      <c r="Q1118" t="b">
        <v>0</v>
      </c>
      <c r="R1118" t="b">
        <v>0</v>
      </c>
      <c r="S1118" t="s">
        <v>96</v>
      </c>
      <c r="T1118" t="s">
        <v>112</v>
      </c>
    </row>
    <row r="1119" spans="1:21" x14ac:dyDescent="0.3">
      <c r="A1119" t="s">
        <v>1224</v>
      </c>
      <c r="B1119" s="1">
        <v>46024</v>
      </c>
      <c r="C1119" s="1">
        <v>46024</v>
      </c>
      <c r="D1119" s="1">
        <v>46026</v>
      </c>
      <c r="E1119" s="1">
        <v>46026</v>
      </c>
      <c r="F1119" t="s">
        <v>32</v>
      </c>
      <c r="G1119" t="s">
        <v>59</v>
      </c>
      <c r="H1119" t="s">
        <v>21</v>
      </c>
      <c r="I1119" t="s">
        <v>43</v>
      </c>
      <c r="J1119">
        <v>161</v>
      </c>
      <c r="K1119">
        <v>1747.3</v>
      </c>
      <c r="L1119">
        <v>3516000</v>
      </c>
      <c r="M1119" t="b">
        <v>0</v>
      </c>
      <c r="N1119" t="b">
        <v>0</v>
      </c>
      <c r="O1119">
        <v>5000</v>
      </c>
      <c r="P1119" t="b">
        <v>0</v>
      </c>
      <c r="Q1119" t="b">
        <v>0</v>
      </c>
      <c r="R1119" t="b">
        <v>0</v>
      </c>
      <c r="S1119" t="s">
        <v>96</v>
      </c>
      <c r="T1119" t="s">
        <v>104</v>
      </c>
    </row>
    <row r="1120" spans="1:21" x14ac:dyDescent="0.3">
      <c r="A1120" t="s">
        <v>1225</v>
      </c>
      <c r="B1120" s="1">
        <v>46073</v>
      </c>
      <c r="C1120" s="1">
        <v>46074</v>
      </c>
      <c r="D1120" s="1">
        <v>46076</v>
      </c>
      <c r="E1120" s="1">
        <v>46076</v>
      </c>
      <c r="F1120" t="s">
        <v>32</v>
      </c>
      <c r="G1120" t="s">
        <v>61</v>
      </c>
      <c r="H1120" t="s">
        <v>22</v>
      </c>
      <c r="I1120" t="s">
        <v>43</v>
      </c>
      <c r="J1120">
        <v>157.6</v>
      </c>
      <c r="K1120">
        <v>3963.3</v>
      </c>
      <c r="L1120">
        <v>4270000</v>
      </c>
      <c r="M1120" t="b">
        <v>0</v>
      </c>
      <c r="N1120" t="b">
        <v>0</v>
      </c>
      <c r="O1120">
        <v>5000</v>
      </c>
      <c r="P1120" t="b">
        <v>0</v>
      </c>
      <c r="Q1120" t="b">
        <v>0</v>
      </c>
      <c r="R1120" t="b">
        <v>0</v>
      </c>
      <c r="S1120" t="s">
        <v>96</v>
      </c>
      <c r="T1120" t="s">
        <v>115</v>
      </c>
    </row>
    <row r="1121" spans="1:21" x14ac:dyDescent="0.3">
      <c r="A1121" t="s">
        <v>1226</v>
      </c>
      <c r="B1121" s="1">
        <v>46033</v>
      </c>
      <c r="C1121" s="1">
        <v>46033</v>
      </c>
      <c r="D1121" s="1">
        <v>46035</v>
      </c>
      <c r="E1121" s="1">
        <v>46038</v>
      </c>
      <c r="F1121" t="s">
        <v>34</v>
      </c>
      <c r="G1121" t="s">
        <v>52</v>
      </c>
      <c r="H1121" t="s">
        <v>24</v>
      </c>
      <c r="I1121" t="s">
        <v>43</v>
      </c>
      <c r="J1121">
        <v>264.2</v>
      </c>
      <c r="K1121">
        <v>2356.4</v>
      </c>
      <c r="L1121">
        <v>4906000</v>
      </c>
      <c r="M1121" t="b">
        <v>0</v>
      </c>
      <c r="N1121" t="b">
        <v>0</v>
      </c>
      <c r="O1121">
        <v>5000</v>
      </c>
      <c r="P1121" t="b">
        <v>0</v>
      </c>
      <c r="Q1121" t="b">
        <v>0</v>
      </c>
      <c r="R1121" t="b">
        <v>0</v>
      </c>
      <c r="S1121" t="s">
        <v>101</v>
      </c>
      <c r="T1121" t="s">
        <v>104</v>
      </c>
      <c r="U1121">
        <v>3</v>
      </c>
    </row>
    <row r="1122" spans="1:21" x14ac:dyDescent="0.3">
      <c r="A1122" t="s">
        <v>1227</v>
      </c>
      <c r="B1122" s="1">
        <v>46024</v>
      </c>
      <c r="C1122" s="1">
        <v>46025</v>
      </c>
      <c r="D1122" s="1">
        <v>46026</v>
      </c>
      <c r="E1122" s="1">
        <v>46026</v>
      </c>
      <c r="F1122" t="s">
        <v>32</v>
      </c>
      <c r="G1122" t="s">
        <v>57</v>
      </c>
      <c r="H1122" t="s">
        <v>24</v>
      </c>
      <c r="I1122" t="s">
        <v>44</v>
      </c>
      <c r="J1122">
        <v>24.3</v>
      </c>
      <c r="K1122">
        <v>860.8</v>
      </c>
      <c r="L1122">
        <v>1071000</v>
      </c>
      <c r="M1122" t="b">
        <v>0</v>
      </c>
      <c r="N1122" t="b">
        <v>0</v>
      </c>
      <c r="O1122">
        <v>1500</v>
      </c>
      <c r="P1122" t="b">
        <v>0</v>
      </c>
      <c r="Q1122" t="b">
        <v>0</v>
      </c>
      <c r="R1122" t="b">
        <v>0</v>
      </c>
      <c r="S1122" t="s">
        <v>96</v>
      </c>
      <c r="T1122" t="s">
        <v>104</v>
      </c>
    </row>
    <row r="1123" spans="1:21" x14ac:dyDescent="0.3">
      <c r="A1123" t="s">
        <v>1228</v>
      </c>
      <c r="B1123" s="1">
        <v>46160</v>
      </c>
      <c r="C1123" s="1">
        <v>46162</v>
      </c>
      <c r="D1123" s="1">
        <v>46163</v>
      </c>
      <c r="E1123" s="1">
        <v>46163</v>
      </c>
      <c r="F1123" t="s">
        <v>34</v>
      </c>
      <c r="G1123" t="s">
        <v>55</v>
      </c>
      <c r="H1123" t="s">
        <v>21</v>
      </c>
      <c r="I1123" t="s">
        <v>43</v>
      </c>
      <c r="J1123">
        <v>57.9</v>
      </c>
      <c r="K1123">
        <v>1777.7</v>
      </c>
      <c r="L1123">
        <v>2251000</v>
      </c>
      <c r="M1123" t="b">
        <v>0</v>
      </c>
      <c r="N1123" t="b">
        <v>0</v>
      </c>
      <c r="O1123">
        <v>5000</v>
      </c>
      <c r="P1123" t="b">
        <v>0</v>
      </c>
      <c r="Q1123" t="b">
        <v>0</v>
      </c>
      <c r="R1123" t="b">
        <v>0</v>
      </c>
      <c r="S1123" t="s">
        <v>96</v>
      </c>
      <c r="T1123" t="s">
        <v>102</v>
      </c>
    </row>
    <row r="1124" spans="1:21" x14ac:dyDescent="0.3">
      <c r="A1124" t="s">
        <v>1229</v>
      </c>
      <c r="B1124" s="1">
        <v>46128</v>
      </c>
      <c r="C1124" s="1">
        <v>46129</v>
      </c>
      <c r="D1124" s="1">
        <v>46132</v>
      </c>
      <c r="E1124" s="1">
        <v>46133</v>
      </c>
      <c r="F1124" t="s">
        <v>34</v>
      </c>
      <c r="G1124" t="s">
        <v>58</v>
      </c>
      <c r="H1124" t="s">
        <v>24</v>
      </c>
      <c r="I1124" t="s">
        <v>44</v>
      </c>
      <c r="J1124">
        <v>154.5</v>
      </c>
      <c r="K1124">
        <v>233.1</v>
      </c>
      <c r="L1124">
        <v>1960000</v>
      </c>
      <c r="M1124" t="b">
        <v>0</v>
      </c>
      <c r="N1124" t="b">
        <v>0</v>
      </c>
      <c r="O1124">
        <v>1500</v>
      </c>
      <c r="P1124" t="b">
        <v>0</v>
      </c>
      <c r="Q1124" t="b">
        <v>0</v>
      </c>
      <c r="R1124" t="b">
        <v>0</v>
      </c>
      <c r="S1124" t="s">
        <v>101</v>
      </c>
      <c r="T1124" t="s">
        <v>112</v>
      </c>
      <c r="U1124">
        <v>1</v>
      </c>
    </row>
    <row r="1125" spans="1:21" x14ac:dyDescent="0.3">
      <c r="A1125" t="s">
        <v>1230</v>
      </c>
      <c r="B1125" s="1">
        <v>46153</v>
      </c>
      <c r="C1125" s="1">
        <v>46155</v>
      </c>
      <c r="D1125" s="1">
        <v>46157</v>
      </c>
      <c r="E1125" s="1">
        <v>46157</v>
      </c>
      <c r="F1125" t="s">
        <v>31</v>
      </c>
      <c r="G1125" t="s">
        <v>59</v>
      </c>
      <c r="H1125" t="s">
        <v>20</v>
      </c>
      <c r="I1125" t="s">
        <v>45</v>
      </c>
      <c r="J1125">
        <v>296.8</v>
      </c>
      <c r="K1125">
        <v>122.8</v>
      </c>
      <c r="L1125">
        <v>2820000</v>
      </c>
      <c r="M1125" t="b">
        <v>0</v>
      </c>
      <c r="N1125" t="b">
        <v>0</v>
      </c>
      <c r="O1125">
        <v>1000</v>
      </c>
      <c r="P1125" t="b">
        <v>0</v>
      </c>
      <c r="Q1125" t="b">
        <v>0</v>
      </c>
      <c r="R1125" t="b">
        <v>0</v>
      </c>
      <c r="S1125" t="s">
        <v>96</v>
      </c>
      <c r="T1125" t="s">
        <v>102</v>
      </c>
    </row>
    <row r="1126" spans="1:21" x14ac:dyDescent="0.3">
      <c r="A1126" t="s">
        <v>1231</v>
      </c>
      <c r="B1126" s="1">
        <v>46048</v>
      </c>
      <c r="C1126" s="1">
        <v>46049</v>
      </c>
      <c r="D1126" s="1">
        <v>46053</v>
      </c>
      <c r="E1126" s="1">
        <v>46053</v>
      </c>
      <c r="F1126" t="s">
        <v>31</v>
      </c>
      <c r="G1126" t="s">
        <v>56</v>
      </c>
      <c r="H1126" t="s">
        <v>21</v>
      </c>
      <c r="I1126" t="s">
        <v>44</v>
      </c>
      <c r="J1126">
        <v>852.4</v>
      </c>
      <c r="K1126">
        <v>774.6</v>
      </c>
      <c r="L1126">
        <v>8147000</v>
      </c>
      <c r="M1126" t="b">
        <v>0</v>
      </c>
      <c r="N1126" t="b">
        <v>0</v>
      </c>
      <c r="O1126">
        <v>1500</v>
      </c>
      <c r="P1126" t="b">
        <v>0</v>
      </c>
      <c r="Q1126" t="b">
        <v>0</v>
      </c>
      <c r="R1126" t="b">
        <v>0</v>
      </c>
      <c r="S1126" t="s">
        <v>96</v>
      </c>
      <c r="T1126" t="s">
        <v>104</v>
      </c>
    </row>
    <row r="1127" spans="1:21" x14ac:dyDescent="0.3">
      <c r="A1127" t="s">
        <v>1232</v>
      </c>
      <c r="B1127" s="1">
        <v>46111</v>
      </c>
      <c r="C1127" s="1">
        <v>46112</v>
      </c>
      <c r="D1127" s="1">
        <v>46113</v>
      </c>
      <c r="E1127" s="1">
        <v>46116</v>
      </c>
      <c r="F1127" t="s">
        <v>34</v>
      </c>
      <c r="G1127" t="s">
        <v>55</v>
      </c>
      <c r="H1127" t="s">
        <v>24</v>
      </c>
      <c r="I1127" t="s">
        <v>42</v>
      </c>
      <c r="J1127">
        <v>58.8</v>
      </c>
      <c r="K1127">
        <v>14706.1</v>
      </c>
      <c r="L1127">
        <v>6896000</v>
      </c>
      <c r="M1127" t="b">
        <v>0</v>
      </c>
      <c r="N1127" t="b">
        <v>0</v>
      </c>
      <c r="O1127">
        <v>16000</v>
      </c>
      <c r="P1127" t="b">
        <v>0</v>
      </c>
      <c r="Q1127" t="b">
        <v>0</v>
      </c>
      <c r="R1127" t="b">
        <v>0</v>
      </c>
      <c r="S1127" t="s">
        <v>101</v>
      </c>
      <c r="T1127" t="s">
        <v>118</v>
      </c>
      <c r="U1127">
        <v>3</v>
      </c>
    </row>
    <row r="1128" spans="1:21" x14ac:dyDescent="0.3">
      <c r="A1128" t="s">
        <v>1233</v>
      </c>
      <c r="B1128" s="1">
        <v>46156</v>
      </c>
      <c r="C1128" s="1">
        <v>46157</v>
      </c>
      <c r="D1128" s="1">
        <v>46160</v>
      </c>
      <c r="E1128" s="1">
        <v>46160</v>
      </c>
      <c r="F1128" t="s">
        <v>34</v>
      </c>
      <c r="G1128" t="s">
        <v>63</v>
      </c>
      <c r="H1128" t="s">
        <v>21</v>
      </c>
      <c r="I1128" t="s">
        <v>45</v>
      </c>
      <c r="J1128">
        <v>308</v>
      </c>
      <c r="K1128">
        <v>716.9</v>
      </c>
      <c r="L1128">
        <v>3362000</v>
      </c>
      <c r="M1128" t="b">
        <v>0</v>
      </c>
      <c r="N1128" t="b">
        <v>0</v>
      </c>
      <c r="O1128">
        <v>1000</v>
      </c>
      <c r="P1128" t="b">
        <v>0</v>
      </c>
      <c r="Q1128" t="b">
        <v>0</v>
      </c>
      <c r="R1128" t="b">
        <v>0</v>
      </c>
      <c r="S1128" t="s">
        <v>96</v>
      </c>
      <c r="T1128" t="s">
        <v>102</v>
      </c>
    </row>
    <row r="1129" spans="1:21" x14ac:dyDescent="0.3">
      <c r="A1129" t="s">
        <v>1234</v>
      </c>
      <c r="B1129" s="1">
        <v>46098</v>
      </c>
      <c r="C1129" s="1">
        <v>46099</v>
      </c>
      <c r="D1129" s="1">
        <v>46103</v>
      </c>
      <c r="E1129" s="1">
        <v>46103</v>
      </c>
      <c r="F1129" t="s">
        <v>34</v>
      </c>
      <c r="G1129" t="s">
        <v>56</v>
      </c>
      <c r="H1129" t="s">
        <v>22</v>
      </c>
      <c r="I1129" t="s">
        <v>43</v>
      </c>
      <c r="J1129">
        <v>944.1</v>
      </c>
      <c r="K1129">
        <v>4037</v>
      </c>
      <c r="L1129">
        <v>15635000</v>
      </c>
      <c r="M1129" t="b">
        <v>0</v>
      </c>
      <c r="N1129" t="b">
        <v>0</v>
      </c>
      <c r="O1129">
        <v>5000</v>
      </c>
      <c r="P1129" t="b">
        <v>0</v>
      </c>
      <c r="Q1129" t="b">
        <v>0</v>
      </c>
      <c r="R1129" t="b">
        <v>0</v>
      </c>
      <c r="S1129" t="s">
        <v>96</v>
      </c>
      <c r="T1129" t="s">
        <v>118</v>
      </c>
    </row>
    <row r="1130" spans="1:21" x14ac:dyDescent="0.3">
      <c r="A1130" t="s">
        <v>1235</v>
      </c>
      <c r="B1130" s="1">
        <v>46168</v>
      </c>
      <c r="C1130" s="1">
        <v>46168</v>
      </c>
      <c r="D1130" s="1">
        <v>46172</v>
      </c>
      <c r="E1130" s="1">
        <v>46172</v>
      </c>
      <c r="F1130" t="s">
        <v>32</v>
      </c>
      <c r="G1130" t="s">
        <v>52</v>
      </c>
      <c r="H1130" t="s">
        <v>20</v>
      </c>
      <c r="I1130" t="s">
        <v>45</v>
      </c>
      <c r="J1130">
        <v>329.9</v>
      </c>
      <c r="K1130">
        <v>602</v>
      </c>
      <c r="L1130">
        <v>3757000</v>
      </c>
      <c r="M1130" t="b">
        <v>0</v>
      </c>
      <c r="N1130" t="b">
        <v>0</v>
      </c>
      <c r="O1130">
        <v>1000</v>
      </c>
      <c r="P1130" t="b">
        <v>0</v>
      </c>
      <c r="Q1130" t="b">
        <v>0</v>
      </c>
      <c r="R1130" t="b">
        <v>0</v>
      </c>
      <c r="S1130" t="s">
        <v>96</v>
      </c>
      <c r="T1130" t="s">
        <v>102</v>
      </c>
    </row>
    <row r="1131" spans="1:21" x14ac:dyDescent="0.3">
      <c r="A1131" t="s">
        <v>1236</v>
      </c>
      <c r="B1131" s="1">
        <v>46079</v>
      </c>
      <c r="C1131" s="1">
        <v>46079</v>
      </c>
      <c r="D1131" s="1">
        <v>46083</v>
      </c>
      <c r="E1131" s="1">
        <v>46083</v>
      </c>
      <c r="F1131" t="s">
        <v>32</v>
      </c>
      <c r="G1131" t="s">
        <v>62</v>
      </c>
      <c r="H1131" t="s">
        <v>22</v>
      </c>
      <c r="I1131" t="s">
        <v>43</v>
      </c>
      <c r="J1131">
        <v>619.20000000000005</v>
      </c>
      <c r="K1131">
        <v>1957.9</v>
      </c>
      <c r="L1131">
        <v>7622000</v>
      </c>
      <c r="M1131" t="b">
        <v>0</v>
      </c>
      <c r="N1131" t="b">
        <v>0</v>
      </c>
      <c r="O1131">
        <v>5000</v>
      </c>
      <c r="P1131" t="b">
        <v>0</v>
      </c>
      <c r="Q1131" t="b">
        <v>0</v>
      </c>
      <c r="R1131" t="b">
        <v>0</v>
      </c>
      <c r="S1131" t="s">
        <v>96</v>
      </c>
      <c r="T1131" t="s">
        <v>115</v>
      </c>
    </row>
    <row r="1132" spans="1:21" x14ac:dyDescent="0.3">
      <c r="A1132" t="s">
        <v>1237</v>
      </c>
      <c r="B1132" s="1">
        <v>46158</v>
      </c>
      <c r="C1132" s="1">
        <v>46159</v>
      </c>
      <c r="D1132" s="1">
        <v>46162</v>
      </c>
      <c r="E1132" s="1">
        <v>46162</v>
      </c>
      <c r="F1132" t="s">
        <v>31</v>
      </c>
      <c r="G1132" t="s">
        <v>54</v>
      </c>
      <c r="H1132" t="s">
        <v>22</v>
      </c>
      <c r="I1132" t="s">
        <v>45</v>
      </c>
      <c r="J1132">
        <v>435.3</v>
      </c>
      <c r="K1132">
        <v>137.30000000000001</v>
      </c>
      <c r="L1132">
        <v>4485000</v>
      </c>
      <c r="M1132" t="b">
        <v>0</v>
      </c>
      <c r="N1132" t="b">
        <v>0</v>
      </c>
      <c r="O1132">
        <v>1000</v>
      </c>
      <c r="P1132" t="b">
        <v>0</v>
      </c>
      <c r="Q1132" t="b">
        <v>0</v>
      </c>
      <c r="R1132" t="b">
        <v>0</v>
      </c>
      <c r="S1132" t="s">
        <v>96</v>
      </c>
      <c r="T1132" t="s">
        <v>102</v>
      </c>
    </row>
    <row r="1133" spans="1:21" x14ac:dyDescent="0.3">
      <c r="A1133" t="s">
        <v>1238</v>
      </c>
      <c r="B1133" s="1">
        <v>46081</v>
      </c>
      <c r="C1133" s="1">
        <v>46082</v>
      </c>
      <c r="D1133" s="1">
        <v>46086</v>
      </c>
      <c r="E1133" s="1">
        <v>46086</v>
      </c>
      <c r="F1133" t="s">
        <v>33</v>
      </c>
      <c r="G1133" t="s">
        <v>56</v>
      </c>
      <c r="H1133" t="s">
        <v>20</v>
      </c>
      <c r="I1133" t="s">
        <v>44</v>
      </c>
      <c r="J1133">
        <v>1414.8</v>
      </c>
      <c r="K1133">
        <v>353.2</v>
      </c>
      <c r="L1133">
        <v>14372000</v>
      </c>
      <c r="M1133" t="b">
        <v>0</v>
      </c>
      <c r="N1133" t="b">
        <v>0</v>
      </c>
      <c r="O1133">
        <v>1500</v>
      </c>
      <c r="P1133" t="b">
        <v>0</v>
      </c>
      <c r="Q1133" t="b">
        <v>0</v>
      </c>
      <c r="R1133" t="b">
        <v>0</v>
      </c>
      <c r="S1133" t="s">
        <v>96</v>
      </c>
      <c r="T1133" t="s">
        <v>118</v>
      </c>
    </row>
    <row r="1134" spans="1:21" x14ac:dyDescent="0.3">
      <c r="A1134" t="s">
        <v>1239</v>
      </c>
      <c r="B1134" s="1">
        <v>46104</v>
      </c>
      <c r="C1134" s="1">
        <v>46104</v>
      </c>
      <c r="D1134" s="1">
        <v>46109</v>
      </c>
      <c r="E1134" s="1">
        <v>46109</v>
      </c>
      <c r="F1134" t="s">
        <v>33</v>
      </c>
      <c r="G1134" t="s">
        <v>56</v>
      </c>
      <c r="H1134" t="s">
        <v>24</v>
      </c>
      <c r="I1134" t="s">
        <v>45</v>
      </c>
      <c r="J1134">
        <v>1429.1</v>
      </c>
      <c r="K1134">
        <v>413.1</v>
      </c>
      <c r="L1134">
        <v>11089000</v>
      </c>
      <c r="M1134" t="b">
        <v>0</v>
      </c>
      <c r="N1134" t="b">
        <v>0</v>
      </c>
      <c r="O1134">
        <v>1000</v>
      </c>
      <c r="P1134" t="b">
        <v>0</v>
      </c>
      <c r="Q1134" t="b">
        <v>0</v>
      </c>
      <c r="R1134" t="b">
        <v>0</v>
      </c>
      <c r="S1134" t="s">
        <v>96</v>
      </c>
      <c r="T1134" t="s">
        <v>118</v>
      </c>
    </row>
    <row r="1135" spans="1:21" x14ac:dyDescent="0.3">
      <c r="A1135" t="s">
        <v>1240</v>
      </c>
      <c r="B1135" s="1">
        <v>46053</v>
      </c>
      <c r="C1135" s="1">
        <v>46054</v>
      </c>
      <c r="D1135" s="1">
        <v>46056</v>
      </c>
      <c r="E1135" s="1">
        <v>46056</v>
      </c>
      <c r="F1135" t="s">
        <v>32</v>
      </c>
      <c r="G1135" t="s">
        <v>59</v>
      </c>
      <c r="H1135" t="s">
        <v>21</v>
      </c>
      <c r="I1135" t="s">
        <v>42</v>
      </c>
      <c r="J1135">
        <v>176.5</v>
      </c>
      <c r="K1135">
        <v>14528.8</v>
      </c>
      <c r="L1135">
        <v>8002000</v>
      </c>
      <c r="M1135" t="b">
        <v>0</v>
      </c>
      <c r="N1135" t="b">
        <v>0</v>
      </c>
      <c r="O1135">
        <v>16000</v>
      </c>
      <c r="P1135" t="b">
        <v>0</v>
      </c>
      <c r="Q1135" t="b">
        <v>0</v>
      </c>
      <c r="R1135" t="b">
        <v>0</v>
      </c>
      <c r="S1135" t="s">
        <v>96</v>
      </c>
      <c r="T1135" t="s">
        <v>115</v>
      </c>
    </row>
    <row r="1136" spans="1:21" x14ac:dyDescent="0.3">
      <c r="A1136" t="s">
        <v>1241</v>
      </c>
      <c r="B1136" s="1">
        <v>46034</v>
      </c>
      <c r="C1136" s="1">
        <v>46035</v>
      </c>
      <c r="D1136" s="1">
        <v>46038</v>
      </c>
      <c r="E1136" s="1">
        <v>46038</v>
      </c>
      <c r="F1136" t="s">
        <v>34</v>
      </c>
      <c r="G1136" t="s">
        <v>63</v>
      </c>
      <c r="H1136" t="s">
        <v>21</v>
      </c>
      <c r="I1136" t="s">
        <v>43</v>
      </c>
      <c r="J1136">
        <v>342.6</v>
      </c>
      <c r="K1136">
        <v>598.70000000000005</v>
      </c>
      <c r="L1136">
        <v>4637000</v>
      </c>
      <c r="M1136" t="b">
        <v>0</v>
      </c>
      <c r="N1136" t="b">
        <v>0</v>
      </c>
      <c r="O1136">
        <v>5000</v>
      </c>
      <c r="P1136" t="b">
        <v>0</v>
      </c>
      <c r="Q1136" t="b">
        <v>0</v>
      </c>
      <c r="R1136" t="b">
        <v>0</v>
      </c>
      <c r="S1136" t="s">
        <v>96</v>
      </c>
      <c r="T1136" t="s">
        <v>104</v>
      </c>
    </row>
    <row r="1137" spans="1:21" x14ac:dyDescent="0.3">
      <c r="A1137" t="s">
        <v>1242</v>
      </c>
      <c r="B1137" s="1">
        <v>46062</v>
      </c>
      <c r="C1137" s="1">
        <v>46063</v>
      </c>
      <c r="D1137" s="1">
        <v>46064</v>
      </c>
      <c r="F1137" t="s">
        <v>32</v>
      </c>
      <c r="G1137" t="s">
        <v>57</v>
      </c>
      <c r="H1137" t="s">
        <v>21</v>
      </c>
      <c r="I1137" t="s">
        <v>44</v>
      </c>
      <c r="J1137">
        <v>30.7</v>
      </c>
      <c r="K1137">
        <v>1345.8</v>
      </c>
      <c r="L1137">
        <v>1457000</v>
      </c>
      <c r="M1137" t="b">
        <v>0</v>
      </c>
      <c r="N1137" t="b">
        <v>0</v>
      </c>
      <c r="O1137">
        <v>1500</v>
      </c>
      <c r="P1137" t="b">
        <v>0</v>
      </c>
      <c r="Q1137" t="b">
        <v>0</v>
      </c>
      <c r="R1137" t="b">
        <v>0</v>
      </c>
      <c r="S1137" t="s">
        <v>203</v>
      </c>
      <c r="T1137" t="s">
        <v>115</v>
      </c>
    </row>
    <row r="1138" spans="1:21" x14ac:dyDescent="0.3">
      <c r="A1138" t="s">
        <v>1243</v>
      </c>
      <c r="B1138" s="1">
        <v>46185</v>
      </c>
      <c r="C1138" s="1">
        <v>46186</v>
      </c>
      <c r="D1138" s="1">
        <v>46190</v>
      </c>
      <c r="E1138" s="1">
        <v>46191</v>
      </c>
      <c r="F1138" t="s">
        <v>34</v>
      </c>
      <c r="G1138" t="s">
        <v>62</v>
      </c>
      <c r="H1138" t="s">
        <v>23</v>
      </c>
      <c r="I1138" t="s">
        <v>45</v>
      </c>
      <c r="J1138">
        <v>607.5</v>
      </c>
      <c r="K1138">
        <v>169.6</v>
      </c>
      <c r="L1138">
        <v>5893000</v>
      </c>
      <c r="M1138" t="b">
        <v>0</v>
      </c>
      <c r="N1138" t="b">
        <v>0</v>
      </c>
      <c r="O1138">
        <v>1000</v>
      </c>
      <c r="P1138" t="b">
        <v>0</v>
      </c>
      <c r="Q1138" t="b">
        <v>0</v>
      </c>
      <c r="R1138" t="b">
        <v>0</v>
      </c>
      <c r="S1138" t="s">
        <v>101</v>
      </c>
      <c r="T1138" t="s">
        <v>99</v>
      </c>
      <c r="U1138">
        <v>1</v>
      </c>
    </row>
    <row r="1139" spans="1:21" x14ac:dyDescent="0.3">
      <c r="A1139" t="s">
        <v>1244</v>
      </c>
      <c r="B1139" s="1">
        <v>46056</v>
      </c>
      <c r="C1139" s="1">
        <v>46057</v>
      </c>
      <c r="D1139" s="1">
        <v>46058</v>
      </c>
      <c r="E1139" s="1">
        <v>46058</v>
      </c>
      <c r="F1139" t="s">
        <v>34</v>
      </c>
      <c r="G1139" t="s">
        <v>55</v>
      </c>
      <c r="H1139" t="s">
        <v>24</v>
      </c>
      <c r="I1139" t="s">
        <v>45</v>
      </c>
      <c r="J1139">
        <v>45.1</v>
      </c>
      <c r="K1139">
        <v>329.9</v>
      </c>
      <c r="L1139">
        <v>925000</v>
      </c>
      <c r="M1139" t="b">
        <v>0</v>
      </c>
      <c r="N1139" t="b">
        <v>0</v>
      </c>
      <c r="O1139">
        <v>1000</v>
      </c>
      <c r="P1139" t="b">
        <v>0</v>
      </c>
      <c r="Q1139" t="b">
        <v>0</v>
      </c>
      <c r="R1139" t="b">
        <v>0</v>
      </c>
      <c r="S1139" t="s">
        <v>96</v>
      </c>
      <c r="T1139" t="s">
        <v>115</v>
      </c>
    </row>
    <row r="1140" spans="1:21" x14ac:dyDescent="0.3">
      <c r="A1140" t="s">
        <v>1245</v>
      </c>
      <c r="B1140" s="1">
        <v>46049</v>
      </c>
      <c r="C1140" s="1">
        <v>46051</v>
      </c>
      <c r="D1140" s="1">
        <v>46055</v>
      </c>
      <c r="E1140" s="1">
        <v>46055</v>
      </c>
      <c r="F1140" t="s">
        <v>32</v>
      </c>
      <c r="G1140" t="s">
        <v>60</v>
      </c>
      <c r="H1140" t="s">
        <v>22</v>
      </c>
      <c r="I1140" t="s">
        <v>43</v>
      </c>
      <c r="J1140">
        <v>469.5</v>
      </c>
      <c r="K1140">
        <v>1337.3</v>
      </c>
      <c r="L1140">
        <v>6405000</v>
      </c>
      <c r="M1140" t="b">
        <v>0</v>
      </c>
      <c r="N1140" t="b">
        <v>0</v>
      </c>
      <c r="O1140">
        <v>5000</v>
      </c>
      <c r="P1140" t="b">
        <v>0</v>
      </c>
      <c r="Q1140" t="b">
        <v>0</v>
      </c>
      <c r="R1140" t="b">
        <v>0</v>
      </c>
      <c r="S1140" t="s">
        <v>96</v>
      </c>
      <c r="T1140" t="s">
        <v>104</v>
      </c>
    </row>
    <row r="1141" spans="1:21" x14ac:dyDescent="0.3">
      <c r="A1141" t="s">
        <v>1246</v>
      </c>
      <c r="B1141" s="1">
        <v>46180</v>
      </c>
      <c r="C1141" s="1">
        <v>46181</v>
      </c>
      <c r="D1141" s="1">
        <v>46183</v>
      </c>
      <c r="E1141" s="1">
        <v>46183</v>
      </c>
      <c r="F1141" t="s">
        <v>31</v>
      </c>
      <c r="G1141" t="s">
        <v>58</v>
      </c>
      <c r="H1141" t="s">
        <v>22</v>
      </c>
      <c r="I1141" t="s">
        <v>43</v>
      </c>
      <c r="J1141">
        <v>196.6</v>
      </c>
      <c r="K1141">
        <v>3273.8</v>
      </c>
      <c r="L1141">
        <v>4275000</v>
      </c>
      <c r="M1141" t="b">
        <v>0</v>
      </c>
      <c r="N1141" t="b">
        <v>0</v>
      </c>
      <c r="O1141">
        <v>5000</v>
      </c>
      <c r="P1141" t="b">
        <v>0</v>
      </c>
      <c r="Q1141" t="b">
        <v>0</v>
      </c>
      <c r="R1141" t="b">
        <v>0</v>
      </c>
      <c r="S1141" t="s">
        <v>96</v>
      </c>
      <c r="T1141" t="s">
        <v>99</v>
      </c>
    </row>
    <row r="1142" spans="1:21" x14ac:dyDescent="0.3">
      <c r="A1142" t="s">
        <v>1247</v>
      </c>
      <c r="B1142" s="1">
        <v>46043</v>
      </c>
      <c r="C1142" s="1">
        <v>46044</v>
      </c>
      <c r="D1142" s="1">
        <v>46046</v>
      </c>
      <c r="E1142" s="1">
        <v>46046</v>
      </c>
      <c r="F1142" t="s">
        <v>31</v>
      </c>
      <c r="G1142" t="s">
        <v>58</v>
      </c>
      <c r="H1142" t="s">
        <v>24</v>
      </c>
      <c r="I1142" t="s">
        <v>42</v>
      </c>
      <c r="J1142">
        <v>181.4</v>
      </c>
      <c r="K1142">
        <v>8932.7999999999993</v>
      </c>
      <c r="L1142">
        <v>7494000</v>
      </c>
      <c r="M1142" t="b">
        <v>0</v>
      </c>
      <c r="N1142" t="b">
        <v>0</v>
      </c>
      <c r="O1142">
        <v>16000</v>
      </c>
      <c r="P1142" t="b">
        <v>0</v>
      </c>
      <c r="Q1142" t="b">
        <v>0</v>
      </c>
      <c r="R1142" t="b">
        <v>0</v>
      </c>
      <c r="S1142" t="s">
        <v>96</v>
      </c>
      <c r="T1142" t="s">
        <v>104</v>
      </c>
    </row>
    <row r="1143" spans="1:21" x14ac:dyDescent="0.3">
      <c r="A1143" t="s">
        <v>1248</v>
      </c>
      <c r="B1143" s="1">
        <v>46046</v>
      </c>
      <c r="C1143" s="1">
        <v>46047</v>
      </c>
      <c r="D1143" s="1">
        <v>46049</v>
      </c>
      <c r="E1143" s="1">
        <v>46050</v>
      </c>
      <c r="F1143" t="s">
        <v>33</v>
      </c>
      <c r="G1143" t="s">
        <v>63</v>
      </c>
      <c r="H1143" t="s">
        <v>20</v>
      </c>
      <c r="I1143" t="s">
        <v>45</v>
      </c>
      <c r="J1143">
        <v>291.89999999999998</v>
      </c>
      <c r="K1143">
        <v>495.6</v>
      </c>
      <c r="L1143">
        <v>3368000</v>
      </c>
      <c r="M1143" t="b">
        <v>0</v>
      </c>
      <c r="N1143" t="b">
        <v>0</v>
      </c>
      <c r="O1143">
        <v>1000</v>
      </c>
      <c r="P1143" t="b">
        <v>0</v>
      </c>
      <c r="Q1143" t="b">
        <v>0</v>
      </c>
      <c r="R1143" t="b">
        <v>0</v>
      </c>
      <c r="S1143" t="s">
        <v>101</v>
      </c>
      <c r="T1143" t="s">
        <v>104</v>
      </c>
      <c r="U1143">
        <v>1</v>
      </c>
    </row>
    <row r="1144" spans="1:21" x14ac:dyDescent="0.3">
      <c r="A1144" t="s">
        <v>1249</v>
      </c>
      <c r="B1144" s="1">
        <v>46049</v>
      </c>
      <c r="C1144" s="1">
        <v>46050</v>
      </c>
      <c r="D1144" s="1">
        <v>46054</v>
      </c>
      <c r="E1144" s="1">
        <v>46055</v>
      </c>
      <c r="F1144" t="s">
        <v>34</v>
      </c>
      <c r="G1144" t="s">
        <v>62</v>
      </c>
      <c r="H1144" t="s">
        <v>24</v>
      </c>
      <c r="I1144" t="s">
        <v>42</v>
      </c>
      <c r="J1144">
        <v>753.8</v>
      </c>
      <c r="K1144">
        <v>3846</v>
      </c>
      <c r="L1144">
        <v>14222000</v>
      </c>
      <c r="M1144" t="b">
        <v>0</v>
      </c>
      <c r="N1144" t="b">
        <v>0</v>
      </c>
      <c r="O1144">
        <v>16000</v>
      </c>
      <c r="P1144" t="b">
        <v>0</v>
      </c>
      <c r="Q1144" t="b">
        <v>0</v>
      </c>
      <c r="R1144" t="b">
        <v>0</v>
      </c>
      <c r="S1144" t="s">
        <v>101</v>
      </c>
      <c r="T1144" t="s">
        <v>104</v>
      </c>
      <c r="U1144">
        <v>1</v>
      </c>
    </row>
    <row r="1145" spans="1:21" x14ac:dyDescent="0.3">
      <c r="A1145" t="s">
        <v>1250</v>
      </c>
      <c r="B1145" s="1">
        <v>46038</v>
      </c>
      <c r="C1145" s="1">
        <v>46039</v>
      </c>
      <c r="D1145" s="1">
        <v>46040</v>
      </c>
      <c r="E1145" s="1">
        <v>46040</v>
      </c>
      <c r="F1145" t="s">
        <v>32</v>
      </c>
      <c r="G1145" t="s">
        <v>57</v>
      </c>
      <c r="H1145" t="s">
        <v>20</v>
      </c>
      <c r="I1145" t="s">
        <v>42</v>
      </c>
      <c r="J1145">
        <v>16.2</v>
      </c>
      <c r="K1145">
        <v>5282.8</v>
      </c>
      <c r="L1145">
        <v>2627000</v>
      </c>
      <c r="M1145" t="b">
        <v>0</v>
      </c>
      <c r="N1145" t="b">
        <v>0</v>
      </c>
      <c r="O1145">
        <v>16000</v>
      </c>
      <c r="P1145" t="b">
        <v>0</v>
      </c>
      <c r="Q1145" t="b">
        <v>0</v>
      </c>
      <c r="R1145" t="b">
        <v>0</v>
      </c>
      <c r="S1145" t="s">
        <v>96</v>
      </c>
      <c r="T1145" t="s">
        <v>104</v>
      </c>
    </row>
    <row r="1146" spans="1:21" x14ac:dyDescent="0.3">
      <c r="A1146" t="s">
        <v>1251</v>
      </c>
      <c r="B1146" s="1">
        <v>46138</v>
      </c>
      <c r="C1146" s="1">
        <v>46138</v>
      </c>
      <c r="D1146" s="1">
        <v>46141</v>
      </c>
      <c r="E1146" s="1">
        <v>46142</v>
      </c>
      <c r="F1146" t="s">
        <v>32</v>
      </c>
      <c r="G1146" t="s">
        <v>54</v>
      </c>
      <c r="H1146" t="s">
        <v>21</v>
      </c>
      <c r="I1146" t="s">
        <v>43</v>
      </c>
      <c r="J1146">
        <v>557.5</v>
      </c>
      <c r="K1146">
        <v>942.9</v>
      </c>
      <c r="L1146">
        <v>7128000</v>
      </c>
      <c r="M1146" t="b">
        <v>0</v>
      </c>
      <c r="N1146" t="b">
        <v>0</v>
      </c>
      <c r="O1146">
        <v>5000</v>
      </c>
      <c r="P1146" t="b">
        <v>0</v>
      </c>
      <c r="Q1146" t="b">
        <v>0</v>
      </c>
      <c r="R1146" t="b">
        <v>0</v>
      </c>
      <c r="S1146" t="s">
        <v>101</v>
      </c>
      <c r="T1146" t="s">
        <v>112</v>
      </c>
      <c r="U1146">
        <v>1</v>
      </c>
    </row>
    <row r="1147" spans="1:21" x14ac:dyDescent="0.3">
      <c r="A1147" t="s">
        <v>1252</v>
      </c>
      <c r="B1147" s="1">
        <v>46109</v>
      </c>
      <c r="C1147" s="1">
        <v>46110</v>
      </c>
      <c r="D1147" s="1">
        <v>46113</v>
      </c>
      <c r="E1147" s="1">
        <v>46113</v>
      </c>
      <c r="F1147" t="s">
        <v>34</v>
      </c>
      <c r="G1147" t="s">
        <v>63</v>
      </c>
      <c r="H1147" t="s">
        <v>21</v>
      </c>
      <c r="I1147" t="s">
        <v>42</v>
      </c>
      <c r="J1147">
        <v>327.7</v>
      </c>
      <c r="K1147">
        <v>5393</v>
      </c>
      <c r="L1147">
        <v>8447000</v>
      </c>
      <c r="M1147" t="b">
        <v>0</v>
      </c>
      <c r="N1147" t="b">
        <v>0</v>
      </c>
      <c r="O1147">
        <v>16000</v>
      </c>
      <c r="P1147" t="b">
        <v>0</v>
      </c>
      <c r="Q1147" t="b">
        <v>0</v>
      </c>
      <c r="R1147" t="b">
        <v>0</v>
      </c>
      <c r="S1147" t="s">
        <v>96</v>
      </c>
      <c r="T1147" t="s">
        <v>118</v>
      </c>
    </row>
    <row r="1148" spans="1:21" x14ac:dyDescent="0.3">
      <c r="A1148" t="s">
        <v>1253</v>
      </c>
      <c r="B1148" s="1">
        <v>46132</v>
      </c>
      <c r="C1148" s="1">
        <v>46133</v>
      </c>
      <c r="D1148" s="1">
        <v>46135</v>
      </c>
      <c r="E1148" s="1">
        <v>46136</v>
      </c>
      <c r="F1148" t="s">
        <v>34</v>
      </c>
      <c r="G1148" t="s">
        <v>52</v>
      </c>
      <c r="H1148" t="s">
        <v>24</v>
      </c>
      <c r="I1148" t="s">
        <v>42</v>
      </c>
      <c r="J1148">
        <v>292.60000000000002</v>
      </c>
      <c r="K1148">
        <v>9353.2000000000007</v>
      </c>
      <c r="L1148">
        <v>9299000</v>
      </c>
      <c r="M1148" t="b">
        <v>0</v>
      </c>
      <c r="N1148" t="b">
        <v>0</v>
      </c>
      <c r="O1148">
        <v>16000</v>
      </c>
      <c r="P1148" t="b">
        <v>0</v>
      </c>
      <c r="Q1148" t="b">
        <v>0</v>
      </c>
      <c r="R1148" t="b">
        <v>0</v>
      </c>
      <c r="S1148" t="s">
        <v>101</v>
      </c>
      <c r="T1148" t="s">
        <v>112</v>
      </c>
      <c r="U1148">
        <v>1</v>
      </c>
    </row>
    <row r="1149" spans="1:21" x14ac:dyDescent="0.3">
      <c r="A1149" t="s">
        <v>1254</v>
      </c>
      <c r="B1149" s="1">
        <v>46101</v>
      </c>
      <c r="C1149" s="1">
        <v>46103</v>
      </c>
      <c r="D1149" s="1">
        <v>46107</v>
      </c>
      <c r="E1149" s="1">
        <v>46107</v>
      </c>
      <c r="F1149" t="s">
        <v>33</v>
      </c>
      <c r="G1149" t="s">
        <v>54</v>
      </c>
      <c r="H1149" t="s">
        <v>22</v>
      </c>
      <c r="I1149" t="s">
        <v>45</v>
      </c>
      <c r="J1149">
        <v>930.3</v>
      </c>
      <c r="K1149">
        <v>481</v>
      </c>
      <c r="L1149">
        <v>8895000</v>
      </c>
      <c r="M1149" t="b">
        <v>0</v>
      </c>
      <c r="N1149" t="b">
        <v>0</v>
      </c>
      <c r="O1149">
        <v>1000</v>
      </c>
      <c r="P1149" t="b">
        <v>0</v>
      </c>
      <c r="Q1149" t="b">
        <v>0</v>
      </c>
      <c r="R1149" t="b">
        <v>0</v>
      </c>
      <c r="S1149" t="s">
        <v>96</v>
      </c>
      <c r="T1149" t="s">
        <v>118</v>
      </c>
    </row>
    <row r="1150" spans="1:21" x14ac:dyDescent="0.3">
      <c r="A1150" t="s">
        <v>1255</v>
      </c>
      <c r="B1150" s="1">
        <v>46096</v>
      </c>
      <c r="C1150" s="1">
        <v>46098</v>
      </c>
      <c r="D1150" s="1">
        <v>46101</v>
      </c>
      <c r="E1150" s="1">
        <v>46101</v>
      </c>
      <c r="F1150" t="s">
        <v>34</v>
      </c>
      <c r="G1150" t="s">
        <v>53</v>
      </c>
      <c r="H1150" t="s">
        <v>21</v>
      </c>
      <c r="I1150" t="s">
        <v>42</v>
      </c>
      <c r="J1150">
        <v>304.60000000000002</v>
      </c>
      <c r="K1150">
        <v>12097</v>
      </c>
      <c r="L1150">
        <v>10648000</v>
      </c>
      <c r="M1150" t="b">
        <v>0</v>
      </c>
      <c r="N1150" t="b">
        <v>0</v>
      </c>
      <c r="O1150">
        <v>16000</v>
      </c>
      <c r="P1150" t="b">
        <v>0</v>
      </c>
      <c r="Q1150" t="b">
        <v>0</v>
      </c>
      <c r="R1150" t="b">
        <v>0</v>
      </c>
      <c r="S1150" t="s">
        <v>96</v>
      </c>
      <c r="T1150" t="s">
        <v>118</v>
      </c>
    </row>
    <row r="1151" spans="1:21" x14ac:dyDescent="0.3">
      <c r="A1151" t="s">
        <v>1256</v>
      </c>
      <c r="B1151" s="1">
        <v>46066</v>
      </c>
      <c r="C1151" s="1">
        <v>46067</v>
      </c>
      <c r="D1151" s="1">
        <v>46070</v>
      </c>
      <c r="E1151" s="1">
        <v>46070</v>
      </c>
      <c r="F1151" t="s">
        <v>34</v>
      </c>
      <c r="G1151" t="s">
        <v>59</v>
      </c>
      <c r="H1151" t="s">
        <v>20</v>
      </c>
      <c r="I1151" t="s">
        <v>42</v>
      </c>
      <c r="J1151">
        <v>335</v>
      </c>
      <c r="K1151">
        <v>3941.1</v>
      </c>
      <c r="L1151">
        <v>8067000</v>
      </c>
      <c r="M1151" t="b">
        <v>0</v>
      </c>
      <c r="N1151" t="b">
        <v>0</v>
      </c>
      <c r="O1151">
        <v>16000</v>
      </c>
      <c r="P1151" t="b">
        <v>0</v>
      </c>
      <c r="Q1151" t="b">
        <v>0</v>
      </c>
      <c r="R1151" t="b">
        <v>0</v>
      </c>
      <c r="S1151" t="s">
        <v>96</v>
      </c>
      <c r="T1151" t="s">
        <v>115</v>
      </c>
    </row>
    <row r="1152" spans="1:21" x14ac:dyDescent="0.3">
      <c r="A1152" t="s">
        <v>1257</v>
      </c>
      <c r="B1152" s="1">
        <v>46065</v>
      </c>
      <c r="C1152" s="1">
        <v>46065</v>
      </c>
      <c r="D1152" s="1">
        <v>46068</v>
      </c>
      <c r="E1152" s="1">
        <v>46069</v>
      </c>
      <c r="F1152" t="s">
        <v>33</v>
      </c>
      <c r="G1152" t="s">
        <v>57</v>
      </c>
      <c r="H1152" t="s">
        <v>21</v>
      </c>
      <c r="I1152" t="s">
        <v>44</v>
      </c>
      <c r="J1152">
        <v>448.9</v>
      </c>
      <c r="K1152">
        <v>253</v>
      </c>
      <c r="L1152">
        <v>4799000</v>
      </c>
      <c r="M1152" t="b">
        <v>0</v>
      </c>
      <c r="N1152" t="b">
        <v>0</v>
      </c>
      <c r="O1152">
        <v>1500</v>
      </c>
      <c r="P1152" t="b">
        <v>0</v>
      </c>
      <c r="Q1152" t="b">
        <v>0</v>
      </c>
      <c r="R1152" t="b">
        <v>0</v>
      </c>
      <c r="S1152" t="s">
        <v>101</v>
      </c>
      <c r="T1152" t="s">
        <v>115</v>
      </c>
      <c r="U1152">
        <v>1</v>
      </c>
    </row>
    <row r="1153" spans="1:21" x14ac:dyDescent="0.3">
      <c r="A1153" t="s">
        <v>1258</v>
      </c>
      <c r="B1153" s="1">
        <v>46167</v>
      </c>
      <c r="C1153" s="1">
        <v>46168</v>
      </c>
      <c r="D1153" s="1">
        <v>46172</v>
      </c>
      <c r="E1153" s="1">
        <v>46171</v>
      </c>
      <c r="F1153" t="s">
        <v>33</v>
      </c>
      <c r="G1153" t="s">
        <v>57</v>
      </c>
      <c r="H1153" t="s">
        <v>22</v>
      </c>
      <c r="I1153" t="s">
        <v>43</v>
      </c>
      <c r="J1153">
        <v>470.3</v>
      </c>
      <c r="K1153">
        <v>2475.1999999999998</v>
      </c>
      <c r="L1153">
        <v>8708000</v>
      </c>
      <c r="M1153" t="b">
        <v>0</v>
      </c>
      <c r="N1153" t="b">
        <v>0</v>
      </c>
      <c r="O1153">
        <v>5000</v>
      </c>
      <c r="P1153" t="b">
        <v>0</v>
      </c>
      <c r="Q1153" t="b">
        <v>0</v>
      </c>
      <c r="R1153" t="b">
        <v>0</v>
      </c>
      <c r="S1153" t="s">
        <v>96</v>
      </c>
      <c r="T1153" t="s">
        <v>102</v>
      </c>
    </row>
    <row r="1154" spans="1:21" x14ac:dyDescent="0.3">
      <c r="A1154" t="s">
        <v>1259</v>
      </c>
      <c r="B1154" s="1">
        <v>46126</v>
      </c>
      <c r="C1154" s="1">
        <v>46127</v>
      </c>
      <c r="D1154" s="1">
        <v>46130</v>
      </c>
      <c r="E1154" s="1">
        <v>46130</v>
      </c>
      <c r="F1154" t="s">
        <v>32</v>
      </c>
      <c r="G1154" t="s">
        <v>52</v>
      </c>
      <c r="H1154" t="s">
        <v>23</v>
      </c>
      <c r="I1154" t="s">
        <v>42</v>
      </c>
      <c r="J1154">
        <v>339.4</v>
      </c>
      <c r="K1154">
        <v>11710.3</v>
      </c>
      <c r="L1154">
        <v>11661000</v>
      </c>
      <c r="M1154" t="b">
        <v>0</v>
      </c>
      <c r="N1154" t="b">
        <v>0</v>
      </c>
      <c r="O1154">
        <v>16000</v>
      </c>
      <c r="P1154" t="b">
        <v>0</v>
      </c>
      <c r="Q1154" t="b">
        <v>0</v>
      </c>
      <c r="R1154" t="b">
        <v>0</v>
      </c>
      <c r="S1154" t="s">
        <v>96</v>
      </c>
      <c r="T1154" t="s">
        <v>112</v>
      </c>
    </row>
    <row r="1155" spans="1:21" x14ac:dyDescent="0.3">
      <c r="A1155" t="s">
        <v>1260</v>
      </c>
      <c r="B1155" s="1">
        <v>46144</v>
      </c>
      <c r="C1155" s="1">
        <v>46144</v>
      </c>
      <c r="D1155" s="1">
        <v>46147</v>
      </c>
      <c r="E1155" s="1">
        <v>46148</v>
      </c>
      <c r="F1155" t="s">
        <v>34</v>
      </c>
      <c r="G1155" t="s">
        <v>54</v>
      </c>
      <c r="H1155" t="s">
        <v>22</v>
      </c>
      <c r="I1155" t="s">
        <v>42</v>
      </c>
      <c r="J1155">
        <v>453.4</v>
      </c>
      <c r="K1155">
        <v>4848.6000000000004</v>
      </c>
      <c r="L1155">
        <v>10960000</v>
      </c>
      <c r="M1155" t="b">
        <v>0</v>
      </c>
      <c r="N1155" t="b">
        <v>0</v>
      </c>
      <c r="O1155">
        <v>16000</v>
      </c>
      <c r="P1155" t="b">
        <v>0</v>
      </c>
      <c r="Q1155" t="b">
        <v>0</v>
      </c>
      <c r="R1155" t="b">
        <v>0</v>
      </c>
      <c r="S1155" t="s">
        <v>101</v>
      </c>
      <c r="T1155" t="s">
        <v>102</v>
      </c>
      <c r="U1155">
        <v>1</v>
      </c>
    </row>
    <row r="1156" spans="1:21" x14ac:dyDescent="0.3">
      <c r="A1156" t="s">
        <v>1261</v>
      </c>
      <c r="B1156" s="1">
        <v>46046</v>
      </c>
      <c r="C1156" s="1">
        <v>46047</v>
      </c>
      <c r="D1156" s="1">
        <v>46051</v>
      </c>
      <c r="E1156" s="1">
        <v>46051</v>
      </c>
      <c r="F1156" t="s">
        <v>34</v>
      </c>
      <c r="G1156" t="s">
        <v>59</v>
      </c>
      <c r="H1156" t="s">
        <v>20</v>
      </c>
      <c r="I1156" t="s">
        <v>45</v>
      </c>
      <c r="J1156">
        <v>315.7</v>
      </c>
      <c r="K1156">
        <v>467.8</v>
      </c>
      <c r="L1156">
        <v>3435000</v>
      </c>
      <c r="M1156" t="b">
        <v>0</v>
      </c>
      <c r="N1156" t="b">
        <v>0</v>
      </c>
      <c r="O1156">
        <v>1000</v>
      </c>
      <c r="P1156" t="b">
        <v>0</v>
      </c>
      <c r="Q1156" t="b">
        <v>0</v>
      </c>
      <c r="R1156" t="b">
        <v>0</v>
      </c>
      <c r="S1156" t="s">
        <v>96</v>
      </c>
      <c r="T1156" t="s">
        <v>104</v>
      </c>
    </row>
    <row r="1157" spans="1:21" x14ac:dyDescent="0.3">
      <c r="A1157" t="s">
        <v>1262</v>
      </c>
      <c r="B1157" s="1">
        <v>46161</v>
      </c>
      <c r="C1157" s="1">
        <v>46163</v>
      </c>
      <c r="D1157" s="1">
        <v>46166</v>
      </c>
      <c r="E1157" s="1">
        <v>46167</v>
      </c>
      <c r="F1157" t="s">
        <v>33</v>
      </c>
      <c r="G1157" t="s">
        <v>53</v>
      </c>
      <c r="H1157" t="s">
        <v>20</v>
      </c>
      <c r="I1157" t="s">
        <v>42</v>
      </c>
      <c r="J1157">
        <v>562</v>
      </c>
      <c r="K1157">
        <v>3477.2</v>
      </c>
      <c r="L1157">
        <v>11678000</v>
      </c>
      <c r="M1157" t="b">
        <v>0</v>
      </c>
      <c r="N1157" t="b">
        <v>0</v>
      </c>
      <c r="O1157">
        <v>16000</v>
      </c>
      <c r="P1157" t="b">
        <v>0</v>
      </c>
      <c r="Q1157" t="b">
        <v>0</v>
      </c>
      <c r="R1157" t="b">
        <v>0</v>
      </c>
      <c r="S1157" t="s">
        <v>101</v>
      </c>
      <c r="T1157" t="s">
        <v>102</v>
      </c>
      <c r="U1157">
        <v>1</v>
      </c>
    </row>
    <row r="1158" spans="1:21" x14ac:dyDescent="0.3">
      <c r="A1158" t="s">
        <v>1263</v>
      </c>
      <c r="B1158" s="1">
        <v>46077</v>
      </c>
      <c r="C1158" s="1">
        <v>46079</v>
      </c>
      <c r="D1158" s="1">
        <v>46083</v>
      </c>
      <c r="E1158" s="1">
        <v>46083</v>
      </c>
      <c r="F1158" t="s">
        <v>33</v>
      </c>
      <c r="G1158" t="s">
        <v>58</v>
      </c>
      <c r="H1158" t="s">
        <v>23</v>
      </c>
      <c r="I1158" t="s">
        <v>43</v>
      </c>
      <c r="J1158">
        <v>751.3</v>
      </c>
      <c r="K1158">
        <v>930.6</v>
      </c>
      <c r="L1158">
        <v>10625000</v>
      </c>
      <c r="M1158" t="b">
        <v>0</v>
      </c>
      <c r="N1158" t="b">
        <v>0</v>
      </c>
      <c r="O1158">
        <v>5000</v>
      </c>
      <c r="P1158" t="b">
        <v>0</v>
      </c>
      <c r="Q1158" t="b">
        <v>0</v>
      </c>
      <c r="R1158" t="b">
        <v>0</v>
      </c>
      <c r="S1158" t="s">
        <v>96</v>
      </c>
      <c r="T1158" t="s">
        <v>115</v>
      </c>
    </row>
    <row r="1159" spans="1:21" x14ac:dyDescent="0.3">
      <c r="A1159" t="s">
        <v>1264</v>
      </c>
      <c r="B1159" s="1">
        <v>46129</v>
      </c>
      <c r="C1159" s="1">
        <v>46130</v>
      </c>
      <c r="D1159" s="1">
        <v>46133</v>
      </c>
      <c r="E1159" s="1">
        <v>46133</v>
      </c>
      <c r="F1159" t="s">
        <v>33</v>
      </c>
      <c r="G1159" t="s">
        <v>57</v>
      </c>
      <c r="H1159" t="s">
        <v>20</v>
      </c>
      <c r="I1159" t="s">
        <v>43</v>
      </c>
      <c r="J1159">
        <v>452.7</v>
      </c>
      <c r="K1159">
        <v>2320.3000000000002</v>
      </c>
      <c r="L1159">
        <v>7551000</v>
      </c>
      <c r="M1159" t="b">
        <v>0</v>
      </c>
      <c r="N1159" t="b">
        <v>0</v>
      </c>
      <c r="O1159">
        <v>5000</v>
      </c>
      <c r="P1159" t="b">
        <v>0</v>
      </c>
      <c r="Q1159" t="b">
        <v>0</v>
      </c>
      <c r="R1159" t="b">
        <v>0</v>
      </c>
      <c r="S1159" t="s">
        <v>96</v>
      </c>
      <c r="T1159" t="s">
        <v>112</v>
      </c>
    </row>
    <row r="1160" spans="1:21" x14ac:dyDescent="0.3">
      <c r="A1160" t="s">
        <v>1265</v>
      </c>
      <c r="B1160" s="1">
        <v>46033</v>
      </c>
      <c r="C1160" s="1">
        <v>46033</v>
      </c>
      <c r="D1160" s="1">
        <v>46034</v>
      </c>
      <c r="E1160" s="1">
        <v>46034</v>
      </c>
      <c r="F1160" t="s">
        <v>34</v>
      </c>
      <c r="G1160" t="s">
        <v>61</v>
      </c>
      <c r="H1160" t="s">
        <v>20</v>
      </c>
      <c r="I1160" t="s">
        <v>44</v>
      </c>
      <c r="J1160">
        <v>33.700000000000003</v>
      </c>
      <c r="K1160">
        <v>786.1</v>
      </c>
      <c r="L1160">
        <v>1073000</v>
      </c>
      <c r="M1160" t="b">
        <v>0</v>
      </c>
      <c r="N1160" t="b">
        <v>0</v>
      </c>
      <c r="O1160">
        <v>1500</v>
      </c>
      <c r="P1160" t="b">
        <v>0</v>
      </c>
      <c r="Q1160" t="b">
        <v>0</v>
      </c>
      <c r="R1160" t="b">
        <v>0</v>
      </c>
      <c r="S1160" t="s">
        <v>96</v>
      </c>
      <c r="T1160" t="s">
        <v>104</v>
      </c>
    </row>
    <row r="1161" spans="1:21" x14ac:dyDescent="0.3">
      <c r="A1161" t="s">
        <v>1266</v>
      </c>
      <c r="B1161" s="1">
        <v>46146</v>
      </c>
      <c r="C1161" s="1">
        <v>46148</v>
      </c>
      <c r="D1161" s="1">
        <v>46152</v>
      </c>
      <c r="E1161" s="1">
        <v>46152</v>
      </c>
      <c r="F1161" t="s">
        <v>34</v>
      </c>
      <c r="G1161" t="s">
        <v>56</v>
      </c>
      <c r="H1161" t="s">
        <v>23</v>
      </c>
      <c r="I1161" t="s">
        <v>43</v>
      </c>
      <c r="J1161">
        <v>879.2</v>
      </c>
      <c r="K1161">
        <v>1941.9</v>
      </c>
      <c r="L1161">
        <v>11188000</v>
      </c>
      <c r="M1161" t="b">
        <v>0</v>
      </c>
      <c r="N1161" t="b">
        <v>0</v>
      </c>
      <c r="O1161">
        <v>5000</v>
      </c>
      <c r="P1161" t="b">
        <v>0</v>
      </c>
      <c r="Q1161" t="b">
        <v>0</v>
      </c>
      <c r="R1161" t="b">
        <v>0</v>
      </c>
      <c r="S1161" t="s">
        <v>96</v>
      </c>
      <c r="T1161" t="s">
        <v>102</v>
      </c>
    </row>
    <row r="1162" spans="1:21" x14ac:dyDescent="0.3">
      <c r="A1162" t="s">
        <v>1267</v>
      </c>
      <c r="B1162" s="1">
        <v>46120</v>
      </c>
      <c r="C1162" s="1">
        <v>46119</v>
      </c>
      <c r="D1162" s="1">
        <v>46125</v>
      </c>
      <c r="E1162" s="1">
        <v>46125</v>
      </c>
      <c r="F1162" t="s">
        <v>32</v>
      </c>
      <c r="G1162" t="s">
        <v>62</v>
      </c>
      <c r="H1162" t="s">
        <v>22</v>
      </c>
      <c r="I1162" t="s">
        <v>43</v>
      </c>
      <c r="J1162">
        <v>603.70000000000005</v>
      </c>
      <c r="K1162">
        <v>3757</v>
      </c>
      <c r="L1162">
        <v>11169000</v>
      </c>
      <c r="M1162" t="b">
        <v>1</v>
      </c>
      <c r="N1162" t="b">
        <v>0</v>
      </c>
      <c r="O1162">
        <v>5000</v>
      </c>
      <c r="P1162" t="b">
        <v>0</v>
      </c>
      <c r="Q1162" t="b">
        <v>0</v>
      </c>
      <c r="R1162" t="b">
        <v>1</v>
      </c>
      <c r="S1162" t="s">
        <v>260</v>
      </c>
      <c r="T1162" t="s">
        <v>112</v>
      </c>
    </row>
    <row r="1163" spans="1:21" x14ac:dyDescent="0.3">
      <c r="A1163" t="s">
        <v>1268</v>
      </c>
      <c r="B1163" s="1">
        <v>46058</v>
      </c>
      <c r="C1163" s="1">
        <v>46059</v>
      </c>
      <c r="D1163" s="1">
        <v>46061</v>
      </c>
      <c r="E1163" s="1">
        <v>46061</v>
      </c>
      <c r="F1163" t="s">
        <v>32</v>
      </c>
      <c r="G1163" t="s">
        <v>53</v>
      </c>
      <c r="H1163" t="s">
        <v>22</v>
      </c>
      <c r="I1163" t="s">
        <v>44</v>
      </c>
      <c r="J1163">
        <v>299.5</v>
      </c>
      <c r="K1163">
        <v>893.6</v>
      </c>
      <c r="L1163">
        <v>3398000</v>
      </c>
      <c r="M1163" t="b">
        <v>0</v>
      </c>
      <c r="N1163" t="b">
        <v>0</v>
      </c>
      <c r="O1163">
        <v>1500</v>
      </c>
      <c r="P1163" t="b">
        <v>0</v>
      </c>
      <c r="Q1163" t="b">
        <v>0</v>
      </c>
      <c r="R1163" t="b">
        <v>0</v>
      </c>
      <c r="S1163" t="s">
        <v>96</v>
      </c>
      <c r="T1163" t="s">
        <v>115</v>
      </c>
    </row>
    <row r="1164" spans="1:21" x14ac:dyDescent="0.3">
      <c r="A1164" t="s">
        <v>1269</v>
      </c>
      <c r="B1164" s="1">
        <v>46032</v>
      </c>
      <c r="C1164" s="1">
        <v>46032</v>
      </c>
      <c r="D1164" s="1">
        <v>46036</v>
      </c>
      <c r="E1164" s="1">
        <v>46035</v>
      </c>
      <c r="F1164" t="s">
        <v>34</v>
      </c>
      <c r="G1164" t="s">
        <v>60</v>
      </c>
      <c r="H1164" t="s">
        <v>23</v>
      </c>
      <c r="I1164" t="s">
        <v>45</v>
      </c>
      <c r="J1164">
        <v>637.1</v>
      </c>
      <c r="K1164">
        <v>480.6</v>
      </c>
      <c r="L1164">
        <v>6093000</v>
      </c>
      <c r="M1164" t="b">
        <v>0</v>
      </c>
      <c r="N1164" t="b">
        <v>0</v>
      </c>
      <c r="O1164">
        <v>1000</v>
      </c>
      <c r="P1164" t="b">
        <v>0</v>
      </c>
      <c r="Q1164" t="b">
        <v>0</v>
      </c>
      <c r="R1164" t="b">
        <v>0</v>
      </c>
      <c r="S1164" t="s">
        <v>96</v>
      </c>
      <c r="T1164" t="s">
        <v>104</v>
      </c>
    </row>
    <row r="1165" spans="1:21" x14ac:dyDescent="0.3">
      <c r="A1165" t="s">
        <v>1270</v>
      </c>
      <c r="B1165" s="1">
        <v>46097</v>
      </c>
      <c r="C1165" s="1">
        <v>46098</v>
      </c>
      <c r="D1165" s="1">
        <v>46100</v>
      </c>
      <c r="E1165" s="1">
        <v>46101</v>
      </c>
      <c r="F1165" t="s">
        <v>34</v>
      </c>
      <c r="G1165" t="s">
        <v>57</v>
      </c>
      <c r="H1165" t="s">
        <v>21</v>
      </c>
      <c r="I1165" t="s">
        <v>45</v>
      </c>
      <c r="J1165">
        <v>164.2</v>
      </c>
      <c r="K1165">
        <v>270.7</v>
      </c>
      <c r="L1165">
        <v>1792000</v>
      </c>
      <c r="M1165" t="b">
        <v>0</v>
      </c>
      <c r="N1165" t="b">
        <v>0</v>
      </c>
      <c r="O1165">
        <v>1000</v>
      </c>
      <c r="P1165" t="b">
        <v>0</v>
      </c>
      <c r="Q1165" t="b">
        <v>0</v>
      </c>
      <c r="R1165" t="b">
        <v>0</v>
      </c>
      <c r="S1165" t="s">
        <v>101</v>
      </c>
      <c r="T1165" t="s">
        <v>118</v>
      </c>
      <c r="U1165">
        <v>1</v>
      </c>
    </row>
    <row r="1166" spans="1:21" x14ac:dyDescent="0.3">
      <c r="A1166" t="s">
        <v>1271</v>
      </c>
      <c r="B1166" s="1">
        <v>46081</v>
      </c>
      <c r="C1166" s="1">
        <v>46082</v>
      </c>
      <c r="D1166" s="1">
        <v>46086</v>
      </c>
      <c r="F1166" t="s">
        <v>33</v>
      </c>
      <c r="G1166" t="s">
        <v>61</v>
      </c>
      <c r="H1166" t="s">
        <v>22</v>
      </c>
      <c r="I1166" t="s">
        <v>43</v>
      </c>
      <c r="J1166">
        <v>628</v>
      </c>
      <c r="K1166">
        <v>2630.5</v>
      </c>
      <c r="L1166">
        <v>9598000</v>
      </c>
      <c r="M1166" t="b">
        <v>0</v>
      </c>
      <c r="N1166" t="b">
        <v>0</v>
      </c>
      <c r="O1166">
        <v>5000</v>
      </c>
      <c r="P1166" t="b">
        <v>0</v>
      </c>
      <c r="Q1166" t="b">
        <v>0</v>
      </c>
      <c r="R1166" t="b">
        <v>0</v>
      </c>
      <c r="S1166" t="s">
        <v>203</v>
      </c>
      <c r="T1166" t="s">
        <v>118</v>
      </c>
    </row>
    <row r="1167" spans="1:21" x14ac:dyDescent="0.3">
      <c r="A1167" t="s">
        <v>1272</v>
      </c>
      <c r="B1167" s="1">
        <v>46192</v>
      </c>
      <c r="C1167" s="1">
        <v>46193</v>
      </c>
      <c r="D1167" s="1">
        <v>46195</v>
      </c>
      <c r="E1167" s="1">
        <v>46195</v>
      </c>
      <c r="F1167" t="s">
        <v>32</v>
      </c>
      <c r="G1167" t="s">
        <v>53</v>
      </c>
      <c r="H1167" t="s">
        <v>20</v>
      </c>
      <c r="I1167" t="s">
        <v>44</v>
      </c>
      <c r="J1167">
        <v>241.3</v>
      </c>
      <c r="K1167">
        <v>179</v>
      </c>
      <c r="L1167">
        <v>2844000</v>
      </c>
      <c r="M1167" t="b">
        <v>0</v>
      </c>
      <c r="N1167" t="b">
        <v>0</v>
      </c>
      <c r="O1167">
        <v>1500</v>
      </c>
      <c r="P1167" t="b">
        <v>0</v>
      </c>
      <c r="Q1167" t="b">
        <v>0</v>
      </c>
      <c r="R1167" t="b">
        <v>0</v>
      </c>
      <c r="S1167" t="s">
        <v>96</v>
      </c>
      <c r="T1167" t="s">
        <v>99</v>
      </c>
    </row>
    <row r="1168" spans="1:21" x14ac:dyDescent="0.3">
      <c r="A1168" t="s">
        <v>1273</v>
      </c>
      <c r="B1168" s="1">
        <v>46172</v>
      </c>
      <c r="C1168" s="1">
        <v>46173</v>
      </c>
      <c r="D1168" s="1">
        <v>46177</v>
      </c>
      <c r="E1168" s="1">
        <v>46178</v>
      </c>
      <c r="F1168" t="s">
        <v>34</v>
      </c>
      <c r="G1168" t="s">
        <v>62</v>
      </c>
      <c r="H1168" t="s">
        <v>22</v>
      </c>
      <c r="I1168" t="s">
        <v>44</v>
      </c>
      <c r="J1168">
        <v>736</v>
      </c>
      <c r="K1168">
        <v>291.10000000000002</v>
      </c>
      <c r="L1168">
        <v>6896000</v>
      </c>
      <c r="M1168" t="b">
        <v>0</v>
      </c>
      <c r="N1168" t="b">
        <v>0</v>
      </c>
      <c r="O1168">
        <v>1500</v>
      </c>
      <c r="P1168" t="b">
        <v>0</v>
      </c>
      <c r="Q1168" t="b">
        <v>0</v>
      </c>
      <c r="R1168" t="b">
        <v>0</v>
      </c>
      <c r="S1168" t="s">
        <v>101</v>
      </c>
      <c r="T1168" t="s">
        <v>102</v>
      </c>
      <c r="U1168">
        <v>1</v>
      </c>
    </row>
    <row r="1169" spans="1:21" x14ac:dyDescent="0.3">
      <c r="A1169" t="s">
        <v>1274</v>
      </c>
      <c r="B1169" s="1">
        <v>46044</v>
      </c>
      <c r="C1169" s="1">
        <v>46045</v>
      </c>
      <c r="D1169" s="1">
        <v>46049</v>
      </c>
      <c r="E1169" s="1">
        <v>46049</v>
      </c>
      <c r="F1169" t="s">
        <v>31</v>
      </c>
      <c r="G1169" t="s">
        <v>60</v>
      </c>
      <c r="H1169" t="s">
        <v>23</v>
      </c>
      <c r="I1169" t="s">
        <v>42</v>
      </c>
      <c r="J1169">
        <v>617.29999999999995</v>
      </c>
      <c r="K1169">
        <v>10378.200000000001</v>
      </c>
      <c r="L1169">
        <v>15104000</v>
      </c>
      <c r="M1169" t="b">
        <v>0</v>
      </c>
      <c r="N1169" t="b">
        <v>0</v>
      </c>
      <c r="O1169">
        <v>16000</v>
      </c>
      <c r="P1169" t="b">
        <v>0</v>
      </c>
      <c r="Q1169" t="b">
        <v>0</v>
      </c>
      <c r="R1169" t="b">
        <v>0</v>
      </c>
      <c r="S1169" t="s">
        <v>96</v>
      </c>
      <c r="T1169" t="s">
        <v>104</v>
      </c>
    </row>
    <row r="1170" spans="1:21" x14ac:dyDescent="0.3">
      <c r="A1170" t="s">
        <v>1275</v>
      </c>
      <c r="B1170" s="1">
        <v>46186</v>
      </c>
      <c r="C1170" s="1">
        <v>46187</v>
      </c>
      <c r="D1170" s="1">
        <v>46189</v>
      </c>
      <c r="E1170" s="1">
        <v>46189</v>
      </c>
      <c r="F1170" t="s">
        <v>34</v>
      </c>
      <c r="G1170" t="s">
        <v>57</v>
      </c>
      <c r="H1170" t="s">
        <v>24</v>
      </c>
      <c r="I1170" t="s">
        <v>42</v>
      </c>
      <c r="J1170">
        <v>154.1</v>
      </c>
      <c r="K1170">
        <v>7188.6</v>
      </c>
      <c r="L1170">
        <v>6372000</v>
      </c>
      <c r="M1170" t="b">
        <v>0</v>
      </c>
      <c r="N1170" t="b">
        <v>0</v>
      </c>
      <c r="O1170">
        <v>16000</v>
      </c>
      <c r="P1170" t="b">
        <v>0</v>
      </c>
      <c r="Q1170" t="b">
        <v>0</v>
      </c>
      <c r="R1170" t="b">
        <v>0</v>
      </c>
      <c r="S1170" t="s">
        <v>96</v>
      </c>
      <c r="T1170" t="s">
        <v>99</v>
      </c>
    </row>
    <row r="1171" spans="1:21" x14ac:dyDescent="0.3">
      <c r="A1171" t="s">
        <v>1276</v>
      </c>
      <c r="B1171" s="1">
        <v>46038</v>
      </c>
      <c r="C1171" s="1">
        <v>46039</v>
      </c>
      <c r="D1171" s="1">
        <v>46043</v>
      </c>
      <c r="E1171" s="1">
        <v>46044</v>
      </c>
      <c r="F1171" t="s">
        <v>34</v>
      </c>
      <c r="G1171" t="s">
        <v>59</v>
      </c>
      <c r="H1171" t="s">
        <v>22</v>
      </c>
      <c r="I1171" t="s">
        <v>43</v>
      </c>
      <c r="J1171">
        <v>327</v>
      </c>
      <c r="K1171">
        <v>3726.5</v>
      </c>
      <c r="L1171">
        <v>6578000</v>
      </c>
      <c r="M1171" t="b">
        <v>0</v>
      </c>
      <c r="N1171" t="b">
        <v>0</v>
      </c>
      <c r="O1171">
        <v>5000</v>
      </c>
      <c r="P1171" t="b">
        <v>0</v>
      </c>
      <c r="Q1171" t="b">
        <v>0</v>
      </c>
      <c r="R1171" t="b">
        <v>0</v>
      </c>
      <c r="S1171" t="s">
        <v>101</v>
      </c>
      <c r="T1171" t="s">
        <v>104</v>
      </c>
      <c r="U1171">
        <v>1</v>
      </c>
    </row>
    <row r="1172" spans="1:21" x14ac:dyDescent="0.3">
      <c r="A1172" t="s">
        <v>1277</v>
      </c>
      <c r="B1172" s="1">
        <v>46045</v>
      </c>
      <c r="C1172" s="1">
        <v>46046</v>
      </c>
      <c r="D1172" s="1">
        <v>46050</v>
      </c>
      <c r="E1172" s="1">
        <v>46050</v>
      </c>
      <c r="F1172" t="s">
        <v>33</v>
      </c>
      <c r="G1172" t="s">
        <v>56</v>
      </c>
      <c r="H1172" t="s">
        <v>24</v>
      </c>
      <c r="I1172" t="s">
        <v>45</v>
      </c>
      <c r="J1172">
        <v>1503.4</v>
      </c>
      <c r="K1172">
        <v>743.6</v>
      </c>
      <c r="L1172">
        <v>12860000</v>
      </c>
      <c r="M1172" t="b">
        <v>0</v>
      </c>
      <c r="N1172" t="b">
        <v>0</v>
      </c>
      <c r="O1172">
        <v>1000</v>
      </c>
      <c r="P1172" t="b">
        <v>0</v>
      </c>
      <c r="Q1172" t="b">
        <v>0</v>
      </c>
      <c r="R1172" t="b">
        <v>0</v>
      </c>
      <c r="S1172" t="s">
        <v>96</v>
      </c>
      <c r="T1172" t="s">
        <v>104</v>
      </c>
    </row>
    <row r="1173" spans="1:21" x14ac:dyDescent="0.3">
      <c r="A1173" t="s">
        <v>1278</v>
      </c>
      <c r="B1173" s="1">
        <v>46035</v>
      </c>
      <c r="C1173" s="1">
        <v>46035</v>
      </c>
      <c r="D1173" s="1">
        <v>46037</v>
      </c>
      <c r="E1173" s="1">
        <v>46037</v>
      </c>
      <c r="F1173" t="s">
        <v>34</v>
      </c>
      <c r="G1173" t="s">
        <v>52</v>
      </c>
      <c r="H1173" t="s">
        <v>24</v>
      </c>
      <c r="I1173" t="s">
        <v>43</v>
      </c>
      <c r="J1173">
        <v>269</v>
      </c>
      <c r="K1173">
        <v>1550.3</v>
      </c>
      <c r="L1173">
        <v>4716000</v>
      </c>
      <c r="M1173" t="b">
        <v>0</v>
      </c>
      <c r="N1173" t="b">
        <v>0</v>
      </c>
      <c r="O1173">
        <v>5000</v>
      </c>
      <c r="P1173" t="b">
        <v>0</v>
      </c>
      <c r="Q1173" t="b">
        <v>0</v>
      </c>
      <c r="R1173" t="b">
        <v>0</v>
      </c>
      <c r="S1173" t="s">
        <v>96</v>
      </c>
      <c r="T1173" t="s">
        <v>104</v>
      </c>
    </row>
    <row r="1174" spans="1:21" x14ac:dyDescent="0.3">
      <c r="A1174" t="s">
        <v>1279</v>
      </c>
      <c r="B1174" s="1">
        <v>46024</v>
      </c>
      <c r="C1174" s="1">
        <v>46026</v>
      </c>
      <c r="D1174" s="1">
        <v>46030</v>
      </c>
      <c r="E1174" s="1">
        <v>46030</v>
      </c>
      <c r="F1174" t="s">
        <v>33</v>
      </c>
      <c r="G1174" t="s">
        <v>58</v>
      </c>
      <c r="H1174" t="s">
        <v>22</v>
      </c>
      <c r="I1174" t="s">
        <v>42</v>
      </c>
      <c r="J1174">
        <v>655.5</v>
      </c>
      <c r="K1174">
        <v>7660.9</v>
      </c>
      <c r="L1174">
        <v>14768000</v>
      </c>
      <c r="M1174" t="b">
        <v>0</v>
      </c>
      <c r="N1174" t="b">
        <v>0</v>
      </c>
      <c r="O1174">
        <v>16000</v>
      </c>
      <c r="P1174" t="b">
        <v>0</v>
      </c>
      <c r="Q1174" t="b">
        <v>0</v>
      </c>
      <c r="R1174" t="b">
        <v>0</v>
      </c>
      <c r="S1174" t="s">
        <v>96</v>
      </c>
      <c r="T1174" t="s">
        <v>104</v>
      </c>
    </row>
    <row r="1175" spans="1:21" x14ac:dyDescent="0.3">
      <c r="A1175" t="s">
        <v>1280</v>
      </c>
      <c r="B1175" s="1">
        <v>46176</v>
      </c>
      <c r="C1175" s="1">
        <v>46177</v>
      </c>
      <c r="D1175" s="1">
        <v>46179</v>
      </c>
      <c r="E1175" s="1">
        <v>46180</v>
      </c>
      <c r="F1175" t="s">
        <v>32</v>
      </c>
      <c r="G1175" t="s">
        <v>53</v>
      </c>
      <c r="H1175" t="s">
        <v>22</v>
      </c>
      <c r="I1175" t="s">
        <v>45</v>
      </c>
      <c r="J1175">
        <v>268.10000000000002</v>
      </c>
      <c r="K1175">
        <v>465.2</v>
      </c>
      <c r="L1175">
        <v>2786000</v>
      </c>
      <c r="M1175" t="b">
        <v>0</v>
      </c>
      <c r="N1175" t="b">
        <v>0</v>
      </c>
      <c r="O1175">
        <v>1000</v>
      </c>
      <c r="P1175" t="b">
        <v>0</v>
      </c>
      <c r="Q1175" t="b">
        <v>0</v>
      </c>
      <c r="R1175" t="b">
        <v>0</v>
      </c>
      <c r="S1175" t="s">
        <v>101</v>
      </c>
      <c r="T1175" t="s">
        <v>99</v>
      </c>
      <c r="U1175">
        <v>1</v>
      </c>
    </row>
    <row r="1176" spans="1:21" x14ac:dyDescent="0.3">
      <c r="A1176" t="s">
        <v>1281</v>
      </c>
      <c r="B1176" s="1">
        <v>46123</v>
      </c>
      <c r="C1176" s="1">
        <v>46124</v>
      </c>
      <c r="D1176" s="1">
        <v>46127</v>
      </c>
      <c r="E1176" s="1">
        <v>46127</v>
      </c>
      <c r="F1176" t="s">
        <v>34</v>
      </c>
      <c r="G1176" t="s">
        <v>53</v>
      </c>
      <c r="H1176" t="s">
        <v>23</v>
      </c>
      <c r="I1176" t="s">
        <v>45</v>
      </c>
      <c r="J1176">
        <v>338.3</v>
      </c>
      <c r="K1176">
        <v>658.5</v>
      </c>
      <c r="L1176">
        <v>3327000</v>
      </c>
      <c r="M1176" t="b">
        <v>0</v>
      </c>
      <c r="N1176" t="b">
        <v>0</v>
      </c>
      <c r="O1176">
        <v>1000</v>
      </c>
      <c r="P1176" t="b">
        <v>0</v>
      </c>
      <c r="Q1176" t="b">
        <v>0</v>
      </c>
      <c r="R1176" t="b">
        <v>0</v>
      </c>
      <c r="S1176" t="s">
        <v>96</v>
      </c>
      <c r="T1176" t="s">
        <v>112</v>
      </c>
    </row>
    <row r="1177" spans="1:21" x14ac:dyDescent="0.3">
      <c r="A1177" t="s">
        <v>1282</v>
      </c>
      <c r="B1177" s="1">
        <v>46137</v>
      </c>
      <c r="C1177" s="1">
        <v>46138</v>
      </c>
      <c r="D1177" s="1">
        <v>46142</v>
      </c>
      <c r="E1177" s="1">
        <v>46142</v>
      </c>
      <c r="F1177" t="s">
        <v>33</v>
      </c>
      <c r="G1177" t="s">
        <v>61</v>
      </c>
      <c r="H1177" t="s">
        <v>20</v>
      </c>
      <c r="I1177" t="s">
        <v>43</v>
      </c>
      <c r="J1177">
        <v>613.4</v>
      </c>
      <c r="K1177">
        <v>3134.8</v>
      </c>
      <c r="L1177">
        <v>9330000</v>
      </c>
      <c r="M1177" t="b">
        <v>0</v>
      </c>
      <c r="N1177" t="b">
        <v>0</v>
      </c>
      <c r="O1177">
        <v>5000</v>
      </c>
      <c r="P1177" t="b">
        <v>0</v>
      </c>
      <c r="Q1177" t="b">
        <v>0</v>
      </c>
      <c r="R1177" t="b">
        <v>0</v>
      </c>
      <c r="S1177" t="s">
        <v>96</v>
      </c>
      <c r="T1177" t="s">
        <v>112</v>
      </c>
    </row>
    <row r="1178" spans="1:21" x14ac:dyDescent="0.3">
      <c r="A1178" t="s">
        <v>1283</v>
      </c>
      <c r="B1178" s="1">
        <v>46115</v>
      </c>
      <c r="C1178" s="1">
        <v>46115</v>
      </c>
      <c r="D1178" s="1">
        <v>46119</v>
      </c>
      <c r="E1178" s="1">
        <v>46119</v>
      </c>
      <c r="F1178" t="s">
        <v>34</v>
      </c>
      <c r="G1178" t="s">
        <v>60</v>
      </c>
      <c r="H1178" t="s">
        <v>20</v>
      </c>
      <c r="I1178" t="s">
        <v>44</v>
      </c>
      <c r="J1178">
        <v>601.5</v>
      </c>
      <c r="K1178">
        <v>234.4</v>
      </c>
      <c r="L1178">
        <v>6711000</v>
      </c>
      <c r="M1178" t="b">
        <v>0</v>
      </c>
      <c r="N1178" t="b">
        <v>0</v>
      </c>
      <c r="O1178">
        <v>1500</v>
      </c>
      <c r="P1178" t="b">
        <v>0</v>
      </c>
      <c r="Q1178" t="b">
        <v>0</v>
      </c>
      <c r="R1178" t="b">
        <v>0</v>
      </c>
      <c r="S1178" t="s">
        <v>96</v>
      </c>
      <c r="T1178" t="s">
        <v>112</v>
      </c>
    </row>
    <row r="1179" spans="1:21" x14ac:dyDescent="0.3">
      <c r="A1179" t="s">
        <v>1284</v>
      </c>
      <c r="B1179" s="1">
        <v>46159</v>
      </c>
      <c r="C1179" s="1">
        <v>46159</v>
      </c>
      <c r="D1179" s="1">
        <v>46162</v>
      </c>
      <c r="E1179" s="1">
        <v>46163</v>
      </c>
      <c r="F1179" t="s">
        <v>31</v>
      </c>
      <c r="G1179" t="s">
        <v>60</v>
      </c>
      <c r="H1179" t="s">
        <v>24</v>
      </c>
      <c r="I1179" t="s">
        <v>44</v>
      </c>
      <c r="J1179">
        <v>594.5</v>
      </c>
      <c r="K1179">
        <v>405.8</v>
      </c>
      <c r="L1179">
        <v>6453000</v>
      </c>
      <c r="M1179" t="b">
        <v>0</v>
      </c>
      <c r="N1179" t="b">
        <v>0</v>
      </c>
      <c r="O1179">
        <v>1500</v>
      </c>
      <c r="P1179" t="b">
        <v>0</v>
      </c>
      <c r="Q1179" t="b">
        <v>0</v>
      </c>
      <c r="R1179" t="b">
        <v>0</v>
      </c>
      <c r="S1179" t="s">
        <v>101</v>
      </c>
      <c r="T1179" t="s">
        <v>102</v>
      </c>
      <c r="U1179">
        <v>1</v>
      </c>
    </row>
    <row r="1180" spans="1:21" x14ac:dyDescent="0.3">
      <c r="A1180" t="s">
        <v>1285</v>
      </c>
      <c r="B1180" s="1">
        <v>46100</v>
      </c>
      <c r="C1180" s="1">
        <v>46100</v>
      </c>
      <c r="D1180" s="1">
        <v>46101</v>
      </c>
      <c r="E1180" s="1">
        <v>46100</v>
      </c>
      <c r="F1180" t="s">
        <v>31</v>
      </c>
      <c r="G1180" t="s">
        <v>55</v>
      </c>
      <c r="H1180" t="s">
        <v>21</v>
      </c>
      <c r="I1180" t="s">
        <v>42</v>
      </c>
      <c r="J1180">
        <v>19.5</v>
      </c>
      <c r="K1180">
        <v>11766.9</v>
      </c>
      <c r="L1180">
        <v>4988000</v>
      </c>
      <c r="M1180" t="b">
        <v>0</v>
      </c>
      <c r="N1180" t="b">
        <v>0</v>
      </c>
      <c r="O1180">
        <v>16000</v>
      </c>
      <c r="P1180" t="b">
        <v>0</v>
      </c>
      <c r="Q1180" t="b">
        <v>0</v>
      </c>
      <c r="R1180" t="b">
        <v>0</v>
      </c>
      <c r="S1180" t="s">
        <v>96</v>
      </c>
      <c r="T1180" t="s">
        <v>118</v>
      </c>
    </row>
    <row r="1181" spans="1:21" x14ac:dyDescent="0.3">
      <c r="A1181" t="s">
        <v>1286</v>
      </c>
      <c r="B1181" s="1">
        <v>46036</v>
      </c>
      <c r="C1181" s="1">
        <v>46037</v>
      </c>
      <c r="D1181" s="1">
        <v>46038</v>
      </c>
      <c r="E1181" s="1">
        <v>46039</v>
      </c>
      <c r="F1181" t="s">
        <v>34</v>
      </c>
      <c r="G1181" t="s">
        <v>61</v>
      </c>
      <c r="H1181" t="s">
        <v>24</v>
      </c>
      <c r="I1181" t="s">
        <v>44</v>
      </c>
      <c r="J1181">
        <v>35.299999999999997</v>
      </c>
      <c r="K1181">
        <v>863</v>
      </c>
      <c r="L1181">
        <v>1369000</v>
      </c>
      <c r="M1181" t="b">
        <v>0</v>
      </c>
      <c r="N1181" t="b">
        <v>0</v>
      </c>
      <c r="O1181">
        <v>1500</v>
      </c>
      <c r="P1181" t="b">
        <v>0</v>
      </c>
      <c r="Q1181" t="b">
        <v>0</v>
      </c>
      <c r="R1181" t="b">
        <v>0</v>
      </c>
      <c r="S1181" t="s">
        <v>101</v>
      </c>
      <c r="T1181" t="s">
        <v>104</v>
      </c>
      <c r="U1181">
        <v>1</v>
      </c>
    </row>
    <row r="1182" spans="1:21" x14ac:dyDescent="0.3">
      <c r="A1182" t="s">
        <v>1287</v>
      </c>
      <c r="B1182" s="1">
        <v>46042</v>
      </c>
      <c r="C1182" s="1">
        <v>46043</v>
      </c>
      <c r="D1182" s="1">
        <v>46046</v>
      </c>
      <c r="E1182" s="1">
        <v>46046</v>
      </c>
      <c r="F1182" t="s">
        <v>31</v>
      </c>
      <c r="G1182" t="s">
        <v>60</v>
      </c>
      <c r="H1182" t="s">
        <v>20</v>
      </c>
      <c r="I1182" t="s">
        <v>44</v>
      </c>
      <c r="J1182">
        <v>556.29999999999995</v>
      </c>
      <c r="K1182">
        <v>361.5</v>
      </c>
      <c r="L1182">
        <v>5685000</v>
      </c>
      <c r="M1182" t="b">
        <v>0</v>
      </c>
      <c r="N1182" t="b">
        <v>0</v>
      </c>
      <c r="O1182">
        <v>1500</v>
      </c>
      <c r="P1182" t="b">
        <v>0</v>
      </c>
      <c r="Q1182" t="b">
        <v>0</v>
      </c>
      <c r="R1182" t="b">
        <v>0</v>
      </c>
      <c r="S1182" t="s">
        <v>96</v>
      </c>
      <c r="T1182" t="s">
        <v>104</v>
      </c>
    </row>
    <row r="1183" spans="1:21" x14ac:dyDescent="0.3">
      <c r="A1183" t="s">
        <v>1288</v>
      </c>
      <c r="B1183" s="1">
        <v>46043</v>
      </c>
      <c r="C1183" s="1">
        <v>46045</v>
      </c>
      <c r="D1183" s="1">
        <v>46048</v>
      </c>
      <c r="E1183" s="1">
        <v>46050</v>
      </c>
      <c r="F1183" t="s">
        <v>34</v>
      </c>
      <c r="G1183" t="s">
        <v>54</v>
      </c>
      <c r="H1183" t="s">
        <v>23</v>
      </c>
      <c r="I1183" t="s">
        <v>43</v>
      </c>
      <c r="J1183">
        <v>488.4</v>
      </c>
      <c r="K1183">
        <v>3644.6</v>
      </c>
      <c r="L1183">
        <v>6541000</v>
      </c>
      <c r="M1183" t="b">
        <v>0</v>
      </c>
      <c r="N1183" t="b">
        <v>0</v>
      </c>
      <c r="O1183">
        <v>5000</v>
      </c>
      <c r="P1183" t="b">
        <v>0</v>
      </c>
      <c r="Q1183" t="b">
        <v>0</v>
      </c>
      <c r="R1183" t="b">
        <v>0</v>
      </c>
      <c r="S1183" t="s">
        <v>101</v>
      </c>
      <c r="T1183" t="s">
        <v>104</v>
      </c>
      <c r="U1183">
        <v>2</v>
      </c>
    </row>
    <row r="1184" spans="1:21" x14ac:dyDescent="0.3">
      <c r="A1184" t="s">
        <v>1289</v>
      </c>
      <c r="B1184" s="1">
        <v>46104</v>
      </c>
      <c r="C1184" s="1">
        <v>46105</v>
      </c>
      <c r="D1184" s="1">
        <v>46107</v>
      </c>
      <c r="E1184" s="1">
        <v>46109</v>
      </c>
      <c r="F1184" t="s">
        <v>32</v>
      </c>
      <c r="G1184" t="s">
        <v>63</v>
      </c>
      <c r="H1184" t="s">
        <v>24</v>
      </c>
      <c r="I1184" t="s">
        <v>42</v>
      </c>
      <c r="J1184">
        <v>182.5</v>
      </c>
      <c r="K1184">
        <v>13827.7</v>
      </c>
      <c r="L1184">
        <v>8599000</v>
      </c>
      <c r="M1184" t="b">
        <v>0</v>
      </c>
      <c r="N1184" t="b">
        <v>0</v>
      </c>
      <c r="O1184">
        <v>16000</v>
      </c>
      <c r="P1184" t="b">
        <v>0</v>
      </c>
      <c r="Q1184" t="b">
        <v>0</v>
      </c>
      <c r="R1184" t="b">
        <v>0</v>
      </c>
      <c r="S1184" t="s">
        <v>101</v>
      </c>
      <c r="T1184" t="s">
        <v>118</v>
      </c>
      <c r="U1184">
        <v>2</v>
      </c>
    </row>
    <row r="1185" spans="1:21" x14ac:dyDescent="0.3">
      <c r="A1185" t="s">
        <v>1290</v>
      </c>
      <c r="B1185" s="1">
        <v>46097</v>
      </c>
      <c r="C1185" s="1">
        <v>46099</v>
      </c>
      <c r="D1185" s="1">
        <v>46100</v>
      </c>
      <c r="E1185" s="1">
        <v>46100</v>
      </c>
      <c r="F1185" t="s">
        <v>33</v>
      </c>
      <c r="G1185" t="s">
        <v>60</v>
      </c>
      <c r="H1185" t="s">
        <v>20</v>
      </c>
      <c r="I1185" t="s">
        <v>44</v>
      </c>
      <c r="J1185">
        <v>23.9</v>
      </c>
      <c r="K1185">
        <v>220.8</v>
      </c>
      <c r="L1185">
        <v>794000</v>
      </c>
      <c r="M1185" t="b">
        <v>0</v>
      </c>
      <c r="N1185" t="b">
        <v>0</v>
      </c>
      <c r="O1185">
        <v>1500</v>
      </c>
      <c r="P1185" t="b">
        <v>0</v>
      </c>
      <c r="Q1185" t="b">
        <v>0</v>
      </c>
      <c r="R1185" t="b">
        <v>0</v>
      </c>
      <c r="S1185" t="s">
        <v>96</v>
      </c>
      <c r="T1185" t="s">
        <v>118</v>
      </c>
    </row>
    <row r="1186" spans="1:21" x14ac:dyDescent="0.3">
      <c r="A1186" t="s">
        <v>1291</v>
      </c>
      <c r="B1186" s="1">
        <v>46074</v>
      </c>
      <c r="C1186" s="1">
        <v>46075</v>
      </c>
      <c r="D1186" s="1">
        <v>46077</v>
      </c>
      <c r="E1186" s="1">
        <v>46079</v>
      </c>
      <c r="F1186" t="s">
        <v>34</v>
      </c>
      <c r="G1186" t="s">
        <v>58</v>
      </c>
      <c r="H1186" t="s">
        <v>24</v>
      </c>
      <c r="I1186" t="s">
        <v>43</v>
      </c>
      <c r="J1186">
        <v>152.19999999999999</v>
      </c>
      <c r="K1186">
        <v>2143</v>
      </c>
      <c r="L1186">
        <v>4038000</v>
      </c>
      <c r="M1186" t="b">
        <v>0</v>
      </c>
      <c r="N1186" t="b">
        <v>0</v>
      </c>
      <c r="O1186">
        <v>5000</v>
      </c>
      <c r="P1186" t="b">
        <v>0</v>
      </c>
      <c r="Q1186" t="b">
        <v>0</v>
      </c>
      <c r="R1186" t="b">
        <v>0</v>
      </c>
      <c r="S1186" t="s">
        <v>101</v>
      </c>
      <c r="T1186" t="s">
        <v>115</v>
      </c>
      <c r="U1186">
        <v>2</v>
      </c>
    </row>
    <row r="1187" spans="1:21" x14ac:dyDescent="0.3">
      <c r="A1187" t="s">
        <v>1292</v>
      </c>
      <c r="B1187" s="1">
        <v>46111</v>
      </c>
      <c r="C1187" s="1">
        <v>46112</v>
      </c>
      <c r="D1187" s="1">
        <v>46115</v>
      </c>
      <c r="E1187" s="1">
        <v>46115</v>
      </c>
      <c r="F1187" t="s">
        <v>34</v>
      </c>
      <c r="G1187" t="s">
        <v>54</v>
      </c>
      <c r="H1187" t="s">
        <v>21</v>
      </c>
      <c r="I1187" t="s">
        <v>42</v>
      </c>
      <c r="J1187">
        <v>457.6</v>
      </c>
      <c r="K1187">
        <v>11677.4</v>
      </c>
      <c r="L1187">
        <v>13005000</v>
      </c>
      <c r="M1187" t="b">
        <v>0</v>
      </c>
      <c r="N1187" t="b">
        <v>0</v>
      </c>
      <c r="O1187">
        <v>16000</v>
      </c>
      <c r="P1187" t="b">
        <v>0</v>
      </c>
      <c r="Q1187" t="b">
        <v>0</v>
      </c>
      <c r="R1187" t="b">
        <v>0</v>
      </c>
      <c r="S1187" t="s">
        <v>96</v>
      </c>
      <c r="T1187" t="s">
        <v>118</v>
      </c>
    </row>
    <row r="1188" spans="1:21" x14ac:dyDescent="0.3">
      <c r="A1188" t="s">
        <v>1293</v>
      </c>
      <c r="B1188" s="1">
        <v>46105</v>
      </c>
      <c r="C1188" s="1">
        <v>46107</v>
      </c>
      <c r="D1188" s="1">
        <v>46111</v>
      </c>
      <c r="E1188" s="1">
        <v>46111</v>
      </c>
      <c r="F1188" t="s">
        <v>31</v>
      </c>
      <c r="G1188" t="s">
        <v>62</v>
      </c>
      <c r="H1188" t="s">
        <v>21</v>
      </c>
      <c r="I1188" t="s">
        <v>42</v>
      </c>
      <c r="J1188">
        <v>777.3</v>
      </c>
      <c r="K1188">
        <v>8722.6</v>
      </c>
      <c r="L1188">
        <v>17720000</v>
      </c>
      <c r="M1188" t="b">
        <v>0</v>
      </c>
      <c r="N1188" t="b">
        <v>0</v>
      </c>
      <c r="O1188">
        <v>16000</v>
      </c>
      <c r="P1188" t="b">
        <v>0</v>
      </c>
      <c r="Q1188" t="b">
        <v>0</v>
      </c>
      <c r="R1188" t="b">
        <v>0</v>
      </c>
      <c r="S1188" t="s">
        <v>96</v>
      </c>
      <c r="T1188" t="s">
        <v>118</v>
      </c>
    </row>
    <row r="1189" spans="1:21" x14ac:dyDescent="0.3">
      <c r="A1189" t="s">
        <v>1294</v>
      </c>
      <c r="B1189" s="1">
        <v>46078</v>
      </c>
      <c r="C1189" s="1">
        <v>46080</v>
      </c>
      <c r="D1189" s="1">
        <v>46084</v>
      </c>
      <c r="E1189" s="1">
        <v>46083</v>
      </c>
      <c r="F1189" t="s">
        <v>31</v>
      </c>
      <c r="G1189" t="s">
        <v>62</v>
      </c>
      <c r="H1189" t="s">
        <v>21</v>
      </c>
      <c r="I1189" t="s">
        <v>45</v>
      </c>
      <c r="J1189">
        <v>752.7</v>
      </c>
      <c r="K1189">
        <v>635</v>
      </c>
      <c r="L1189">
        <v>6524000</v>
      </c>
      <c r="M1189" t="b">
        <v>0</v>
      </c>
      <c r="N1189" t="b">
        <v>0</v>
      </c>
      <c r="O1189">
        <v>1000</v>
      </c>
      <c r="P1189" t="b">
        <v>0</v>
      </c>
      <c r="Q1189" t="b">
        <v>0</v>
      </c>
      <c r="R1189" t="b">
        <v>0</v>
      </c>
      <c r="S1189" t="s">
        <v>96</v>
      </c>
      <c r="T1189" t="s">
        <v>115</v>
      </c>
    </row>
    <row r="1190" spans="1:21" x14ac:dyDescent="0.3">
      <c r="A1190" t="s">
        <v>1295</v>
      </c>
      <c r="B1190" s="1">
        <v>46095</v>
      </c>
      <c r="C1190" s="1">
        <v>46096</v>
      </c>
      <c r="D1190" s="1">
        <v>46098</v>
      </c>
      <c r="E1190" s="1">
        <v>46098</v>
      </c>
      <c r="F1190" t="s">
        <v>34</v>
      </c>
      <c r="G1190" t="s">
        <v>52</v>
      </c>
      <c r="H1190" t="s">
        <v>23</v>
      </c>
      <c r="I1190" t="s">
        <v>42</v>
      </c>
      <c r="J1190">
        <v>265.8</v>
      </c>
      <c r="K1190">
        <v>2783.2</v>
      </c>
      <c r="L1190">
        <v>6775000</v>
      </c>
      <c r="M1190" t="b">
        <v>0</v>
      </c>
      <c r="N1190" t="b">
        <v>0</v>
      </c>
      <c r="O1190">
        <v>16000</v>
      </c>
      <c r="P1190" t="b">
        <v>0</v>
      </c>
      <c r="Q1190" t="b">
        <v>0</v>
      </c>
      <c r="R1190" t="b">
        <v>0</v>
      </c>
      <c r="S1190" t="s">
        <v>96</v>
      </c>
      <c r="T1190" t="s">
        <v>118</v>
      </c>
    </row>
    <row r="1191" spans="1:21" x14ac:dyDescent="0.3">
      <c r="A1191" t="s">
        <v>1296</v>
      </c>
      <c r="B1191" s="1">
        <v>46190</v>
      </c>
      <c r="C1191" s="1">
        <v>46191</v>
      </c>
      <c r="D1191" s="1">
        <v>46192</v>
      </c>
      <c r="E1191" s="1">
        <v>46192</v>
      </c>
      <c r="F1191" t="s">
        <v>34</v>
      </c>
      <c r="G1191" t="s">
        <v>55</v>
      </c>
      <c r="H1191" t="s">
        <v>24</v>
      </c>
      <c r="I1191" t="s">
        <v>43</v>
      </c>
      <c r="J1191">
        <v>54.9</v>
      </c>
      <c r="K1191">
        <v>909.3</v>
      </c>
      <c r="L1191">
        <v>1950000</v>
      </c>
      <c r="M1191" t="b">
        <v>0</v>
      </c>
      <c r="N1191" t="b">
        <v>0</v>
      </c>
      <c r="O1191">
        <v>5000</v>
      </c>
      <c r="P1191" t="b">
        <v>0</v>
      </c>
      <c r="Q1191" t="b">
        <v>0</v>
      </c>
      <c r="R1191" t="b">
        <v>0</v>
      </c>
      <c r="S1191" t="s">
        <v>96</v>
      </c>
      <c r="T1191" t="s">
        <v>99</v>
      </c>
    </row>
    <row r="1192" spans="1:21" x14ac:dyDescent="0.3">
      <c r="A1192" t="s">
        <v>1297</v>
      </c>
      <c r="B1192" s="1">
        <v>46105</v>
      </c>
      <c r="C1192" s="1">
        <v>46106</v>
      </c>
      <c r="D1192" s="1">
        <v>46110</v>
      </c>
      <c r="E1192" s="1">
        <v>46111</v>
      </c>
      <c r="F1192" t="s">
        <v>33</v>
      </c>
      <c r="G1192" t="s">
        <v>54</v>
      </c>
      <c r="H1192" t="s">
        <v>21</v>
      </c>
      <c r="I1192" t="s">
        <v>43</v>
      </c>
      <c r="J1192">
        <v>963</v>
      </c>
      <c r="K1192">
        <v>2920</v>
      </c>
      <c r="L1192">
        <v>14643000</v>
      </c>
      <c r="M1192" t="b">
        <v>0</v>
      </c>
      <c r="N1192" t="b">
        <v>0</v>
      </c>
      <c r="O1192">
        <v>5000</v>
      </c>
      <c r="P1192" t="b">
        <v>0</v>
      </c>
      <c r="Q1192" t="b">
        <v>0</v>
      </c>
      <c r="R1192" t="b">
        <v>0</v>
      </c>
      <c r="S1192" t="s">
        <v>101</v>
      </c>
      <c r="T1192" t="s">
        <v>118</v>
      </c>
      <c r="U1192">
        <v>1</v>
      </c>
    </row>
    <row r="1193" spans="1:21" x14ac:dyDescent="0.3">
      <c r="A1193" t="s">
        <v>1298</v>
      </c>
      <c r="B1193" s="1">
        <v>46054</v>
      </c>
      <c r="C1193" s="1">
        <v>46055</v>
      </c>
      <c r="D1193" s="1">
        <v>46059</v>
      </c>
      <c r="E1193" s="1">
        <v>46061</v>
      </c>
      <c r="F1193" t="s">
        <v>32</v>
      </c>
      <c r="G1193" t="s">
        <v>56</v>
      </c>
      <c r="H1193" t="s">
        <v>22</v>
      </c>
      <c r="I1193" t="s">
        <v>44</v>
      </c>
      <c r="J1193">
        <v>1131.2</v>
      </c>
      <c r="K1193">
        <v>1010.2</v>
      </c>
      <c r="L1193">
        <v>10763000</v>
      </c>
      <c r="M1193" t="b">
        <v>0</v>
      </c>
      <c r="N1193" t="b">
        <v>0</v>
      </c>
      <c r="O1193">
        <v>1500</v>
      </c>
      <c r="P1193" t="b">
        <v>0</v>
      </c>
      <c r="Q1193" t="b">
        <v>0</v>
      </c>
      <c r="R1193" t="b">
        <v>0</v>
      </c>
      <c r="S1193" t="s">
        <v>101</v>
      </c>
      <c r="T1193" t="s">
        <v>115</v>
      </c>
      <c r="U1193">
        <v>2</v>
      </c>
    </row>
    <row r="1194" spans="1:21" x14ac:dyDescent="0.3">
      <c r="A1194" t="s">
        <v>1299</v>
      </c>
      <c r="B1194" s="1">
        <v>46172</v>
      </c>
      <c r="C1194" s="1">
        <v>46173</v>
      </c>
      <c r="D1194" s="1">
        <v>46175</v>
      </c>
      <c r="E1194" s="1">
        <v>46175</v>
      </c>
      <c r="F1194" t="s">
        <v>31</v>
      </c>
      <c r="G1194" t="s">
        <v>57</v>
      </c>
      <c r="H1194" t="s">
        <v>21</v>
      </c>
      <c r="I1194" t="s">
        <v>43</v>
      </c>
      <c r="J1194">
        <v>130.30000000000001</v>
      </c>
      <c r="K1194">
        <v>1111.8</v>
      </c>
      <c r="L1194">
        <v>2801000</v>
      </c>
      <c r="M1194" t="b">
        <v>0</v>
      </c>
      <c r="N1194" t="b">
        <v>0</v>
      </c>
      <c r="O1194">
        <v>5000</v>
      </c>
      <c r="P1194" t="b">
        <v>0</v>
      </c>
      <c r="Q1194" t="b">
        <v>0</v>
      </c>
      <c r="R1194" t="b">
        <v>0</v>
      </c>
      <c r="S1194" t="s">
        <v>96</v>
      </c>
      <c r="T1194" t="s">
        <v>102</v>
      </c>
    </row>
    <row r="1195" spans="1:21" x14ac:dyDescent="0.3">
      <c r="A1195" t="s">
        <v>1300</v>
      </c>
      <c r="B1195" s="1">
        <v>46051</v>
      </c>
      <c r="C1195" s="1">
        <v>46052</v>
      </c>
      <c r="D1195" s="1">
        <v>46056</v>
      </c>
      <c r="E1195" s="1">
        <v>46056</v>
      </c>
      <c r="F1195" t="s">
        <v>33</v>
      </c>
      <c r="G1195" t="s">
        <v>56</v>
      </c>
      <c r="H1195" t="s">
        <v>23</v>
      </c>
      <c r="I1195" t="s">
        <v>44</v>
      </c>
      <c r="J1195">
        <v>1594.2</v>
      </c>
      <c r="K1195">
        <v>582.4</v>
      </c>
      <c r="L1195">
        <v>14663000</v>
      </c>
      <c r="M1195" t="b">
        <v>0</v>
      </c>
      <c r="N1195" t="b">
        <v>0</v>
      </c>
      <c r="O1195">
        <v>1500</v>
      </c>
      <c r="P1195" t="b">
        <v>0</v>
      </c>
      <c r="Q1195" t="b">
        <v>0</v>
      </c>
      <c r="R1195" t="b">
        <v>0</v>
      </c>
      <c r="S1195" t="s">
        <v>96</v>
      </c>
      <c r="T1195" t="s">
        <v>104</v>
      </c>
    </row>
    <row r="1196" spans="1:21" x14ac:dyDescent="0.3">
      <c r="A1196" t="s">
        <v>1301</v>
      </c>
      <c r="B1196" s="1">
        <v>46050</v>
      </c>
      <c r="C1196" s="1">
        <v>46050</v>
      </c>
      <c r="D1196" s="1">
        <v>46051</v>
      </c>
      <c r="E1196" s="1">
        <v>46051</v>
      </c>
      <c r="F1196" t="s">
        <v>34</v>
      </c>
      <c r="G1196" t="s">
        <v>55</v>
      </c>
      <c r="H1196" t="s">
        <v>20</v>
      </c>
      <c r="I1196" t="s">
        <v>43</v>
      </c>
      <c r="J1196">
        <v>49.5</v>
      </c>
      <c r="K1196">
        <v>4090.6</v>
      </c>
      <c r="L1196">
        <v>3033000</v>
      </c>
      <c r="M1196" t="b">
        <v>0</v>
      </c>
      <c r="N1196" t="b">
        <v>0</v>
      </c>
      <c r="O1196">
        <v>5000</v>
      </c>
      <c r="P1196" t="b">
        <v>0</v>
      </c>
      <c r="Q1196" t="b">
        <v>0</v>
      </c>
      <c r="R1196" t="b">
        <v>0</v>
      </c>
      <c r="S1196" t="s">
        <v>96</v>
      </c>
      <c r="T1196" t="s">
        <v>104</v>
      </c>
    </row>
    <row r="1197" spans="1:21" x14ac:dyDescent="0.3">
      <c r="A1197" t="s">
        <v>1302</v>
      </c>
      <c r="B1197" s="1">
        <v>46191</v>
      </c>
      <c r="C1197" s="1">
        <v>46192</v>
      </c>
      <c r="D1197" s="1">
        <v>46196</v>
      </c>
      <c r="E1197" s="1">
        <v>46195</v>
      </c>
      <c r="F1197" t="s">
        <v>34</v>
      </c>
      <c r="G1197" t="s">
        <v>62</v>
      </c>
      <c r="H1197" t="s">
        <v>20</v>
      </c>
      <c r="I1197" t="s">
        <v>44</v>
      </c>
      <c r="J1197">
        <v>792.7</v>
      </c>
      <c r="K1197">
        <v>571.1</v>
      </c>
      <c r="L1197">
        <v>7943000</v>
      </c>
      <c r="M1197" t="b">
        <v>0</v>
      </c>
      <c r="N1197" t="b">
        <v>0</v>
      </c>
      <c r="O1197">
        <v>1500</v>
      </c>
      <c r="P1197" t="b">
        <v>0</v>
      </c>
      <c r="Q1197" t="b">
        <v>0</v>
      </c>
      <c r="R1197" t="b">
        <v>0</v>
      </c>
      <c r="S1197" t="s">
        <v>96</v>
      </c>
      <c r="T1197" t="s">
        <v>99</v>
      </c>
    </row>
    <row r="1198" spans="1:21" x14ac:dyDescent="0.3">
      <c r="A1198" t="s">
        <v>1303</v>
      </c>
      <c r="B1198" s="1">
        <v>46024</v>
      </c>
      <c r="C1198" s="1">
        <v>46025</v>
      </c>
      <c r="D1198" s="1">
        <v>46029</v>
      </c>
      <c r="E1198" s="1">
        <v>46030</v>
      </c>
      <c r="F1198" t="s">
        <v>31</v>
      </c>
      <c r="G1198" t="s">
        <v>62</v>
      </c>
      <c r="H1198" t="s">
        <v>24</v>
      </c>
      <c r="I1198" t="s">
        <v>43</v>
      </c>
      <c r="J1198">
        <v>758.4</v>
      </c>
      <c r="K1198">
        <v>544.1</v>
      </c>
      <c r="L1198">
        <v>11294000</v>
      </c>
      <c r="M1198" t="b">
        <v>0</v>
      </c>
      <c r="N1198" t="b">
        <v>0</v>
      </c>
      <c r="O1198">
        <v>5000</v>
      </c>
      <c r="P1198" t="b">
        <v>0</v>
      </c>
      <c r="Q1198" t="b">
        <v>0</v>
      </c>
      <c r="R1198" t="b">
        <v>0</v>
      </c>
      <c r="S1198" t="s">
        <v>101</v>
      </c>
      <c r="T1198" t="s">
        <v>104</v>
      </c>
      <c r="U1198">
        <v>1</v>
      </c>
    </row>
    <row r="1199" spans="1:21" x14ac:dyDescent="0.3">
      <c r="A1199" t="s">
        <v>1304</v>
      </c>
      <c r="B1199" s="1">
        <v>46130</v>
      </c>
      <c r="C1199" s="1">
        <v>46131</v>
      </c>
      <c r="D1199" s="1">
        <v>46135</v>
      </c>
      <c r="E1199" s="1">
        <v>46135</v>
      </c>
      <c r="F1199" t="s">
        <v>31</v>
      </c>
      <c r="G1199" t="s">
        <v>60</v>
      </c>
      <c r="H1199" t="s">
        <v>21</v>
      </c>
      <c r="I1199" t="s">
        <v>43</v>
      </c>
      <c r="J1199">
        <v>620.29999999999995</v>
      </c>
      <c r="K1199">
        <v>1919.4</v>
      </c>
      <c r="L1199">
        <v>9974000</v>
      </c>
      <c r="M1199" t="b">
        <v>0</v>
      </c>
      <c r="N1199" t="b">
        <v>0</v>
      </c>
      <c r="O1199">
        <v>5000</v>
      </c>
      <c r="P1199" t="b">
        <v>0</v>
      </c>
      <c r="Q1199" t="b">
        <v>0</v>
      </c>
      <c r="R1199" t="b">
        <v>0</v>
      </c>
      <c r="S1199" t="s">
        <v>96</v>
      </c>
      <c r="T1199" t="s">
        <v>112</v>
      </c>
    </row>
    <row r="1200" spans="1:21" x14ac:dyDescent="0.3">
      <c r="A1200" t="s">
        <v>1305</v>
      </c>
      <c r="B1200" s="1">
        <v>46114</v>
      </c>
      <c r="C1200" s="1">
        <v>46115</v>
      </c>
      <c r="D1200" s="1">
        <v>46117</v>
      </c>
      <c r="E1200" s="1">
        <v>46117</v>
      </c>
      <c r="F1200" t="s">
        <v>31</v>
      </c>
      <c r="G1200" t="s">
        <v>58</v>
      </c>
      <c r="H1200" t="s">
        <v>24</v>
      </c>
      <c r="I1200" t="s">
        <v>42</v>
      </c>
      <c r="J1200">
        <v>192</v>
      </c>
      <c r="K1200">
        <v>11725.1</v>
      </c>
      <c r="L1200">
        <v>7821000</v>
      </c>
      <c r="M1200" t="b">
        <v>0</v>
      </c>
      <c r="N1200" t="b">
        <v>0</v>
      </c>
      <c r="O1200">
        <v>16000</v>
      </c>
      <c r="P1200" t="b">
        <v>0</v>
      </c>
      <c r="Q1200" t="b">
        <v>0</v>
      </c>
      <c r="R1200" t="b">
        <v>0</v>
      </c>
      <c r="S1200" t="s">
        <v>96</v>
      </c>
      <c r="T1200" t="s">
        <v>112</v>
      </c>
    </row>
    <row r="1201" spans="1:21" x14ac:dyDescent="0.3">
      <c r="A1201" t="s">
        <v>1306</v>
      </c>
      <c r="B1201" s="1">
        <v>46194</v>
      </c>
      <c r="C1201" s="1">
        <v>46195</v>
      </c>
      <c r="D1201" s="1">
        <v>46198</v>
      </c>
      <c r="E1201" s="1">
        <v>46199</v>
      </c>
      <c r="F1201" t="s">
        <v>32</v>
      </c>
      <c r="G1201" t="s">
        <v>54</v>
      </c>
      <c r="H1201" t="s">
        <v>20</v>
      </c>
      <c r="I1201" t="s">
        <v>42</v>
      </c>
      <c r="J1201">
        <v>543.4</v>
      </c>
      <c r="K1201">
        <v>8887.6</v>
      </c>
      <c r="L1201">
        <v>12290000</v>
      </c>
      <c r="M1201" t="b">
        <v>0</v>
      </c>
      <c r="N1201" t="b">
        <v>0</v>
      </c>
      <c r="O1201">
        <v>16000</v>
      </c>
      <c r="P1201" t="b">
        <v>0</v>
      </c>
      <c r="Q1201" t="b">
        <v>0</v>
      </c>
      <c r="R1201" t="b">
        <v>0</v>
      </c>
      <c r="S1201" t="s">
        <v>101</v>
      </c>
      <c r="T1201" t="s">
        <v>99</v>
      </c>
      <c r="U1201">
        <v>1</v>
      </c>
    </row>
    <row r="1202" spans="1:21" x14ac:dyDescent="0.3">
      <c r="A1202" t="s">
        <v>1307</v>
      </c>
      <c r="B1202" s="1">
        <v>46137</v>
      </c>
      <c r="C1202" s="1">
        <v>46138</v>
      </c>
      <c r="D1202" s="1">
        <v>46139</v>
      </c>
      <c r="E1202" s="1">
        <v>46139</v>
      </c>
      <c r="F1202" t="s">
        <v>34</v>
      </c>
      <c r="G1202" t="s">
        <v>55</v>
      </c>
      <c r="H1202" t="s">
        <v>24</v>
      </c>
      <c r="I1202" t="s">
        <v>43</v>
      </c>
      <c r="J1202">
        <v>58.5</v>
      </c>
      <c r="K1202">
        <v>1703.4</v>
      </c>
      <c r="L1202">
        <v>2048000</v>
      </c>
      <c r="M1202" t="b">
        <v>0</v>
      </c>
      <c r="N1202" t="b">
        <v>0</v>
      </c>
      <c r="O1202">
        <v>5000</v>
      </c>
      <c r="P1202" t="b">
        <v>0</v>
      </c>
      <c r="Q1202" t="b">
        <v>0</v>
      </c>
      <c r="R1202" t="b">
        <v>0</v>
      </c>
      <c r="S1202" t="s">
        <v>96</v>
      </c>
      <c r="T1202" t="s">
        <v>112</v>
      </c>
    </row>
    <row r="1203" spans="1:21" x14ac:dyDescent="0.3">
      <c r="A1203" t="s">
        <v>1308</v>
      </c>
      <c r="B1203" s="1">
        <v>46169</v>
      </c>
      <c r="C1203" s="1">
        <v>46170</v>
      </c>
      <c r="D1203" s="1">
        <v>46172</v>
      </c>
      <c r="E1203" s="1">
        <v>46172</v>
      </c>
      <c r="F1203" t="s">
        <v>32</v>
      </c>
      <c r="G1203" t="s">
        <v>59</v>
      </c>
      <c r="H1203" t="s">
        <v>22</v>
      </c>
      <c r="I1203" t="s">
        <v>45</v>
      </c>
      <c r="J1203">
        <v>171.8</v>
      </c>
      <c r="K1203">
        <v>405</v>
      </c>
      <c r="L1203">
        <v>2233000</v>
      </c>
      <c r="M1203" t="b">
        <v>0</v>
      </c>
      <c r="N1203" t="b">
        <v>0</v>
      </c>
      <c r="O1203">
        <v>1000</v>
      </c>
      <c r="P1203" t="b">
        <v>0</v>
      </c>
      <c r="Q1203" t="b">
        <v>0</v>
      </c>
      <c r="R1203" t="b">
        <v>0</v>
      </c>
      <c r="S1203" t="s">
        <v>96</v>
      </c>
      <c r="T1203" t="s">
        <v>102</v>
      </c>
    </row>
    <row r="1204" spans="1:21" x14ac:dyDescent="0.3">
      <c r="A1204" t="s">
        <v>1309</v>
      </c>
      <c r="B1204" s="1">
        <v>46092</v>
      </c>
      <c r="C1204" s="1">
        <v>46094</v>
      </c>
      <c r="D1204" s="1">
        <v>46097</v>
      </c>
      <c r="E1204" s="1">
        <v>46097</v>
      </c>
      <c r="F1204" t="s">
        <v>34</v>
      </c>
      <c r="G1204" t="s">
        <v>60</v>
      </c>
      <c r="H1204" t="s">
        <v>21</v>
      </c>
      <c r="I1204" t="s">
        <v>44</v>
      </c>
      <c r="J1204">
        <v>592.6</v>
      </c>
      <c r="K1204">
        <v>644.70000000000005</v>
      </c>
      <c r="L1204">
        <v>6231000</v>
      </c>
      <c r="M1204" t="b">
        <v>0</v>
      </c>
      <c r="N1204" t="b">
        <v>0</v>
      </c>
      <c r="O1204">
        <v>1500</v>
      </c>
      <c r="P1204" t="b">
        <v>0</v>
      </c>
      <c r="Q1204" t="b">
        <v>0</v>
      </c>
      <c r="R1204" t="b">
        <v>0</v>
      </c>
      <c r="S1204" t="s">
        <v>96</v>
      </c>
      <c r="T1204" t="s">
        <v>118</v>
      </c>
    </row>
    <row r="1205" spans="1:21" x14ac:dyDescent="0.3">
      <c r="A1205" t="s">
        <v>1310</v>
      </c>
      <c r="B1205" s="1">
        <v>46066</v>
      </c>
      <c r="C1205" s="1">
        <v>46067</v>
      </c>
      <c r="D1205" s="1">
        <v>46069</v>
      </c>
      <c r="E1205" s="1">
        <v>46069</v>
      </c>
      <c r="F1205" t="s">
        <v>32</v>
      </c>
      <c r="G1205" t="s">
        <v>55</v>
      </c>
      <c r="H1205" t="s">
        <v>20</v>
      </c>
      <c r="I1205" t="s">
        <v>43</v>
      </c>
      <c r="J1205">
        <v>131.5</v>
      </c>
      <c r="K1205">
        <v>1058</v>
      </c>
      <c r="L1205">
        <v>2585000</v>
      </c>
      <c r="M1205" t="b">
        <v>0</v>
      </c>
      <c r="N1205" t="b">
        <v>0</v>
      </c>
      <c r="O1205">
        <v>5000</v>
      </c>
      <c r="P1205" t="b">
        <v>0</v>
      </c>
      <c r="Q1205" t="b">
        <v>0</v>
      </c>
      <c r="R1205" t="b">
        <v>0</v>
      </c>
      <c r="S1205" t="s">
        <v>96</v>
      </c>
      <c r="T1205" t="s">
        <v>115</v>
      </c>
    </row>
    <row r="1206" spans="1:21" x14ac:dyDescent="0.3">
      <c r="A1206" t="s">
        <v>1311</v>
      </c>
      <c r="B1206" s="1">
        <v>46195</v>
      </c>
      <c r="C1206" s="1">
        <v>46196</v>
      </c>
      <c r="D1206" s="1">
        <v>46197</v>
      </c>
      <c r="E1206" s="1">
        <v>46197</v>
      </c>
      <c r="F1206" t="s">
        <v>34</v>
      </c>
      <c r="G1206" t="s">
        <v>61</v>
      </c>
      <c r="H1206" t="s">
        <v>20</v>
      </c>
      <c r="I1206" t="s">
        <v>42</v>
      </c>
      <c r="J1206">
        <v>22.5</v>
      </c>
      <c r="K1206">
        <v>13646.5</v>
      </c>
      <c r="L1206">
        <v>5305000</v>
      </c>
      <c r="M1206" t="b">
        <v>0</v>
      </c>
      <c r="N1206" t="b">
        <v>0</v>
      </c>
      <c r="O1206">
        <v>16000</v>
      </c>
      <c r="P1206" t="b">
        <v>0</v>
      </c>
      <c r="Q1206" t="b">
        <v>0</v>
      </c>
      <c r="R1206" t="b">
        <v>0</v>
      </c>
      <c r="S1206" t="s">
        <v>96</v>
      </c>
      <c r="T1206" t="s">
        <v>99</v>
      </c>
    </row>
    <row r="1207" spans="1:21" x14ac:dyDescent="0.3">
      <c r="A1207" t="s">
        <v>1312</v>
      </c>
      <c r="B1207" s="1">
        <v>46025</v>
      </c>
      <c r="C1207" s="1">
        <v>46026</v>
      </c>
      <c r="D1207" s="1">
        <v>46027</v>
      </c>
      <c r="E1207" s="1">
        <v>46027</v>
      </c>
      <c r="F1207" t="s">
        <v>31</v>
      </c>
      <c r="G1207" t="s">
        <v>55</v>
      </c>
      <c r="H1207" t="s">
        <v>20</v>
      </c>
      <c r="I1207" t="s">
        <v>43</v>
      </c>
      <c r="J1207">
        <v>18.7</v>
      </c>
      <c r="K1207">
        <v>1300.8</v>
      </c>
      <c r="L1207">
        <v>1475000</v>
      </c>
      <c r="M1207" t="b">
        <v>0</v>
      </c>
      <c r="N1207" t="b">
        <v>0</v>
      </c>
      <c r="O1207">
        <v>5000</v>
      </c>
      <c r="P1207" t="b">
        <v>0</v>
      </c>
      <c r="Q1207" t="b">
        <v>0</v>
      </c>
      <c r="R1207" t="b">
        <v>0</v>
      </c>
      <c r="S1207" t="s">
        <v>96</v>
      </c>
      <c r="T1207" t="s">
        <v>104</v>
      </c>
    </row>
    <row r="1208" spans="1:21" x14ac:dyDescent="0.3">
      <c r="A1208" t="s">
        <v>1313</v>
      </c>
      <c r="B1208" s="1">
        <v>46203</v>
      </c>
      <c r="C1208" s="1">
        <v>46204</v>
      </c>
      <c r="D1208" s="1">
        <v>46206</v>
      </c>
      <c r="E1208" s="1">
        <v>46207</v>
      </c>
      <c r="F1208" t="s">
        <v>32</v>
      </c>
      <c r="G1208" t="s">
        <v>53</v>
      </c>
      <c r="H1208" t="s">
        <v>24</v>
      </c>
      <c r="I1208" t="s">
        <v>44</v>
      </c>
      <c r="J1208">
        <v>265.10000000000002</v>
      </c>
      <c r="K1208">
        <v>1020</v>
      </c>
      <c r="L1208">
        <v>3237000</v>
      </c>
      <c r="M1208" t="b">
        <v>0</v>
      </c>
      <c r="N1208" t="b">
        <v>0</v>
      </c>
      <c r="O1208">
        <v>1500</v>
      </c>
      <c r="P1208" t="b">
        <v>0</v>
      </c>
      <c r="Q1208" t="b">
        <v>0</v>
      </c>
      <c r="R1208" t="b">
        <v>0</v>
      </c>
      <c r="S1208" t="s">
        <v>101</v>
      </c>
      <c r="T1208" t="s">
        <v>97</v>
      </c>
      <c r="U1208">
        <v>1</v>
      </c>
    </row>
    <row r="1209" spans="1:21" x14ac:dyDescent="0.3">
      <c r="A1209" t="s">
        <v>1314</v>
      </c>
      <c r="B1209" s="1">
        <v>46095</v>
      </c>
      <c r="C1209" s="1">
        <v>46095</v>
      </c>
      <c r="D1209" s="1">
        <v>46097</v>
      </c>
      <c r="E1209" s="1">
        <v>46098</v>
      </c>
      <c r="F1209" t="s">
        <v>32</v>
      </c>
      <c r="G1209" t="s">
        <v>55</v>
      </c>
      <c r="H1209" t="s">
        <v>23</v>
      </c>
      <c r="I1209" t="s">
        <v>43</v>
      </c>
      <c r="J1209">
        <v>135.6</v>
      </c>
      <c r="K1209">
        <v>1397.4</v>
      </c>
      <c r="L1209">
        <v>2932000</v>
      </c>
      <c r="M1209" t="b">
        <v>0</v>
      </c>
      <c r="N1209" t="b">
        <v>0</v>
      </c>
      <c r="O1209">
        <v>5000</v>
      </c>
      <c r="P1209" t="b">
        <v>0</v>
      </c>
      <c r="Q1209" t="b">
        <v>0</v>
      </c>
      <c r="R1209" t="b">
        <v>0</v>
      </c>
      <c r="S1209" t="s">
        <v>101</v>
      </c>
      <c r="T1209" t="s">
        <v>118</v>
      </c>
      <c r="U1209">
        <v>1</v>
      </c>
    </row>
    <row r="1210" spans="1:21" x14ac:dyDescent="0.3">
      <c r="A1210" t="s">
        <v>1315</v>
      </c>
      <c r="B1210" s="1">
        <v>46048</v>
      </c>
      <c r="C1210" s="1">
        <v>46049</v>
      </c>
      <c r="D1210" s="1">
        <v>46052</v>
      </c>
      <c r="E1210" s="1">
        <v>46051</v>
      </c>
      <c r="F1210" t="s">
        <v>34</v>
      </c>
      <c r="G1210" t="s">
        <v>58</v>
      </c>
      <c r="H1210" t="s">
        <v>22</v>
      </c>
      <c r="I1210" t="s">
        <v>42</v>
      </c>
      <c r="J1210">
        <v>165.6</v>
      </c>
      <c r="K1210">
        <v>14993.3</v>
      </c>
      <c r="L1210">
        <v>7631000</v>
      </c>
      <c r="M1210" t="b">
        <v>0</v>
      </c>
      <c r="N1210" t="b">
        <v>0</v>
      </c>
      <c r="O1210">
        <v>16000</v>
      </c>
      <c r="P1210" t="b">
        <v>0</v>
      </c>
      <c r="Q1210" t="b">
        <v>0</v>
      </c>
      <c r="R1210" t="b">
        <v>0</v>
      </c>
      <c r="S1210" t="s">
        <v>96</v>
      </c>
      <c r="T1210" t="s">
        <v>104</v>
      </c>
    </row>
    <row r="1211" spans="1:21" x14ac:dyDescent="0.3">
      <c r="A1211" t="s">
        <v>1316</v>
      </c>
      <c r="B1211" s="1">
        <v>46143</v>
      </c>
      <c r="C1211" s="1">
        <v>46144</v>
      </c>
      <c r="D1211" s="1">
        <v>46146</v>
      </c>
      <c r="E1211" s="1">
        <v>46147</v>
      </c>
      <c r="F1211" t="s">
        <v>32</v>
      </c>
      <c r="G1211" t="s">
        <v>59</v>
      </c>
      <c r="H1211" t="s">
        <v>23</v>
      </c>
      <c r="I1211" t="s">
        <v>42</v>
      </c>
      <c r="J1211">
        <v>162.69999999999999</v>
      </c>
      <c r="K1211">
        <v>13384.5</v>
      </c>
      <c r="L1211">
        <v>7853000</v>
      </c>
      <c r="M1211" t="b">
        <v>0</v>
      </c>
      <c r="N1211" t="b">
        <v>0</v>
      </c>
      <c r="O1211">
        <v>16000</v>
      </c>
      <c r="P1211" t="b">
        <v>0</v>
      </c>
      <c r="Q1211" t="b">
        <v>0</v>
      </c>
      <c r="R1211" t="b">
        <v>0</v>
      </c>
      <c r="S1211" t="s">
        <v>101</v>
      </c>
      <c r="T1211" t="s">
        <v>102</v>
      </c>
      <c r="U1211">
        <v>1</v>
      </c>
    </row>
    <row r="1212" spans="1:21" x14ac:dyDescent="0.3">
      <c r="A1212" t="s">
        <v>1317</v>
      </c>
      <c r="B1212" s="1">
        <v>46089</v>
      </c>
      <c r="C1212" s="1">
        <v>46090</v>
      </c>
      <c r="D1212" s="1">
        <v>46091</v>
      </c>
      <c r="E1212" s="1">
        <v>46091</v>
      </c>
      <c r="F1212" t="s">
        <v>32</v>
      </c>
      <c r="G1212" t="s">
        <v>57</v>
      </c>
      <c r="H1212" t="s">
        <v>21</v>
      </c>
      <c r="I1212" t="s">
        <v>42</v>
      </c>
      <c r="J1212">
        <v>27.3</v>
      </c>
      <c r="K1212">
        <v>8130.6</v>
      </c>
      <c r="L1212">
        <v>3405000</v>
      </c>
      <c r="M1212" t="b">
        <v>0</v>
      </c>
      <c r="N1212" t="b">
        <v>0</v>
      </c>
      <c r="O1212">
        <v>16000</v>
      </c>
      <c r="P1212" t="b">
        <v>0</v>
      </c>
      <c r="Q1212" t="b">
        <v>0</v>
      </c>
      <c r="R1212" t="b">
        <v>0</v>
      </c>
      <c r="S1212" t="s">
        <v>96</v>
      </c>
      <c r="T1212" t="s">
        <v>118</v>
      </c>
    </row>
    <row r="1213" spans="1:21" x14ac:dyDescent="0.3">
      <c r="A1213" t="s">
        <v>1318</v>
      </c>
      <c r="B1213" s="1">
        <v>46157</v>
      </c>
      <c r="C1213" s="1">
        <v>46159</v>
      </c>
      <c r="D1213" s="1">
        <v>46163</v>
      </c>
      <c r="E1213" s="1">
        <v>46163</v>
      </c>
      <c r="F1213" t="s">
        <v>33</v>
      </c>
      <c r="G1213" t="s">
        <v>54</v>
      </c>
      <c r="H1213" t="s">
        <v>23</v>
      </c>
      <c r="I1213" t="s">
        <v>43</v>
      </c>
      <c r="J1213">
        <v>945.1</v>
      </c>
      <c r="K1213">
        <v>3718.8</v>
      </c>
      <c r="L1213">
        <v>15054000</v>
      </c>
      <c r="M1213" t="b">
        <v>0</v>
      </c>
      <c r="N1213" t="b">
        <v>0</v>
      </c>
      <c r="O1213">
        <v>5000</v>
      </c>
      <c r="P1213" t="b">
        <v>0</v>
      </c>
      <c r="Q1213" t="b">
        <v>0</v>
      </c>
      <c r="R1213" t="b">
        <v>0</v>
      </c>
      <c r="S1213" t="s">
        <v>96</v>
      </c>
      <c r="T1213" t="s">
        <v>102</v>
      </c>
    </row>
    <row r="1214" spans="1:21" x14ac:dyDescent="0.3">
      <c r="A1214" t="s">
        <v>1319</v>
      </c>
      <c r="B1214" s="1">
        <v>46200</v>
      </c>
      <c r="C1214" s="1">
        <v>46201</v>
      </c>
      <c r="D1214" s="1">
        <v>46204</v>
      </c>
      <c r="E1214" s="1">
        <v>46205</v>
      </c>
      <c r="F1214" t="s">
        <v>32</v>
      </c>
      <c r="G1214" t="s">
        <v>63</v>
      </c>
      <c r="H1214" t="s">
        <v>23</v>
      </c>
      <c r="I1214" t="s">
        <v>45</v>
      </c>
      <c r="J1214">
        <v>179.4</v>
      </c>
      <c r="K1214">
        <v>110.9</v>
      </c>
      <c r="L1214">
        <v>2074000</v>
      </c>
      <c r="M1214" t="b">
        <v>0</v>
      </c>
      <c r="N1214" t="b">
        <v>0</v>
      </c>
      <c r="O1214">
        <v>1000</v>
      </c>
      <c r="P1214" t="b">
        <v>0</v>
      </c>
      <c r="Q1214" t="b">
        <v>0</v>
      </c>
      <c r="R1214" t="b">
        <v>0</v>
      </c>
      <c r="S1214" t="s">
        <v>101</v>
      </c>
      <c r="T1214" t="s">
        <v>99</v>
      </c>
      <c r="U1214">
        <v>1</v>
      </c>
    </row>
    <row r="1215" spans="1:21" x14ac:dyDescent="0.3">
      <c r="A1215" t="s">
        <v>1320</v>
      </c>
      <c r="B1215" s="1">
        <v>46189</v>
      </c>
      <c r="C1215" s="1">
        <v>46189</v>
      </c>
      <c r="D1215" s="1">
        <v>46190</v>
      </c>
      <c r="E1215" s="1">
        <v>46191</v>
      </c>
      <c r="F1215" t="s">
        <v>34</v>
      </c>
      <c r="G1215" t="s">
        <v>61</v>
      </c>
      <c r="H1215" t="s">
        <v>24</v>
      </c>
      <c r="I1215" t="s">
        <v>44</v>
      </c>
      <c r="J1215">
        <v>31.6</v>
      </c>
      <c r="K1215">
        <v>1242.0999999999999</v>
      </c>
      <c r="L1215">
        <v>1347000</v>
      </c>
      <c r="M1215" t="b">
        <v>0</v>
      </c>
      <c r="N1215" t="b">
        <v>0</v>
      </c>
      <c r="O1215">
        <v>1500</v>
      </c>
      <c r="P1215" t="b">
        <v>0</v>
      </c>
      <c r="Q1215" t="b">
        <v>0</v>
      </c>
      <c r="R1215" t="b">
        <v>0</v>
      </c>
      <c r="S1215" t="s">
        <v>101</v>
      </c>
      <c r="T1215" t="s">
        <v>99</v>
      </c>
      <c r="U1215">
        <v>1</v>
      </c>
    </row>
    <row r="1216" spans="1:21" x14ac:dyDescent="0.3">
      <c r="A1216" t="s">
        <v>1321</v>
      </c>
      <c r="B1216" s="1">
        <v>46099</v>
      </c>
      <c r="C1216" s="1">
        <v>46100</v>
      </c>
      <c r="D1216" s="1">
        <v>46104</v>
      </c>
      <c r="E1216" s="1">
        <v>46104</v>
      </c>
      <c r="F1216" t="s">
        <v>34</v>
      </c>
      <c r="G1216" t="s">
        <v>56</v>
      </c>
      <c r="H1216" t="s">
        <v>21</v>
      </c>
      <c r="I1216" t="s">
        <v>42</v>
      </c>
      <c r="J1216">
        <v>865.3</v>
      </c>
      <c r="K1216">
        <v>11471.3</v>
      </c>
      <c r="L1216">
        <v>18729000</v>
      </c>
      <c r="M1216" t="b">
        <v>0</v>
      </c>
      <c r="N1216" t="b">
        <v>0</v>
      </c>
      <c r="O1216">
        <v>16000</v>
      </c>
      <c r="P1216" t="b">
        <v>0</v>
      </c>
      <c r="Q1216" t="b">
        <v>0</v>
      </c>
      <c r="R1216" t="b">
        <v>0</v>
      </c>
      <c r="S1216" t="s">
        <v>96</v>
      </c>
      <c r="T1216" t="s">
        <v>118</v>
      </c>
    </row>
    <row r="1217" spans="1:21" x14ac:dyDescent="0.3">
      <c r="A1217" t="s">
        <v>1322</v>
      </c>
      <c r="B1217" s="1">
        <v>46065</v>
      </c>
      <c r="C1217" s="1">
        <v>46066</v>
      </c>
      <c r="D1217" s="1">
        <v>46068</v>
      </c>
      <c r="E1217" s="1">
        <v>46068</v>
      </c>
      <c r="F1217" t="s">
        <v>34</v>
      </c>
      <c r="G1217" t="s">
        <v>58</v>
      </c>
      <c r="H1217" t="s">
        <v>24</v>
      </c>
      <c r="I1217" t="s">
        <v>43</v>
      </c>
      <c r="J1217">
        <v>154</v>
      </c>
      <c r="K1217">
        <v>3094.8</v>
      </c>
      <c r="L1217">
        <v>3519000</v>
      </c>
      <c r="M1217" t="b">
        <v>0</v>
      </c>
      <c r="N1217" t="b">
        <v>0</v>
      </c>
      <c r="O1217">
        <v>5000</v>
      </c>
      <c r="P1217" t="b">
        <v>0</v>
      </c>
      <c r="Q1217" t="b">
        <v>0</v>
      </c>
      <c r="R1217" t="b">
        <v>0</v>
      </c>
      <c r="S1217" t="s">
        <v>96</v>
      </c>
      <c r="T1217" t="s">
        <v>115</v>
      </c>
    </row>
    <row r="1218" spans="1:21" x14ac:dyDescent="0.3">
      <c r="A1218" t="s">
        <v>1323</v>
      </c>
      <c r="B1218" s="1">
        <v>46033</v>
      </c>
      <c r="C1218" s="1">
        <v>46035</v>
      </c>
      <c r="D1218" s="1">
        <v>46038</v>
      </c>
      <c r="E1218" s="1">
        <v>46038</v>
      </c>
      <c r="F1218" t="s">
        <v>34</v>
      </c>
      <c r="G1218" t="s">
        <v>54</v>
      </c>
      <c r="H1218" t="s">
        <v>23</v>
      </c>
      <c r="I1218" t="s">
        <v>44</v>
      </c>
      <c r="J1218">
        <v>464.1</v>
      </c>
      <c r="K1218">
        <v>898</v>
      </c>
      <c r="L1218">
        <v>5181000</v>
      </c>
      <c r="M1218" t="b">
        <v>0</v>
      </c>
      <c r="N1218" t="b">
        <v>0</v>
      </c>
      <c r="O1218">
        <v>1500</v>
      </c>
      <c r="P1218" t="b">
        <v>0</v>
      </c>
      <c r="Q1218" t="b">
        <v>0</v>
      </c>
      <c r="R1218" t="b">
        <v>0</v>
      </c>
      <c r="S1218" t="s">
        <v>96</v>
      </c>
      <c r="T1218" t="s">
        <v>104</v>
      </c>
    </row>
    <row r="1219" spans="1:21" x14ac:dyDescent="0.3">
      <c r="A1219" t="s">
        <v>1324</v>
      </c>
      <c r="B1219" s="1">
        <v>46072</v>
      </c>
      <c r="C1219" s="1">
        <v>46073</v>
      </c>
      <c r="D1219" s="1">
        <v>46076</v>
      </c>
      <c r="E1219" s="1">
        <v>46076</v>
      </c>
      <c r="F1219" t="s">
        <v>32</v>
      </c>
      <c r="G1219" t="s">
        <v>55</v>
      </c>
      <c r="H1219" t="s">
        <v>24</v>
      </c>
      <c r="I1219" t="s">
        <v>42</v>
      </c>
      <c r="J1219">
        <v>134.5</v>
      </c>
      <c r="K1219">
        <v>4333.6000000000004</v>
      </c>
      <c r="L1219">
        <v>4614000</v>
      </c>
      <c r="M1219" t="b">
        <v>0</v>
      </c>
      <c r="N1219" t="b">
        <v>0</v>
      </c>
      <c r="O1219">
        <v>16000</v>
      </c>
      <c r="P1219" t="b">
        <v>0</v>
      </c>
      <c r="Q1219" t="b">
        <v>0</v>
      </c>
      <c r="R1219" t="b">
        <v>0</v>
      </c>
      <c r="S1219" t="s">
        <v>96</v>
      </c>
      <c r="T1219" t="s">
        <v>115</v>
      </c>
    </row>
    <row r="1220" spans="1:21" x14ac:dyDescent="0.3">
      <c r="A1220" t="s">
        <v>1325</v>
      </c>
      <c r="B1220" s="1">
        <v>46024</v>
      </c>
      <c r="C1220" s="1">
        <v>46025</v>
      </c>
      <c r="D1220" s="1">
        <v>46028</v>
      </c>
      <c r="E1220" s="1">
        <v>46028</v>
      </c>
      <c r="F1220" t="s">
        <v>31</v>
      </c>
      <c r="G1220" t="s">
        <v>54</v>
      </c>
      <c r="H1220" t="s">
        <v>22</v>
      </c>
      <c r="I1220" t="s">
        <v>45</v>
      </c>
      <c r="J1220">
        <v>465.8</v>
      </c>
      <c r="K1220">
        <v>490.9</v>
      </c>
      <c r="L1220">
        <v>4471000</v>
      </c>
      <c r="M1220" t="b">
        <v>0</v>
      </c>
      <c r="N1220" t="b">
        <v>0</v>
      </c>
      <c r="O1220">
        <v>1000</v>
      </c>
      <c r="P1220" t="b">
        <v>0</v>
      </c>
      <c r="Q1220" t="b">
        <v>0</v>
      </c>
      <c r="R1220" t="b">
        <v>0</v>
      </c>
      <c r="S1220" t="s">
        <v>96</v>
      </c>
      <c r="T1220" t="s">
        <v>104</v>
      </c>
    </row>
    <row r="1221" spans="1:21" x14ac:dyDescent="0.3">
      <c r="A1221" t="s">
        <v>1326</v>
      </c>
      <c r="B1221" s="1">
        <v>46147</v>
      </c>
      <c r="C1221" s="1">
        <v>46148</v>
      </c>
      <c r="D1221" s="1">
        <v>46151</v>
      </c>
      <c r="E1221" s="1">
        <v>46151</v>
      </c>
      <c r="F1221" t="s">
        <v>31</v>
      </c>
      <c r="G1221" t="s">
        <v>53</v>
      </c>
      <c r="H1221" t="s">
        <v>20</v>
      </c>
      <c r="I1221" t="s">
        <v>45</v>
      </c>
      <c r="J1221">
        <v>306.5</v>
      </c>
      <c r="K1221">
        <v>713</v>
      </c>
      <c r="L1221">
        <v>3551000</v>
      </c>
      <c r="M1221" t="b">
        <v>0</v>
      </c>
      <c r="N1221" t="b">
        <v>0</v>
      </c>
      <c r="O1221">
        <v>1000</v>
      </c>
      <c r="P1221" t="b">
        <v>0</v>
      </c>
      <c r="Q1221" t="b">
        <v>0</v>
      </c>
      <c r="R1221" t="b">
        <v>0</v>
      </c>
      <c r="S1221" t="s">
        <v>96</v>
      </c>
      <c r="T1221" t="s">
        <v>102</v>
      </c>
    </row>
    <row r="1222" spans="1:21" x14ac:dyDescent="0.3">
      <c r="A1222" t="s">
        <v>1327</v>
      </c>
      <c r="B1222" s="1">
        <v>46145</v>
      </c>
      <c r="C1222" s="1">
        <v>46145</v>
      </c>
      <c r="D1222" s="1">
        <v>46147</v>
      </c>
      <c r="E1222" s="1">
        <v>46147</v>
      </c>
      <c r="F1222" t="s">
        <v>34</v>
      </c>
      <c r="G1222" t="s">
        <v>57</v>
      </c>
      <c r="H1222" t="s">
        <v>21</v>
      </c>
      <c r="I1222" t="s">
        <v>42</v>
      </c>
      <c r="J1222">
        <v>155.30000000000001</v>
      </c>
      <c r="K1222">
        <v>3611.2</v>
      </c>
      <c r="L1222">
        <v>4320000</v>
      </c>
      <c r="M1222" t="b">
        <v>0</v>
      </c>
      <c r="N1222" t="b">
        <v>0</v>
      </c>
      <c r="O1222">
        <v>16000</v>
      </c>
      <c r="P1222" t="b">
        <v>0</v>
      </c>
      <c r="Q1222" t="b">
        <v>0</v>
      </c>
      <c r="R1222" t="b">
        <v>0</v>
      </c>
      <c r="S1222" t="s">
        <v>96</v>
      </c>
      <c r="T1222" t="s">
        <v>102</v>
      </c>
    </row>
    <row r="1223" spans="1:21" x14ac:dyDescent="0.3">
      <c r="A1223" t="s">
        <v>1328</v>
      </c>
      <c r="B1223" s="1">
        <v>46175</v>
      </c>
      <c r="C1223" s="1">
        <v>46176</v>
      </c>
      <c r="D1223" s="1">
        <v>46179</v>
      </c>
      <c r="E1223" s="1">
        <v>46179</v>
      </c>
      <c r="F1223" t="s">
        <v>31</v>
      </c>
      <c r="G1223" t="s">
        <v>52</v>
      </c>
      <c r="H1223" t="s">
        <v>23</v>
      </c>
      <c r="I1223" t="s">
        <v>45</v>
      </c>
      <c r="J1223">
        <v>306.8</v>
      </c>
      <c r="K1223">
        <v>364.3</v>
      </c>
      <c r="L1223">
        <v>3159000</v>
      </c>
      <c r="M1223" t="b">
        <v>0</v>
      </c>
      <c r="N1223" t="b">
        <v>0</v>
      </c>
      <c r="O1223">
        <v>1000</v>
      </c>
      <c r="P1223" t="b">
        <v>0</v>
      </c>
      <c r="Q1223" t="b">
        <v>0</v>
      </c>
      <c r="R1223" t="b">
        <v>0</v>
      </c>
      <c r="S1223" t="s">
        <v>96</v>
      </c>
      <c r="T1223" t="s">
        <v>99</v>
      </c>
    </row>
    <row r="1224" spans="1:21" x14ac:dyDescent="0.3">
      <c r="A1224" t="s">
        <v>1329</v>
      </c>
      <c r="B1224" s="1">
        <v>46107</v>
      </c>
      <c r="C1224" s="1">
        <v>46108</v>
      </c>
      <c r="D1224" s="1">
        <v>46112</v>
      </c>
      <c r="E1224" s="1">
        <v>46114</v>
      </c>
      <c r="F1224" t="s">
        <v>33</v>
      </c>
      <c r="G1224" t="s">
        <v>52</v>
      </c>
      <c r="H1224" t="s">
        <v>22</v>
      </c>
      <c r="I1224" t="s">
        <v>42</v>
      </c>
      <c r="J1224">
        <v>613.5</v>
      </c>
      <c r="K1224">
        <v>13768.4</v>
      </c>
      <c r="L1224">
        <v>15032000</v>
      </c>
      <c r="M1224" t="b">
        <v>0</v>
      </c>
      <c r="N1224" t="b">
        <v>0</v>
      </c>
      <c r="O1224">
        <v>16000</v>
      </c>
      <c r="P1224" t="b">
        <v>0</v>
      </c>
      <c r="Q1224" t="b">
        <v>0</v>
      </c>
      <c r="R1224" t="b">
        <v>0</v>
      </c>
      <c r="S1224" t="s">
        <v>101</v>
      </c>
      <c r="T1224" t="s">
        <v>118</v>
      </c>
      <c r="U1224">
        <v>2</v>
      </c>
    </row>
    <row r="1225" spans="1:21" x14ac:dyDescent="0.3">
      <c r="A1225" t="s">
        <v>1330</v>
      </c>
      <c r="B1225" s="1">
        <v>46073</v>
      </c>
      <c r="C1225" s="1">
        <v>46074</v>
      </c>
      <c r="D1225" s="1">
        <v>46077</v>
      </c>
      <c r="E1225" s="1">
        <v>46078</v>
      </c>
      <c r="F1225" t="s">
        <v>31</v>
      </c>
      <c r="G1225" t="s">
        <v>59</v>
      </c>
      <c r="H1225" t="s">
        <v>24</v>
      </c>
      <c r="I1225" t="s">
        <v>44</v>
      </c>
      <c r="J1225">
        <v>312.5</v>
      </c>
      <c r="K1225">
        <v>952.8</v>
      </c>
      <c r="L1225">
        <v>3230000</v>
      </c>
      <c r="M1225" t="b">
        <v>0</v>
      </c>
      <c r="N1225" t="b">
        <v>0</v>
      </c>
      <c r="O1225">
        <v>1500</v>
      </c>
      <c r="P1225" t="b">
        <v>0</v>
      </c>
      <c r="Q1225" t="b">
        <v>0</v>
      </c>
      <c r="R1225" t="b">
        <v>0</v>
      </c>
      <c r="S1225" t="s">
        <v>101</v>
      </c>
      <c r="T1225" t="s">
        <v>115</v>
      </c>
      <c r="U1225">
        <v>1</v>
      </c>
    </row>
    <row r="1226" spans="1:21" x14ac:dyDescent="0.3">
      <c r="A1226" t="s">
        <v>1331</v>
      </c>
      <c r="B1226" s="1">
        <v>46198</v>
      </c>
      <c r="C1226" s="1">
        <v>46198</v>
      </c>
      <c r="D1226" s="1">
        <v>46200</v>
      </c>
      <c r="E1226" s="1">
        <v>46200</v>
      </c>
      <c r="F1226" t="s">
        <v>34</v>
      </c>
      <c r="G1226" t="s">
        <v>58</v>
      </c>
      <c r="H1226" t="s">
        <v>20</v>
      </c>
      <c r="I1226" t="s">
        <v>43</v>
      </c>
      <c r="J1226">
        <v>148.6</v>
      </c>
      <c r="K1226">
        <v>6785.9</v>
      </c>
      <c r="L1226">
        <v>4875000</v>
      </c>
      <c r="M1226" t="b">
        <v>0</v>
      </c>
      <c r="N1226" t="b">
        <v>0</v>
      </c>
      <c r="O1226">
        <v>5000</v>
      </c>
      <c r="P1226" t="b">
        <v>1</v>
      </c>
      <c r="Q1226" t="b">
        <v>0</v>
      </c>
      <c r="R1226" t="b">
        <v>1</v>
      </c>
      <c r="S1226" t="s">
        <v>96</v>
      </c>
      <c r="T1226" t="s">
        <v>99</v>
      </c>
    </row>
    <row r="1227" spans="1:21" x14ac:dyDescent="0.3">
      <c r="A1227" t="s">
        <v>1332</v>
      </c>
      <c r="B1227" s="1">
        <v>46126</v>
      </c>
      <c r="C1227" s="1">
        <v>46127</v>
      </c>
      <c r="D1227" s="1">
        <v>46130</v>
      </c>
      <c r="E1227" s="1">
        <v>46132</v>
      </c>
      <c r="F1227" t="s">
        <v>32</v>
      </c>
      <c r="G1227" t="s">
        <v>54</v>
      </c>
      <c r="H1227" t="s">
        <v>21</v>
      </c>
      <c r="I1227" t="s">
        <v>43</v>
      </c>
      <c r="J1227">
        <v>553.70000000000005</v>
      </c>
      <c r="K1227">
        <v>2943.8</v>
      </c>
      <c r="L1227">
        <v>8645000</v>
      </c>
      <c r="M1227" t="b">
        <v>0</v>
      </c>
      <c r="N1227" t="b">
        <v>0</v>
      </c>
      <c r="O1227">
        <v>5000</v>
      </c>
      <c r="P1227" t="b">
        <v>0</v>
      </c>
      <c r="Q1227" t="b">
        <v>0</v>
      </c>
      <c r="R1227" t="b">
        <v>0</v>
      </c>
      <c r="S1227" t="s">
        <v>101</v>
      </c>
      <c r="T1227" t="s">
        <v>112</v>
      </c>
      <c r="U1227">
        <v>2</v>
      </c>
    </row>
    <row r="1228" spans="1:21" x14ac:dyDescent="0.3">
      <c r="A1228" t="s">
        <v>1333</v>
      </c>
      <c r="B1228" s="1">
        <v>46198</v>
      </c>
      <c r="C1228" s="1">
        <v>46199</v>
      </c>
      <c r="D1228" s="1">
        <v>46201</v>
      </c>
      <c r="E1228" s="1">
        <v>46201</v>
      </c>
      <c r="F1228" t="s">
        <v>34</v>
      </c>
      <c r="G1228" t="s">
        <v>52</v>
      </c>
      <c r="H1228" t="s">
        <v>21</v>
      </c>
      <c r="I1228" t="s">
        <v>43</v>
      </c>
      <c r="J1228">
        <v>276.39999999999998</v>
      </c>
      <c r="K1228">
        <v>4212.8999999999996</v>
      </c>
      <c r="L1228">
        <v>5572000</v>
      </c>
      <c r="M1228" t="b">
        <v>0</v>
      </c>
      <c r="N1228" t="b">
        <v>0</v>
      </c>
      <c r="O1228">
        <v>5000</v>
      </c>
      <c r="P1228" t="b">
        <v>0</v>
      </c>
      <c r="Q1228" t="b">
        <v>0</v>
      </c>
      <c r="R1228" t="b">
        <v>0</v>
      </c>
      <c r="S1228" t="s">
        <v>96</v>
      </c>
      <c r="T1228" t="s">
        <v>99</v>
      </c>
    </row>
    <row r="1229" spans="1:21" x14ac:dyDescent="0.3">
      <c r="A1229" t="s">
        <v>1334</v>
      </c>
      <c r="B1229" s="1">
        <v>46102</v>
      </c>
      <c r="C1229" s="1">
        <v>46102</v>
      </c>
      <c r="D1229" s="1">
        <v>46106</v>
      </c>
      <c r="E1229" s="1">
        <v>46106</v>
      </c>
      <c r="F1229" t="s">
        <v>33</v>
      </c>
      <c r="G1229" t="s">
        <v>53</v>
      </c>
      <c r="H1229" t="s">
        <v>23</v>
      </c>
      <c r="I1229" t="s">
        <v>44</v>
      </c>
      <c r="J1229">
        <v>497.2</v>
      </c>
      <c r="K1229">
        <v>680.4</v>
      </c>
      <c r="L1229">
        <v>5754000</v>
      </c>
      <c r="M1229" t="b">
        <v>0</v>
      </c>
      <c r="N1229" t="b">
        <v>0</v>
      </c>
      <c r="O1229">
        <v>1500</v>
      </c>
      <c r="P1229" t="b">
        <v>0</v>
      </c>
      <c r="Q1229" t="b">
        <v>0</v>
      </c>
      <c r="R1229" t="b">
        <v>0</v>
      </c>
      <c r="S1229" t="s">
        <v>96</v>
      </c>
      <c r="T1229" t="s">
        <v>118</v>
      </c>
    </row>
    <row r="1230" spans="1:21" x14ac:dyDescent="0.3">
      <c r="A1230" t="s">
        <v>1335</v>
      </c>
      <c r="B1230" s="1">
        <v>46071</v>
      </c>
      <c r="C1230" s="1">
        <v>46072</v>
      </c>
      <c r="D1230" s="1">
        <v>46074</v>
      </c>
      <c r="F1230" t="s">
        <v>34</v>
      </c>
      <c r="G1230" t="s">
        <v>58</v>
      </c>
      <c r="H1230" t="s">
        <v>20</v>
      </c>
      <c r="I1230" t="s">
        <v>43</v>
      </c>
      <c r="J1230">
        <v>154.5</v>
      </c>
      <c r="K1230">
        <v>3391.1</v>
      </c>
      <c r="L1230">
        <v>3769000</v>
      </c>
      <c r="M1230" t="b">
        <v>0</v>
      </c>
      <c r="N1230" t="b">
        <v>0</v>
      </c>
      <c r="O1230">
        <v>5000</v>
      </c>
      <c r="P1230" t="b">
        <v>0</v>
      </c>
      <c r="Q1230" t="b">
        <v>0</v>
      </c>
      <c r="R1230" t="b">
        <v>0</v>
      </c>
      <c r="S1230" t="s">
        <v>203</v>
      </c>
      <c r="T1230" t="s">
        <v>115</v>
      </c>
    </row>
    <row r="1231" spans="1:21" x14ac:dyDescent="0.3">
      <c r="A1231" t="s">
        <v>1336</v>
      </c>
      <c r="B1231" s="1">
        <v>46059</v>
      </c>
      <c r="C1231" s="1">
        <v>46060</v>
      </c>
      <c r="D1231" s="1">
        <v>46063</v>
      </c>
      <c r="F1231" t="s">
        <v>34</v>
      </c>
      <c r="G1231" t="s">
        <v>53</v>
      </c>
      <c r="H1231" t="s">
        <v>24</v>
      </c>
      <c r="I1231" t="s">
        <v>45</v>
      </c>
      <c r="J1231">
        <v>317</v>
      </c>
      <c r="K1231">
        <v>803.3</v>
      </c>
      <c r="L1231">
        <v>3445000</v>
      </c>
      <c r="M1231" t="b">
        <v>0</v>
      </c>
      <c r="N1231" t="b">
        <v>0</v>
      </c>
      <c r="O1231">
        <v>1000</v>
      </c>
      <c r="P1231" t="b">
        <v>0</v>
      </c>
      <c r="Q1231" t="b">
        <v>0</v>
      </c>
      <c r="R1231" t="b">
        <v>0</v>
      </c>
      <c r="S1231" t="s">
        <v>203</v>
      </c>
      <c r="T1231" t="s">
        <v>115</v>
      </c>
    </row>
    <row r="1232" spans="1:21" x14ac:dyDescent="0.3">
      <c r="A1232" t="s">
        <v>1337</v>
      </c>
      <c r="B1232" s="1">
        <v>46116</v>
      </c>
      <c r="C1232" s="1">
        <v>46116</v>
      </c>
      <c r="D1232" s="1">
        <v>46120</v>
      </c>
      <c r="E1232" s="1">
        <v>46120</v>
      </c>
      <c r="F1232" t="s">
        <v>31</v>
      </c>
      <c r="G1232" t="s">
        <v>60</v>
      </c>
      <c r="H1232" t="s">
        <v>20</v>
      </c>
      <c r="I1232" t="s">
        <v>42</v>
      </c>
      <c r="J1232">
        <v>641.9</v>
      </c>
      <c r="K1232">
        <v>3249.2</v>
      </c>
      <c r="L1232">
        <v>13744000</v>
      </c>
      <c r="M1232" t="b">
        <v>0</v>
      </c>
      <c r="N1232" t="b">
        <v>0</v>
      </c>
      <c r="O1232">
        <v>16000</v>
      </c>
      <c r="P1232" t="b">
        <v>0</v>
      </c>
      <c r="Q1232" t="b">
        <v>0</v>
      </c>
      <c r="R1232" t="b">
        <v>0</v>
      </c>
      <c r="S1232" t="s">
        <v>96</v>
      </c>
      <c r="T1232" t="s">
        <v>112</v>
      </c>
    </row>
    <row r="1233" spans="1:21" x14ac:dyDescent="0.3">
      <c r="A1233" t="s">
        <v>1338</v>
      </c>
      <c r="B1233" s="1">
        <v>46127</v>
      </c>
      <c r="C1233" s="1">
        <v>46127</v>
      </c>
      <c r="D1233" s="1">
        <v>46130</v>
      </c>
      <c r="E1233" s="1">
        <v>46131</v>
      </c>
      <c r="F1233" t="s">
        <v>34</v>
      </c>
      <c r="G1233" t="s">
        <v>60</v>
      </c>
      <c r="H1233" t="s">
        <v>20</v>
      </c>
      <c r="I1233" t="s">
        <v>43</v>
      </c>
      <c r="J1233">
        <v>570.1</v>
      </c>
      <c r="K1233">
        <v>975.3</v>
      </c>
      <c r="L1233">
        <v>9000000</v>
      </c>
      <c r="M1233" t="b">
        <v>0</v>
      </c>
      <c r="N1233" t="b">
        <v>0</v>
      </c>
      <c r="O1233">
        <v>5000</v>
      </c>
      <c r="P1233" t="b">
        <v>0</v>
      </c>
      <c r="Q1233" t="b">
        <v>0</v>
      </c>
      <c r="R1233" t="b">
        <v>0</v>
      </c>
      <c r="S1233" t="s">
        <v>101</v>
      </c>
      <c r="T1233" t="s">
        <v>112</v>
      </c>
      <c r="U1233">
        <v>1</v>
      </c>
    </row>
    <row r="1234" spans="1:21" x14ac:dyDescent="0.3">
      <c r="A1234" t="s">
        <v>1339</v>
      </c>
      <c r="B1234" s="1">
        <v>46162</v>
      </c>
      <c r="C1234" s="1">
        <v>46163</v>
      </c>
      <c r="D1234" s="1">
        <v>46165</v>
      </c>
      <c r="E1234" s="1">
        <v>46164</v>
      </c>
      <c r="F1234" t="s">
        <v>34</v>
      </c>
      <c r="G1234" t="s">
        <v>52</v>
      </c>
      <c r="H1234" t="s">
        <v>21</v>
      </c>
      <c r="I1234" t="s">
        <v>43</v>
      </c>
      <c r="J1234">
        <v>283.5</v>
      </c>
      <c r="K1234">
        <v>1775.5</v>
      </c>
      <c r="L1234">
        <v>5292000</v>
      </c>
      <c r="M1234" t="b">
        <v>0</v>
      </c>
      <c r="N1234" t="b">
        <v>0</v>
      </c>
      <c r="O1234">
        <v>5000</v>
      </c>
      <c r="P1234" t="b">
        <v>0</v>
      </c>
      <c r="Q1234" t="b">
        <v>0</v>
      </c>
      <c r="R1234" t="b">
        <v>0</v>
      </c>
      <c r="S1234" t="s">
        <v>96</v>
      </c>
      <c r="T1234" t="s">
        <v>102</v>
      </c>
    </row>
    <row r="1235" spans="1:21" x14ac:dyDescent="0.3">
      <c r="A1235" t="s">
        <v>1340</v>
      </c>
      <c r="B1235" s="1">
        <v>46113</v>
      </c>
      <c r="C1235" s="1">
        <v>46114</v>
      </c>
      <c r="D1235" s="1">
        <v>46117</v>
      </c>
      <c r="E1235" s="1">
        <v>46118</v>
      </c>
      <c r="F1235" t="s">
        <v>32</v>
      </c>
      <c r="G1235" t="s">
        <v>54</v>
      </c>
      <c r="H1235" t="s">
        <v>24</v>
      </c>
      <c r="I1235" t="s">
        <v>44</v>
      </c>
      <c r="J1235">
        <v>546.29999999999995</v>
      </c>
      <c r="K1235">
        <v>1135.0999999999999</v>
      </c>
      <c r="L1235">
        <v>6419000</v>
      </c>
      <c r="M1235" t="b">
        <v>0</v>
      </c>
      <c r="N1235" t="b">
        <v>0</v>
      </c>
      <c r="O1235">
        <v>1500</v>
      </c>
      <c r="P1235" t="b">
        <v>0</v>
      </c>
      <c r="Q1235" t="b">
        <v>0</v>
      </c>
      <c r="R1235" t="b">
        <v>0</v>
      </c>
      <c r="S1235" t="s">
        <v>101</v>
      </c>
      <c r="T1235" t="s">
        <v>112</v>
      </c>
      <c r="U1235">
        <v>1</v>
      </c>
    </row>
    <row r="1236" spans="1:21" x14ac:dyDescent="0.3">
      <c r="A1236" t="s">
        <v>1341</v>
      </c>
      <c r="B1236" s="1">
        <v>46082</v>
      </c>
      <c r="C1236" s="1">
        <v>46083</v>
      </c>
      <c r="D1236" s="1">
        <v>46086</v>
      </c>
      <c r="E1236" s="1">
        <v>46086</v>
      </c>
      <c r="F1236" t="s">
        <v>34</v>
      </c>
      <c r="G1236" t="s">
        <v>63</v>
      </c>
      <c r="H1236" t="s">
        <v>21</v>
      </c>
      <c r="I1236" t="s">
        <v>45</v>
      </c>
      <c r="J1236">
        <v>306.10000000000002</v>
      </c>
      <c r="K1236">
        <v>506.6</v>
      </c>
      <c r="L1236">
        <v>3141000</v>
      </c>
      <c r="M1236" t="b">
        <v>0</v>
      </c>
      <c r="N1236" t="b">
        <v>0</v>
      </c>
      <c r="O1236">
        <v>1000</v>
      </c>
      <c r="P1236" t="b">
        <v>0</v>
      </c>
      <c r="Q1236" t="b">
        <v>0</v>
      </c>
      <c r="R1236" t="b">
        <v>0</v>
      </c>
      <c r="S1236" t="s">
        <v>96</v>
      </c>
      <c r="T1236" t="s">
        <v>118</v>
      </c>
    </row>
    <row r="1237" spans="1:21" x14ac:dyDescent="0.3">
      <c r="A1237" t="s">
        <v>1342</v>
      </c>
      <c r="B1237" s="1">
        <v>46115</v>
      </c>
      <c r="C1237" s="1">
        <v>46116</v>
      </c>
      <c r="D1237" s="1">
        <v>46118</v>
      </c>
      <c r="E1237" s="1">
        <v>46118</v>
      </c>
      <c r="F1237" t="s">
        <v>32</v>
      </c>
      <c r="G1237" t="s">
        <v>63</v>
      </c>
      <c r="H1237" t="s">
        <v>21</v>
      </c>
      <c r="I1237" t="s">
        <v>42</v>
      </c>
      <c r="J1237">
        <v>185.7</v>
      </c>
      <c r="K1237">
        <v>12543.5</v>
      </c>
      <c r="L1237">
        <v>8421000</v>
      </c>
      <c r="M1237" t="b">
        <v>0</v>
      </c>
      <c r="N1237" t="b">
        <v>0</v>
      </c>
      <c r="O1237">
        <v>16000</v>
      </c>
      <c r="P1237" t="b">
        <v>0</v>
      </c>
      <c r="Q1237" t="b">
        <v>0</v>
      </c>
      <c r="R1237" t="b">
        <v>0</v>
      </c>
      <c r="S1237" t="s">
        <v>96</v>
      </c>
      <c r="T1237" t="s">
        <v>112</v>
      </c>
    </row>
    <row r="1238" spans="1:21" x14ac:dyDescent="0.3">
      <c r="A1238" t="s">
        <v>1343</v>
      </c>
      <c r="B1238" s="1">
        <v>46098</v>
      </c>
      <c r="C1238" s="1">
        <v>46098</v>
      </c>
      <c r="D1238" s="1">
        <v>46100</v>
      </c>
      <c r="E1238" s="1">
        <v>46099</v>
      </c>
      <c r="F1238" t="s">
        <v>32</v>
      </c>
      <c r="G1238" t="s">
        <v>61</v>
      </c>
      <c r="H1238" t="s">
        <v>20</v>
      </c>
      <c r="I1238" t="s">
        <v>45</v>
      </c>
      <c r="J1238">
        <v>153.19999999999999</v>
      </c>
      <c r="K1238">
        <v>479.9</v>
      </c>
      <c r="L1238">
        <v>2165000</v>
      </c>
      <c r="M1238" t="b">
        <v>0</v>
      </c>
      <c r="N1238" t="b">
        <v>0</v>
      </c>
      <c r="O1238">
        <v>1000</v>
      </c>
      <c r="P1238" t="b">
        <v>0</v>
      </c>
      <c r="Q1238" t="b">
        <v>0</v>
      </c>
      <c r="R1238" t="b">
        <v>0</v>
      </c>
      <c r="S1238" t="s">
        <v>96</v>
      </c>
      <c r="T1238" t="s">
        <v>118</v>
      </c>
    </row>
    <row r="1239" spans="1:21" x14ac:dyDescent="0.3">
      <c r="A1239" t="s">
        <v>1344</v>
      </c>
      <c r="B1239" s="1">
        <v>46038</v>
      </c>
      <c r="C1239" s="1">
        <v>46038</v>
      </c>
      <c r="D1239" s="1">
        <v>46042</v>
      </c>
      <c r="E1239" s="1">
        <v>46042</v>
      </c>
      <c r="F1239" t="s">
        <v>34</v>
      </c>
      <c r="G1239" t="s">
        <v>62</v>
      </c>
      <c r="H1239" t="s">
        <v>21</v>
      </c>
      <c r="I1239" t="s">
        <v>44</v>
      </c>
      <c r="J1239">
        <v>768.2</v>
      </c>
      <c r="K1239">
        <v>909</v>
      </c>
      <c r="L1239">
        <v>7671000</v>
      </c>
      <c r="M1239" t="b">
        <v>0</v>
      </c>
      <c r="N1239" t="b">
        <v>0</v>
      </c>
      <c r="O1239">
        <v>1500</v>
      </c>
      <c r="P1239" t="b">
        <v>0</v>
      </c>
      <c r="Q1239" t="b">
        <v>0</v>
      </c>
      <c r="R1239" t="b">
        <v>0</v>
      </c>
      <c r="S1239" t="s">
        <v>96</v>
      </c>
      <c r="T1239" t="s">
        <v>104</v>
      </c>
    </row>
    <row r="1240" spans="1:21" x14ac:dyDescent="0.3">
      <c r="A1240" t="s">
        <v>1345</v>
      </c>
      <c r="B1240" s="1">
        <v>46186</v>
      </c>
      <c r="C1240" s="1">
        <v>46187</v>
      </c>
      <c r="D1240" s="1">
        <v>46189</v>
      </c>
      <c r="E1240" s="1">
        <v>46189</v>
      </c>
      <c r="F1240" t="s">
        <v>31</v>
      </c>
      <c r="G1240" t="s">
        <v>61</v>
      </c>
      <c r="H1240" t="s">
        <v>22</v>
      </c>
      <c r="I1240" t="s">
        <v>43</v>
      </c>
      <c r="J1240">
        <v>53.6</v>
      </c>
      <c r="K1240">
        <v>1037.4000000000001</v>
      </c>
      <c r="L1240">
        <v>1379000</v>
      </c>
      <c r="M1240" t="b">
        <v>0</v>
      </c>
      <c r="N1240" t="b">
        <v>0</v>
      </c>
      <c r="O1240">
        <v>5000</v>
      </c>
      <c r="P1240" t="b">
        <v>0</v>
      </c>
      <c r="Q1240" t="b">
        <v>0</v>
      </c>
      <c r="R1240" t="b">
        <v>0</v>
      </c>
      <c r="S1240" t="s">
        <v>96</v>
      </c>
      <c r="T1240" t="s">
        <v>99</v>
      </c>
    </row>
    <row r="1241" spans="1:21" x14ac:dyDescent="0.3">
      <c r="A1241" t="s">
        <v>1346</v>
      </c>
      <c r="B1241" s="1">
        <v>46098</v>
      </c>
      <c r="C1241" s="1">
        <v>46100</v>
      </c>
      <c r="D1241" s="1">
        <v>46104</v>
      </c>
      <c r="E1241" s="1">
        <v>46105</v>
      </c>
      <c r="F1241" t="s">
        <v>33</v>
      </c>
      <c r="G1241" t="s">
        <v>55</v>
      </c>
      <c r="H1241" t="s">
        <v>20</v>
      </c>
      <c r="I1241" t="s">
        <v>43</v>
      </c>
      <c r="J1241">
        <v>554.70000000000005</v>
      </c>
      <c r="K1241">
        <v>888</v>
      </c>
      <c r="L1241">
        <v>7065000</v>
      </c>
      <c r="M1241" t="b">
        <v>0</v>
      </c>
      <c r="N1241" t="b">
        <v>0</v>
      </c>
      <c r="O1241">
        <v>5000</v>
      </c>
      <c r="P1241" t="b">
        <v>0</v>
      </c>
      <c r="Q1241" t="b">
        <v>0</v>
      </c>
      <c r="R1241" t="b">
        <v>0</v>
      </c>
      <c r="S1241" t="s">
        <v>101</v>
      </c>
      <c r="T1241" t="s">
        <v>118</v>
      </c>
      <c r="U1241">
        <v>1</v>
      </c>
    </row>
    <row r="1242" spans="1:21" x14ac:dyDescent="0.3">
      <c r="A1242" t="s">
        <v>1347</v>
      </c>
      <c r="B1242" s="1">
        <v>46069</v>
      </c>
      <c r="C1242" s="1">
        <v>46069</v>
      </c>
      <c r="D1242" s="1">
        <v>46071</v>
      </c>
      <c r="E1242" s="1">
        <v>46071</v>
      </c>
      <c r="F1242" t="s">
        <v>34</v>
      </c>
      <c r="G1242" t="s">
        <v>52</v>
      </c>
      <c r="H1242" t="s">
        <v>21</v>
      </c>
      <c r="I1242" t="s">
        <v>43</v>
      </c>
      <c r="J1242">
        <v>277.60000000000002</v>
      </c>
      <c r="K1242">
        <v>1534</v>
      </c>
      <c r="L1242">
        <v>4706000</v>
      </c>
      <c r="M1242" t="b">
        <v>0</v>
      </c>
      <c r="N1242" t="b">
        <v>0</v>
      </c>
      <c r="O1242">
        <v>5000</v>
      </c>
      <c r="P1242" t="b">
        <v>0</v>
      </c>
      <c r="Q1242" t="b">
        <v>0</v>
      </c>
      <c r="R1242" t="b">
        <v>0</v>
      </c>
      <c r="S1242" t="s">
        <v>96</v>
      </c>
      <c r="T1242" t="s">
        <v>115</v>
      </c>
    </row>
    <row r="1243" spans="1:21" x14ac:dyDescent="0.3">
      <c r="A1243" t="s">
        <v>1348</v>
      </c>
      <c r="B1243" s="1">
        <v>46077</v>
      </c>
      <c r="C1243" s="1">
        <v>46077</v>
      </c>
      <c r="D1243" s="1">
        <v>46079</v>
      </c>
      <c r="E1243" s="1">
        <v>46079</v>
      </c>
      <c r="F1243" t="s">
        <v>34</v>
      </c>
      <c r="G1243" t="s">
        <v>57</v>
      </c>
      <c r="H1243" t="s">
        <v>24</v>
      </c>
      <c r="I1243" t="s">
        <v>45</v>
      </c>
      <c r="J1243">
        <v>147.4</v>
      </c>
      <c r="K1243">
        <v>887.1</v>
      </c>
      <c r="L1243">
        <v>2235000</v>
      </c>
      <c r="M1243" t="b">
        <v>0</v>
      </c>
      <c r="N1243" t="b">
        <v>0</v>
      </c>
      <c r="O1243">
        <v>1000</v>
      </c>
      <c r="P1243" t="b">
        <v>0</v>
      </c>
      <c r="Q1243" t="b">
        <v>0</v>
      </c>
      <c r="R1243" t="b">
        <v>0</v>
      </c>
      <c r="S1243" t="s">
        <v>96</v>
      </c>
      <c r="T1243" t="s">
        <v>115</v>
      </c>
    </row>
    <row r="1244" spans="1:21" x14ac:dyDescent="0.3">
      <c r="A1244" t="s">
        <v>1349</v>
      </c>
      <c r="B1244" s="1">
        <v>46177</v>
      </c>
      <c r="C1244" s="1">
        <v>46178</v>
      </c>
      <c r="D1244" s="1">
        <v>46181</v>
      </c>
      <c r="E1244" s="1">
        <v>46181</v>
      </c>
      <c r="F1244" t="s">
        <v>34</v>
      </c>
      <c r="G1244" t="s">
        <v>59</v>
      </c>
      <c r="H1244" t="s">
        <v>24</v>
      </c>
      <c r="I1244" t="s">
        <v>42</v>
      </c>
      <c r="J1244">
        <v>348.8</v>
      </c>
      <c r="K1244">
        <v>14662.2</v>
      </c>
      <c r="L1244">
        <v>11518000</v>
      </c>
      <c r="M1244" t="b">
        <v>0</v>
      </c>
      <c r="N1244" t="b">
        <v>0</v>
      </c>
      <c r="O1244">
        <v>16000</v>
      </c>
      <c r="P1244" t="b">
        <v>0</v>
      </c>
      <c r="Q1244" t="b">
        <v>0</v>
      </c>
      <c r="R1244" t="b">
        <v>0</v>
      </c>
      <c r="S1244" t="s">
        <v>96</v>
      </c>
      <c r="T1244" t="s">
        <v>99</v>
      </c>
    </row>
    <row r="1245" spans="1:21" x14ac:dyDescent="0.3">
      <c r="A1245" t="s">
        <v>1350</v>
      </c>
      <c r="B1245" s="1">
        <v>46101</v>
      </c>
      <c r="C1245" s="1">
        <v>46102</v>
      </c>
      <c r="D1245" s="1">
        <v>46106</v>
      </c>
      <c r="E1245" s="1">
        <v>46106</v>
      </c>
      <c r="F1245" t="s">
        <v>31</v>
      </c>
      <c r="G1245" t="s">
        <v>59</v>
      </c>
      <c r="H1245" t="s">
        <v>22</v>
      </c>
      <c r="I1245" t="s">
        <v>43</v>
      </c>
      <c r="J1245">
        <v>306.8</v>
      </c>
      <c r="K1245">
        <v>3461.4</v>
      </c>
      <c r="L1245">
        <v>6470000</v>
      </c>
      <c r="M1245" t="b">
        <v>0</v>
      </c>
      <c r="N1245" t="b">
        <v>0</v>
      </c>
      <c r="O1245">
        <v>5000</v>
      </c>
      <c r="P1245" t="b">
        <v>0</v>
      </c>
      <c r="Q1245" t="b">
        <v>0</v>
      </c>
      <c r="R1245" t="b">
        <v>0</v>
      </c>
      <c r="S1245" t="s">
        <v>96</v>
      </c>
      <c r="T1245" t="s">
        <v>118</v>
      </c>
    </row>
    <row r="1246" spans="1:21" x14ac:dyDescent="0.3">
      <c r="A1246" t="s">
        <v>1351</v>
      </c>
      <c r="B1246" s="1">
        <v>46144</v>
      </c>
      <c r="C1246" s="1">
        <v>46146</v>
      </c>
      <c r="D1246" s="1">
        <v>46149</v>
      </c>
      <c r="E1246" s="1">
        <v>46150</v>
      </c>
      <c r="F1246" t="s">
        <v>34</v>
      </c>
      <c r="G1246" t="s">
        <v>59</v>
      </c>
      <c r="H1246" t="s">
        <v>21</v>
      </c>
      <c r="I1246" t="s">
        <v>44</v>
      </c>
      <c r="J1246">
        <v>309.10000000000002</v>
      </c>
      <c r="K1246">
        <v>1345.5</v>
      </c>
      <c r="L1246">
        <v>4071000</v>
      </c>
      <c r="M1246" t="b">
        <v>0</v>
      </c>
      <c r="N1246" t="b">
        <v>0</v>
      </c>
      <c r="O1246">
        <v>1500</v>
      </c>
      <c r="P1246" t="b">
        <v>0</v>
      </c>
      <c r="Q1246" t="b">
        <v>0</v>
      </c>
      <c r="R1246" t="b">
        <v>0</v>
      </c>
      <c r="S1246" t="s">
        <v>101</v>
      </c>
      <c r="T1246" t="s">
        <v>102</v>
      </c>
      <c r="U1246">
        <v>1</v>
      </c>
    </row>
    <row r="1247" spans="1:21" x14ac:dyDescent="0.3">
      <c r="A1247" t="s">
        <v>1352</v>
      </c>
      <c r="B1247" s="1">
        <v>46033</v>
      </c>
      <c r="C1247" s="1">
        <v>46034</v>
      </c>
      <c r="D1247" s="1">
        <v>46037</v>
      </c>
      <c r="E1247" s="1">
        <v>46036</v>
      </c>
      <c r="F1247" t="s">
        <v>32</v>
      </c>
      <c r="G1247" t="s">
        <v>52</v>
      </c>
      <c r="H1247" t="s">
        <v>20</v>
      </c>
      <c r="I1247" t="s">
        <v>43</v>
      </c>
      <c r="J1247">
        <v>313.7</v>
      </c>
      <c r="K1247">
        <v>2003.6</v>
      </c>
      <c r="L1247">
        <v>5885000</v>
      </c>
      <c r="M1247" t="b">
        <v>0</v>
      </c>
      <c r="N1247" t="b">
        <v>0</v>
      </c>
      <c r="O1247">
        <v>5000</v>
      </c>
      <c r="P1247" t="b">
        <v>0</v>
      </c>
      <c r="Q1247" t="b">
        <v>0</v>
      </c>
      <c r="R1247" t="b">
        <v>0</v>
      </c>
      <c r="S1247" t="s">
        <v>96</v>
      </c>
      <c r="T1247" t="s">
        <v>104</v>
      </c>
    </row>
    <row r="1248" spans="1:21" x14ac:dyDescent="0.3">
      <c r="A1248" t="s">
        <v>1353</v>
      </c>
      <c r="B1248" s="1">
        <v>46168</v>
      </c>
      <c r="C1248" s="1">
        <v>46169</v>
      </c>
      <c r="D1248" s="1">
        <v>46171</v>
      </c>
      <c r="E1248" s="1">
        <v>46172</v>
      </c>
      <c r="F1248" t="s">
        <v>32</v>
      </c>
      <c r="G1248" t="s">
        <v>63</v>
      </c>
      <c r="H1248" t="s">
        <v>22</v>
      </c>
      <c r="I1248" t="s">
        <v>45</v>
      </c>
      <c r="J1248">
        <v>184.9</v>
      </c>
      <c r="K1248">
        <v>723.1</v>
      </c>
      <c r="L1248">
        <v>2255000</v>
      </c>
      <c r="M1248" t="b">
        <v>0</v>
      </c>
      <c r="N1248" t="b">
        <v>0</v>
      </c>
      <c r="O1248">
        <v>1000</v>
      </c>
      <c r="P1248" t="b">
        <v>0</v>
      </c>
      <c r="Q1248" t="b">
        <v>0</v>
      </c>
      <c r="R1248" t="b">
        <v>0</v>
      </c>
      <c r="S1248" t="s">
        <v>101</v>
      </c>
      <c r="T1248" t="s">
        <v>102</v>
      </c>
      <c r="U1248">
        <v>1</v>
      </c>
    </row>
    <row r="1249" spans="1:21" x14ac:dyDescent="0.3">
      <c r="A1249" t="s">
        <v>1354</v>
      </c>
      <c r="B1249" s="1">
        <v>46098</v>
      </c>
      <c r="C1249" s="1">
        <v>46099</v>
      </c>
      <c r="D1249" s="1">
        <v>46102</v>
      </c>
      <c r="E1249" s="1">
        <v>46102</v>
      </c>
      <c r="F1249" t="s">
        <v>34</v>
      </c>
      <c r="G1249" t="s">
        <v>63</v>
      </c>
      <c r="H1249" t="s">
        <v>22</v>
      </c>
      <c r="I1249" t="s">
        <v>42</v>
      </c>
      <c r="J1249">
        <v>350.6</v>
      </c>
      <c r="K1249">
        <v>3977.6</v>
      </c>
      <c r="L1249">
        <v>8823000</v>
      </c>
      <c r="M1249" t="b">
        <v>0</v>
      </c>
      <c r="N1249" t="b">
        <v>0</v>
      </c>
      <c r="O1249">
        <v>16000</v>
      </c>
      <c r="P1249" t="b">
        <v>0</v>
      </c>
      <c r="Q1249" t="b">
        <v>0</v>
      </c>
      <c r="R1249" t="b">
        <v>0</v>
      </c>
      <c r="S1249" t="s">
        <v>96</v>
      </c>
      <c r="T1249" t="s">
        <v>118</v>
      </c>
    </row>
    <row r="1250" spans="1:21" x14ac:dyDescent="0.3">
      <c r="A1250" t="s">
        <v>1355</v>
      </c>
      <c r="B1250" s="1">
        <v>46161</v>
      </c>
      <c r="C1250" s="1">
        <v>46162</v>
      </c>
      <c r="D1250" s="1">
        <v>46164</v>
      </c>
      <c r="E1250" s="1">
        <v>46167</v>
      </c>
      <c r="F1250" t="s">
        <v>33</v>
      </c>
      <c r="G1250" t="s">
        <v>62</v>
      </c>
      <c r="H1250" t="s">
        <v>22</v>
      </c>
      <c r="I1250" t="s">
        <v>42</v>
      </c>
      <c r="J1250">
        <v>144.1</v>
      </c>
      <c r="K1250">
        <v>7759.2</v>
      </c>
      <c r="L1250">
        <v>6014000</v>
      </c>
      <c r="M1250" t="b">
        <v>0</v>
      </c>
      <c r="N1250" t="b">
        <v>0</v>
      </c>
      <c r="O1250">
        <v>16000</v>
      </c>
      <c r="P1250" t="b">
        <v>0</v>
      </c>
      <c r="Q1250" t="b">
        <v>0</v>
      </c>
      <c r="R1250" t="b">
        <v>0</v>
      </c>
      <c r="S1250" t="s">
        <v>101</v>
      </c>
      <c r="T1250" t="s">
        <v>102</v>
      </c>
      <c r="U1250">
        <v>3</v>
      </c>
    </row>
    <row r="1251" spans="1:21" x14ac:dyDescent="0.3">
      <c r="A1251" t="s">
        <v>1356</v>
      </c>
      <c r="B1251" s="1">
        <v>46085</v>
      </c>
      <c r="C1251" s="1">
        <v>46086</v>
      </c>
      <c r="D1251" s="1">
        <v>46089</v>
      </c>
      <c r="E1251" s="1">
        <v>46089</v>
      </c>
      <c r="F1251" t="s">
        <v>32</v>
      </c>
      <c r="G1251" t="s">
        <v>60</v>
      </c>
      <c r="H1251" t="s">
        <v>107</v>
      </c>
      <c r="I1251" t="s">
        <v>44</v>
      </c>
      <c r="J1251">
        <v>465.4</v>
      </c>
      <c r="K1251">
        <v>1027.0999999999999</v>
      </c>
      <c r="L1251">
        <v>6063000</v>
      </c>
      <c r="M1251" t="b">
        <v>0</v>
      </c>
      <c r="N1251" t="b">
        <v>0</v>
      </c>
      <c r="O1251">
        <v>1500</v>
      </c>
      <c r="P1251" t="b">
        <v>0</v>
      </c>
      <c r="Q1251" t="b">
        <v>0</v>
      </c>
      <c r="R1251" t="b">
        <v>0</v>
      </c>
      <c r="S1251" t="s">
        <v>96</v>
      </c>
      <c r="T1251" t="s">
        <v>118</v>
      </c>
    </row>
    <row r="1252" spans="1:21" x14ac:dyDescent="0.3">
      <c r="A1252" t="s">
        <v>1357</v>
      </c>
      <c r="B1252" s="1">
        <v>46137</v>
      </c>
      <c r="C1252" s="1">
        <v>46138</v>
      </c>
      <c r="D1252" s="1">
        <v>46141</v>
      </c>
      <c r="E1252" s="1">
        <v>46143</v>
      </c>
      <c r="F1252" t="s">
        <v>31</v>
      </c>
      <c r="G1252" t="s">
        <v>54</v>
      </c>
      <c r="H1252" t="s">
        <v>24</v>
      </c>
      <c r="I1252" t="s">
        <v>44</v>
      </c>
      <c r="J1252">
        <v>465.9</v>
      </c>
      <c r="K1252">
        <v>1056.3</v>
      </c>
      <c r="L1252">
        <v>5651000</v>
      </c>
      <c r="M1252" t="b">
        <v>0</v>
      </c>
      <c r="N1252" t="b">
        <v>0</v>
      </c>
      <c r="O1252">
        <v>1500</v>
      </c>
      <c r="P1252" t="b">
        <v>0</v>
      </c>
      <c r="Q1252" t="b">
        <v>0</v>
      </c>
      <c r="R1252" t="b">
        <v>0</v>
      </c>
      <c r="S1252" t="s">
        <v>101</v>
      </c>
      <c r="T1252" t="s">
        <v>112</v>
      </c>
      <c r="U1252">
        <v>2</v>
      </c>
    </row>
    <row r="1253" spans="1:21" x14ac:dyDescent="0.3">
      <c r="A1253" t="s">
        <v>1358</v>
      </c>
      <c r="B1253" s="1">
        <v>46029</v>
      </c>
      <c r="C1253" s="1">
        <v>46029</v>
      </c>
      <c r="D1253" s="1">
        <v>46030</v>
      </c>
      <c r="E1253" s="1">
        <v>46031</v>
      </c>
      <c r="F1253" t="s">
        <v>31</v>
      </c>
      <c r="G1253" t="s">
        <v>55</v>
      </c>
      <c r="H1253" t="s">
        <v>20</v>
      </c>
      <c r="I1253" t="s">
        <v>43</v>
      </c>
      <c r="J1253">
        <v>15.3</v>
      </c>
      <c r="K1253">
        <v>2212.8000000000002</v>
      </c>
      <c r="L1253">
        <v>8450000</v>
      </c>
      <c r="M1253" t="b">
        <v>0</v>
      </c>
      <c r="N1253" t="b">
        <v>0</v>
      </c>
      <c r="O1253">
        <v>5000</v>
      </c>
      <c r="P1253" t="b">
        <v>0</v>
      </c>
      <c r="Q1253" t="b">
        <v>0</v>
      </c>
      <c r="R1253" t="b">
        <v>0</v>
      </c>
      <c r="S1253" t="s">
        <v>101</v>
      </c>
      <c r="T1253" t="s">
        <v>104</v>
      </c>
      <c r="U1253">
        <v>1</v>
      </c>
    </row>
    <row r="1254" spans="1:21" x14ac:dyDescent="0.3">
      <c r="A1254" t="s">
        <v>1359</v>
      </c>
      <c r="B1254" s="1">
        <v>46080</v>
      </c>
      <c r="C1254" s="1">
        <v>46081</v>
      </c>
      <c r="D1254" s="1">
        <v>46083</v>
      </c>
      <c r="E1254" s="1">
        <v>46083</v>
      </c>
      <c r="F1254" t="s">
        <v>31</v>
      </c>
      <c r="G1254" t="s">
        <v>58</v>
      </c>
      <c r="H1254" t="s">
        <v>20</v>
      </c>
      <c r="I1254" t="s">
        <v>43</v>
      </c>
      <c r="J1254">
        <v>189.9</v>
      </c>
      <c r="K1254">
        <v>1466.7</v>
      </c>
      <c r="L1254">
        <v>3311000</v>
      </c>
      <c r="M1254" t="b">
        <v>0</v>
      </c>
      <c r="N1254" t="b">
        <v>0</v>
      </c>
      <c r="O1254">
        <v>5000</v>
      </c>
      <c r="P1254" t="b">
        <v>0</v>
      </c>
      <c r="Q1254" t="b">
        <v>0</v>
      </c>
      <c r="R1254" t="b">
        <v>0</v>
      </c>
      <c r="S1254" t="s">
        <v>96</v>
      </c>
      <c r="T1254" t="s">
        <v>115</v>
      </c>
    </row>
    <row r="1255" spans="1:21" x14ac:dyDescent="0.3">
      <c r="A1255" t="s">
        <v>1360</v>
      </c>
      <c r="B1255" s="1">
        <v>46165</v>
      </c>
      <c r="C1255" s="1">
        <v>46166</v>
      </c>
      <c r="D1255" s="1">
        <v>46171</v>
      </c>
      <c r="E1255" s="1">
        <v>46171</v>
      </c>
      <c r="F1255" t="s">
        <v>31</v>
      </c>
      <c r="G1255" t="s">
        <v>60</v>
      </c>
      <c r="H1255" t="s">
        <v>24</v>
      </c>
      <c r="I1255" t="s">
        <v>42</v>
      </c>
      <c r="J1255">
        <v>626.9</v>
      </c>
      <c r="K1255">
        <v>11105.3</v>
      </c>
      <c r="L1255">
        <v>13602000</v>
      </c>
      <c r="M1255" t="b">
        <v>0</v>
      </c>
      <c r="N1255" t="b">
        <v>0</v>
      </c>
      <c r="O1255">
        <v>16000</v>
      </c>
      <c r="P1255" t="b">
        <v>0</v>
      </c>
      <c r="Q1255" t="b">
        <v>0</v>
      </c>
      <c r="R1255" t="b">
        <v>0</v>
      </c>
      <c r="S1255" t="s">
        <v>96</v>
      </c>
      <c r="T1255" t="s">
        <v>102</v>
      </c>
    </row>
    <row r="1256" spans="1:21" x14ac:dyDescent="0.3">
      <c r="A1256" t="s">
        <v>1361</v>
      </c>
      <c r="B1256" s="1">
        <v>46051</v>
      </c>
      <c r="C1256" s="1">
        <v>46053</v>
      </c>
      <c r="D1256" s="1">
        <v>46055</v>
      </c>
      <c r="E1256" s="1">
        <v>46055</v>
      </c>
      <c r="F1256" t="s">
        <v>32</v>
      </c>
      <c r="G1256" t="s">
        <v>61</v>
      </c>
      <c r="H1256" t="s">
        <v>24</v>
      </c>
      <c r="I1256" t="s">
        <v>42</v>
      </c>
      <c r="J1256">
        <v>155.19999999999999</v>
      </c>
      <c r="K1256">
        <v>6447.7</v>
      </c>
      <c r="L1256">
        <v>6193000</v>
      </c>
      <c r="M1256" t="b">
        <v>0</v>
      </c>
      <c r="N1256" t="b">
        <v>0</v>
      </c>
      <c r="O1256">
        <v>16000</v>
      </c>
      <c r="P1256" t="b">
        <v>0</v>
      </c>
      <c r="Q1256" t="b">
        <v>0</v>
      </c>
      <c r="R1256" t="b">
        <v>0</v>
      </c>
      <c r="S1256" t="s">
        <v>96</v>
      </c>
      <c r="T1256" t="s">
        <v>104</v>
      </c>
    </row>
    <row r="1257" spans="1:21" x14ac:dyDescent="0.3">
      <c r="A1257" t="s">
        <v>1362</v>
      </c>
      <c r="B1257" s="1">
        <v>46098</v>
      </c>
      <c r="C1257" s="1">
        <v>46099</v>
      </c>
      <c r="D1257" s="1">
        <v>46101</v>
      </c>
      <c r="E1257" s="1">
        <v>46101</v>
      </c>
      <c r="F1257" t="s">
        <v>34</v>
      </c>
      <c r="G1257" t="s">
        <v>52</v>
      </c>
      <c r="H1257" t="s">
        <v>24</v>
      </c>
      <c r="I1257" t="s">
        <v>43</v>
      </c>
      <c r="J1257">
        <v>279.39999999999998</v>
      </c>
      <c r="K1257">
        <v>2740.9</v>
      </c>
      <c r="L1257">
        <v>4943000</v>
      </c>
      <c r="M1257" t="b">
        <v>0</v>
      </c>
      <c r="N1257" t="b">
        <v>0</v>
      </c>
      <c r="O1257">
        <v>5000</v>
      </c>
      <c r="P1257" t="b">
        <v>0</v>
      </c>
      <c r="Q1257" t="b">
        <v>0</v>
      </c>
      <c r="R1257" t="b">
        <v>0</v>
      </c>
      <c r="S1257" t="s">
        <v>96</v>
      </c>
      <c r="T1257" t="s">
        <v>118</v>
      </c>
    </row>
    <row r="1258" spans="1:21" x14ac:dyDescent="0.3">
      <c r="A1258" t="s">
        <v>1363</v>
      </c>
      <c r="B1258" s="1">
        <v>46053</v>
      </c>
      <c r="C1258" s="1">
        <v>46054</v>
      </c>
      <c r="D1258" s="1">
        <v>46057</v>
      </c>
      <c r="E1258" s="1">
        <v>46057</v>
      </c>
      <c r="F1258" t="s">
        <v>32</v>
      </c>
      <c r="G1258" t="s">
        <v>54</v>
      </c>
      <c r="H1258" t="s">
        <v>22</v>
      </c>
      <c r="I1258" t="s">
        <v>43</v>
      </c>
      <c r="J1258">
        <v>531.70000000000005</v>
      </c>
      <c r="K1258">
        <v>2349.6999999999998</v>
      </c>
      <c r="L1258">
        <v>7308000</v>
      </c>
      <c r="M1258" t="b">
        <v>0</v>
      </c>
      <c r="N1258" t="b">
        <v>0</v>
      </c>
      <c r="O1258">
        <v>5000</v>
      </c>
      <c r="P1258" t="b">
        <v>0</v>
      </c>
      <c r="Q1258" t="b">
        <v>0</v>
      </c>
      <c r="R1258" t="b">
        <v>0</v>
      </c>
      <c r="S1258" t="s">
        <v>96</v>
      </c>
      <c r="T1258" t="s">
        <v>115</v>
      </c>
    </row>
    <row r="1259" spans="1:21" x14ac:dyDescent="0.3">
      <c r="A1259" t="s">
        <v>1364</v>
      </c>
      <c r="B1259" s="1">
        <v>46162</v>
      </c>
      <c r="C1259" s="1">
        <v>46163</v>
      </c>
      <c r="D1259" s="1">
        <v>46167</v>
      </c>
      <c r="E1259" s="1">
        <v>46167</v>
      </c>
      <c r="F1259" t="s">
        <v>31</v>
      </c>
      <c r="G1259" t="s">
        <v>60</v>
      </c>
      <c r="H1259" t="s">
        <v>22</v>
      </c>
      <c r="I1259" t="s">
        <v>44</v>
      </c>
      <c r="J1259">
        <v>605.6</v>
      </c>
      <c r="K1259">
        <v>708.4</v>
      </c>
      <c r="L1259">
        <v>7243000</v>
      </c>
      <c r="M1259" t="b">
        <v>0</v>
      </c>
      <c r="N1259" t="b">
        <v>0</v>
      </c>
      <c r="O1259">
        <v>1500</v>
      </c>
      <c r="P1259" t="b">
        <v>0</v>
      </c>
      <c r="Q1259" t="b">
        <v>0</v>
      </c>
      <c r="R1259" t="b">
        <v>0</v>
      </c>
      <c r="S1259" t="s">
        <v>96</v>
      </c>
      <c r="T1259" t="s">
        <v>102</v>
      </c>
    </row>
    <row r="1260" spans="1:21" x14ac:dyDescent="0.3">
      <c r="A1260" t="s">
        <v>1365</v>
      </c>
      <c r="B1260" s="1">
        <v>46098</v>
      </c>
      <c r="C1260" s="1">
        <v>46099</v>
      </c>
      <c r="D1260" s="1">
        <v>46103</v>
      </c>
      <c r="F1260" t="s">
        <v>31</v>
      </c>
      <c r="G1260" t="s">
        <v>62</v>
      </c>
      <c r="H1260" t="s">
        <v>21</v>
      </c>
      <c r="I1260" t="s">
        <v>45</v>
      </c>
      <c r="J1260">
        <v>695.8</v>
      </c>
      <c r="K1260">
        <v>335.2</v>
      </c>
      <c r="L1260">
        <v>6113000</v>
      </c>
      <c r="M1260" t="b">
        <v>0</v>
      </c>
      <c r="N1260" t="b">
        <v>0</v>
      </c>
      <c r="O1260">
        <v>1000</v>
      </c>
      <c r="P1260" t="b">
        <v>0</v>
      </c>
      <c r="Q1260" t="b">
        <v>0</v>
      </c>
      <c r="R1260" t="b">
        <v>0</v>
      </c>
      <c r="S1260" t="s">
        <v>203</v>
      </c>
      <c r="T1260" t="s">
        <v>118</v>
      </c>
    </row>
    <row r="1261" spans="1:21" x14ac:dyDescent="0.3">
      <c r="A1261" t="s">
        <v>1366</v>
      </c>
      <c r="B1261" s="1">
        <v>46198</v>
      </c>
      <c r="C1261" s="1">
        <v>46198</v>
      </c>
      <c r="D1261" s="1">
        <v>46202</v>
      </c>
      <c r="E1261" s="1">
        <v>46202</v>
      </c>
      <c r="F1261" t="s">
        <v>31</v>
      </c>
      <c r="G1261" t="s">
        <v>62</v>
      </c>
      <c r="H1261" t="s">
        <v>20</v>
      </c>
      <c r="I1261" t="s">
        <v>43</v>
      </c>
      <c r="J1261">
        <v>729.6</v>
      </c>
      <c r="K1261">
        <v>55000</v>
      </c>
      <c r="L1261">
        <v>8705000</v>
      </c>
      <c r="M1261" t="b">
        <v>0</v>
      </c>
      <c r="N1261" t="b">
        <v>0</v>
      </c>
      <c r="O1261">
        <v>5000</v>
      </c>
      <c r="P1261" t="b">
        <v>1</v>
      </c>
      <c r="Q1261" t="b">
        <v>0</v>
      </c>
      <c r="R1261" t="b">
        <v>1</v>
      </c>
      <c r="S1261" t="s">
        <v>96</v>
      </c>
      <c r="T1261" t="s">
        <v>99</v>
      </c>
    </row>
    <row r="1262" spans="1:21" x14ac:dyDescent="0.3">
      <c r="A1262" t="s">
        <v>1367</v>
      </c>
      <c r="B1262" s="1">
        <v>46096</v>
      </c>
      <c r="C1262" s="1">
        <v>46098</v>
      </c>
      <c r="D1262" s="1">
        <v>46100</v>
      </c>
      <c r="E1262" s="1">
        <v>46100</v>
      </c>
      <c r="F1262" t="s">
        <v>31</v>
      </c>
      <c r="G1262" t="s">
        <v>58</v>
      </c>
      <c r="H1262" t="s">
        <v>21</v>
      </c>
      <c r="I1262" t="s">
        <v>43</v>
      </c>
      <c r="J1262">
        <v>189.9</v>
      </c>
      <c r="K1262">
        <v>1222.0999999999999</v>
      </c>
      <c r="L1262">
        <v>3654000</v>
      </c>
      <c r="M1262" t="b">
        <v>0</v>
      </c>
      <c r="N1262" t="b">
        <v>0</v>
      </c>
      <c r="O1262">
        <v>5000</v>
      </c>
      <c r="P1262" t="b">
        <v>0</v>
      </c>
      <c r="Q1262" t="b">
        <v>0</v>
      </c>
      <c r="R1262" t="b">
        <v>0</v>
      </c>
      <c r="S1262" t="s">
        <v>96</v>
      </c>
      <c r="T1262" t="s">
        <v>118</v>
      </c>
    </row>
    <row r="1263" spans="1:21" x14ac:dyDescent="0.3">
      <c r="A1263" t="s">
        <v>1368</v>
      </c>
      <c r="B1263" s="1">
        <v>46049</v>
      </c>
      <c r="C1263" s="1">
        <v>46049</v>
      </c>
      <c r="D1263" s="1">
        <v>46051</v>
      </c>
      <c r="E1263" s="1">
        <v>46052</v>
      </c>
      <c r="F1263" t="s">
        <v>32</v>
      </c>
      <c r="G1263" t="s">
        <v>61</v>
      </c>
      <c r="H1263" t="s">
        <v>22</v>
      </c>
      <c r="I1263" t="s">
        <v>42</v>
      </c>
      <c r="J1263">
        <v>142</v>
      </c>
      <c r="K1263">
        <v>9261.7999999999993</v>
      </c>
      <c r="L1263">
        <v>5541000</v>
      </c>
      <c r="M1263" t="b">
        <v>0</v>
      </c>
      <c r="N1263" t="b">
        <v>0</v>
      </c>
      <c r="O1263">
        <v>16000</v>
      </c>
      <c r="P1263" t="b">
        <v>0</v>
      </c>
      <c r="Q1263" t="b">
        <v>0</v>
      </c>
      <c r="R1263" t="b">
        <v>0</v>
      </c>
      <c r="S1263" t="s">
        <v>101</v>
      </c>
      <c r="T1263" t="s">
        <v>104</v>
      </c>
      <c r="U1263">
        <v>1</v>
      </c>
    </row>
    <row r="1264" spans="1:21" x14ac:dyDescent="0.3">
      <c r="A1264" t="s">
        <v>1369</v>
      </c>
      <c r="B1264" s="1">
        <v>46150</v>
      </c>
      <c r="C1264" s="1">
        <v>46152</v>
      </c>
      <c r="D1264" s="1">
        <v>46153</v>
      </c>
      <c r="E1264" s="1">
        <v>46153</v>
      </c>
      <c r="F1264" t="s">
        <v>34</v>
      </c>
      <c r="G1264" t="s">
        <v>55</v>
      </c>
      <c r="H1264" t="s">
        <v>24</v>
      </c>
      <c r="I1264" t="s">
        <v>44</v>
      </c>
      <c r="J1264">
        <v>60.5</v>
      </c>
      <c r="K1264">
        <v>794</v>
      </c>
      <c r="L1264">
        <v>1508000</v>
      </c>
      <c r="M1264" t="b">
        <v>0</v>
      </c>
      <c r="N1264" t="b">
        <v>0</v>
      </c>
      <c r="O1264">
        <v>1500</v>
      </c>
      <c r="P1264" t="b">
        <v>0</v>
      </c>
      <c r="Q1264" t="b">
        <v>0</v>
      </c>
      <c r="R1264" t="b">
        <v>0</v>
      </c>
      <c r="S1264" t="s">
        <v>96</v>
      </c>
      <c r="T1264" t="s">
        <v>102</v>
      </c>
    </row>
    <row r="1265" spans="1:21" x14ac:dyDescent="0.3">
      <c r="A1265" t="s">
        <v>1370</v>
      </c>
      <c r="B1265" s="1">
        <v>46044</v>
      </c>
      <c r="C1265" s="1">
        <v>46045</v>
      </c>
      <c r="D1265" s="1">
        <v>46048</v>
      </c>
      <c r="F1265" t="s">
        <v>31</v>
      </c>
      <c r="G1265" t="s">
        <v>59</v>
      </c>
      <c r="H1265" t="s">
        <v>20</v>
      </c>
      <c r="I1265" t="s">
        <v>44</v>
      </c>
      <c r="J1265">
        <v>309.7</v>
      </c>
      <c r="K1265">
        <v>231.9</v>
      </c>
      <c r="L1265">
        <v>4143000</v>
      </c>
      <c r="M1265" t="b">
        <v>0</v>
      </c>
      <c r="N1265" t="b">
        <v>0</v>
      </c>
      <c r="O1265">
        <v>1500</v>
      </c>
      <c r="P1265" t="b">
        <v>0</v>
      </c>
      <c r="Q1265" t="b">
        <v>0</v>
      </c>
      <c r="R1265" t="b">
        <v>0</v>
      </c>
      <c r="S1265" t="s">
        <v>203</v>
      </c>
      <c r="T1265" t="s">
        <v>104</v>
      </c>
    </row>
    <row r="1266" spans="1:21" x14ac:dyDescent="0.3">
      <c r="A1266" t="s">
        <v>1371</v>
      </c>
      <c r="B1266" s="1">
        <v>46051</v>
      </c>
      <c r="C1266" s="1">
        <v>46052</v>
      </c>
      <c r="D1266" s="1">
        <v>46054</v>
      </c>
      <c r="E1266" s="1">
        <v>46055</v>
      </c>
      <c r="F1266" t="s">
        <v>32</v>
      </c>
      <c r="G1266" t="s">
        <v>53</v>
      </c>
      <c r="H1266" t="s">
        <v>20</v>
      </c>
      <c r="I1266" t="s">
        <v>43</v>
      </c>
      <c r="J1266">
        <v>271.60000000000002</v>
      </c>
      <c r="K1266">
        <v>2007</v>
      </c>
      <c r="L1266">
        <v>4836000</v>
      </c>
      <c r="M1266" t="b">
        <v>0</v>
      </c>
      <c r="N1266" t="b">
        <v>0</v>
      </c>
      <c r="O1266">
        <v>5000</v>
      </c>
      <c r="P1266" t="b">
        <v>0</v>
      </c>
      <c r="Q1266" t="b">
        <v>0</v>
      </c>
      <c r="R1266" t="b">
        <v>0</v>
      </c>
      <c r="S1266" t="s">
        <v>101</v>
      </c>
      <c r="T1266" t="s">
        <v>104</v>
      </c>
      <c r="U1266">
        <v>1</v>
      </c>
    </row>
    <row r="1267" spans="1:21" x14ac:dyDescent="0.3">
      <c r="A1267" t="s">
        <v>1372</v>
      </c>
      <c r="B1267" s="1">
        <v>46037</v>
      </c>
      <c r="C1267" s="1">
        <v>46039</v>
      </c>
      <c r="D1267" s="1">
        <v>46042</v>
      </c>
      <c r="E1267" s="1">
        <v>46044</v>
      </c>
      <c r="F1267" t="s">
        <v>34</v>
      </c>
      <c r="G1267" t="s">
        <v>53</v>
      </c>
      <c r="H1267" t="s">
        <v>23</v>
      </c>
      <c r="I1267" t="s">
        <v>43</v>
      </c>
      <c r="J1267">
        <v>302.3</v>
      </c>
      <c r="K1267">
        <v>2940.8</v>
      </c>
      <c r="L1267">
        <v>5538000</v>
      </c>
      <c r="M1267" t="b">
        <v>0</v>
      </c>
      <c r="N1267" t="b">
        <v>0</v>
      </c>
      <c r="O1267">
        <v>5000</v>
      </c>
      <c r="P1267" t="b">
        <v>0</v>
      </c>
      <c r="Q1267" t="b">
        <v>0</v>
      </c>
      <c r="R1267" t="b">
        <v>0</v>
      </c>
      <c r="S1267" t="s">
        <v>101</v>
      </c>
      <c r="T1267" t="s">
        <v>104</v>
      </c>
      <c r="U1267">
        <v>2</v>
      </c>
    </row>
    <row r="1268" spans="1:21" x14ac:dyDescent="0.3">
      <c r="A1268" t="s">
        <v>1373</v>
      </c>
      <c r="B1268" s="1">
        <v>46083</v>
      </c>
      <c r="C1268" s="1">
        <v>46084</v>
      </c>
      <c r="D1268" s="1">
        <v>46088</v>
      </c>
      <c r="E1268" s="1">
        <v>46089</v>
      </c>
      <c r="F1268" t="s">
        <v>33</v>
      </c>
      <c r="G1268" t="s">
        <v>54</v>
      </c>
      <c r="H1268" t="s">
        <v>20</v>
      </c>
      <c r="I1268" t="s">
        <v>44</v>
      </c>
      <c r="J1268">
        <v>920</v>
      </c>
      <c r="K1268">
        <v>1330</v>
      </c>
      <c r="L1268">
        <v>9866000</v>
      </c>
      <c r="M1268" t="b">
        <v>0</v>
      </c>
      <c r="N1268" t="b">
        <v>0</v>
      </c>
      <c r="O1268">
        <v>1500</v>
      </c>
      <c r="P1268" t="b">
        <v>0</v>
      </c>
      <c r="Q1268" t="b">
        <v>0</v>
      </c>
      <c r="R1268" t="b">
        <v>0</v>
      </c>
      <c r="S1268" t="s">
        <v>101</v>
      </c>
      <c r="T1268" t="s">
        <v>118</v>
      </c>
      <c r="U1268">
        <v>1</v>
      </c>
    </row>
    <row r="1269" spans="1:21" x14ac:dyDescent="0.3">
      <c r="A1269" t="s">
        <v>1374</v>
      </c>
      <c r="B1269" s="1">
        <v>46123</v>
      </c>
      <c r="C1269" s="1">
        <v>46124</v>
      </c>
      <c r="D1269" s="1">
        <v>46127</v>
      </c>
      <c r="E1269" s="1">
        <v>46127</v>
      </c>
      <c r="F1269" t="s">
        <v>34</v>
      </c>
      <c r="G1269" t="s">
        <v>59</v>
      </c>
      <c r="H1269" t="s">
        <v>20</v>
      </c>
      <c r="I1269" t="s">
        <v>44</v>
      </c>
      <c r="J1269">
        <v>330.3</v>
      </c>
      <c r="K1269">
        <v>153.5</v>
      </c>
      <c r="L1269">
        <v>3596000</v>
      </c>
      <c r="M1269" t="b">
        <v>0</v>
      </c>
      <c r="N1269" t="b">
        <v>0</v>
      </c>
      <c r="O1269">
        <v>1500</v>
      </c>
      <c r="P1269" t="b">
        <v>0</v>
      </c>
      <c r="Q1269" t="b">
        <v>0</v>
      </c>
      <c r="R1269" t="b">
        <v>0</v>
      </c>
      <c r="S1269" t="s">
        <v>96</v>
      </c>
      <c r="T1269" t="s">
        <v>112</v>
      </c>
    </row>
    <row r="1270" spans="1:21" x14ac:dyDescent="0.3">
      <c r="A1270" t="s">
        <v>1375</v>
      </c>
      <c r="B1270" s="1">
        <v>46203</v>
      </c>
      <c r="C1270" s="1">
        <v>46204</v>
      </c>
      <c r="D1270" s="1">
        <v>46206</v>
      </c>
      <c r="E1270" s="1">
        <v>46206</v>
      </c>
      <c r="F1270" t="s">
        <v>34</v>
      </c>
      <c r="G1270" t="s">
        <v>57</v>
      </c>
      <c r="H1270" t="s">
        <v>23</v>
      </c>
      <c r="I1270" t="s">
        <v>43</v>
      </c>
      <c r="J1270">
        <v>150.69999999999999</v>
      </c>
      <c r="K1270">
        <v>2996.3</v>
      </c>
      <c r="L1270">
        <v>4038000</v>
      </c>
      <c r="M1270" t="b">
        <v>0</v>
      </c>
      <c r="N1270" t="b">
        <v>0</v>
      </c>
      <c r="O1270">
        <v>5000</v>
      </c>
      <c r="P1270" t="b">
        <v>0</v>
      </c>
      <c r="Q1270" t="b">
        <v>0</v>
      </c>
      <c r="R1270" t="b">
        <v>0</v>
      </c>
      <c r="S1270" t="s">
        <v>96</v>
      </c>
      <c r="T1270" t="s">
        <v>97</v>
      </c>
    </row>
    <row r="1271" spans="1:21" x14ac:dyDescent="0.3">
      <c r="A1271" t="s">
        <v>1376</v>
      </c>
      <c r="B1271" s="1">
        <v>46141</v>
      </c>
      <c r="C1271" s="1">
        <v>46142</v>
      </c>
      <c r="D1271" s="1">
        <v>46144</v>
      </c>
      <c r="E1271" s="1">
        <v>46145</v>
      </c>
      <c r="F1271" t="s">
        <v>32</v>
      </c>
      <c r="G1271" t="s">
        <v>53</v>
      </c>
      <c r="H1271" t="s">
        <v>23</v>
      </c>
      <c r="I1271" t="s">
        <v>43</v>
      </c>
      <c r="J1271">
        <v>258.39999999999998</v>
      </c>
      <c r="K1271">
        <v>3963.9</v>
      </c>
      <c r="L1271">
        <v>5211000</v>
      </c>
      <c r="M1271" t="b">
        <v>0</v>
      </c>
      <c r="N1271" t="b">
        <v>0</v>
      </c>
      <c r="O1271">
        <v>5000</v>
      </c>
      <c r="P1271" t="b">
        <v>0</v>
      </c>
      <c r="Q1271" t="b">
        <v>0</v>
      </c>
      <c r="R1271" t="b">
        <v>0</v>
      </c>
      <c r="S1271" t="s">
        <v>101</v>
      </c>
      <c r="T1271" t="s">
        <v>112</v>
      </c>
      <c r="U1271">
        <v>1</v>
      </c>
    </row>
    <row r="1272" spans="1:21" x14ac:dyDescent="0.3">
      <c r="A1272" t="s">
        <v>1377</v>
      </c>
      <c r="B1272" s="1">
        <v>46153</v>
      </c>
      <c r="C1272" s="1">
        <v>46154</v>
      </c>
      <c r="D1272" s="1">
        <v>46156</v>
      </c>
      <c r="E1272" s="1">
        <v>46156</v>
      </c>
      <c r="F1272" t="s">
        <v>31</v>
      </c>
      <c r="G1272" t="s">
        <v>57</v>
      </c>
      <c r="H1272" t="s">
        <v>21</v>
      </c>
      <c r="I1272" t="s">
        <v>42</v>
      </c>
      <c r="J1272">
        <v>142.5</v>
      </c>
      <c r="K1272">
        <v>4662.7</v>
      </c>
      <c r="L1272">
        <v>4907000</v>
      </c>
      <c r="M1272" t="b">
        <v>0</v>
      </c>
      <c r="N1272" t="b">
        <v>0</v>
      </c>
      <c r="O1272">
        <v>16000</v>
      </c>
      <c r="P1272" t="b">
        <v>0</v>
      </c>
      <c r="Q1272" t="b">
        <v>0</v>
      </c>
      <c r="R1272" t="b">
        <v>0</v>
      </c>
      <c r="S1272" t="s">
        <v>96</v>
      </c>
      <c r="T1272" t="s">
        <v>102</v>
      </c>
    </row>
    <row r="1273" spans="1:21" x14ac:dyDescent="0.3">
      <c r="A1273" t="s">
        <v>1378</v>
      </c>
      <c r="B1273" s="1">
        <v>46112</v>
      </c>
      <c r="C1273" s="1">
        <v>46113</v>
      </c>
      <c r="D1273" s="1">
        <v>46118</v>
      </c>
      <c r="E1273" s="1">
        <v>46120</v>
      </c>
      <c r="F1273" t="s">
        <v>34</v>
      </c>
      <c r="G1273" t="s">
        <v>62</v>
      </c>
      <c r="H1273" t="s">
        <v>24</v>
      </c>
      <c r="I1273" t="s">
        <v>43</v>
      </c>
      <c r="J1273">
        <v>752.2</v>
      </c>
      <c r="K1273">
        <v>856.8</v>
      </c>
      <c r="L1273">
        <v>9823000</v>
      </c>
      <c r="M1273" t="b">
        <v>0</v>
      </c>
      <c r="N1273" t="b">
        <v>0</v>
      </c>
      <c r="O1273">
        <v>5000</v>
      </c>
      <c r="P1273" t="b">
        <v>0</v>
      </c>
      <c r="Q1273" t="b">
        <v>0</v>
      </c>
      <c r="R1273" t="b">
        <v>0</v>
      </c>
      <c r="S1273" t="s">
        <v>101</v>
      </c>
      <c r="T1273" t="s">
        <v>112</v>
      </c>
      <c r="U1273">
        <v>2</v>
      </c>
    </row>
    <row r="1274" spans="1:21" x14ac:dyDescent="0.3">
      <c r="A1274" t="s">
        <v>1379</v>
      </c>
      <c r="B1274" s="1">
        <v>46163</v>
      </c>
      <c r="C1274" s="1">
        <v>46164</v>
      </c>
      <c r="D1274" s="1">
        <v>46166</v>
      </c>
      <c r="E1274" s="1">
        <v>46166</v>
      </c>
      <c r="F1274" t="s">
        <v>31</v>
      </c>
      <c r="G1274" t="s">
        <v>57</v>
      </c>
      <c r="H1274" t="s">
        <v>22</v>
      </c>
      <c r="I1274" t="s">
        <v>43</v>
      </c>
      <c r="J1274">
        <v>124.8</v>
      </c>
      <c r="K1274">
        <v>1659.6</v>
      </c>
      <c r="L1274">
        <v>2831000</v>
      </c>
      <c r="M1274" t="b">
        <v>0</v>
      </c>
      <c r="N1274" t="b">
        <v>0</v>
      </c>
      <c r="O1274">
        <v>5000</v>
      </c>
      <c r="P1274" t="b">
        <v>0</v>
      </c>
      <c r="Q1274" t="b">
        <v>0</v>
      </c>
      <c r="R1274" t="b">
        <v>0</v>
      </c>
      <c r="S1274" t="s">
        <v>96</v>
      </c>
      <c r="T1274" t="s">
        <v>102</v>
      </c>
    </row>
    <row r="1275" spans="1:21" x14ac:dyDescent="0.3">
      <c r="A1275" t="s">
        <v>1380</v>
      </c>
      <c r="B1275" s="1">
        <v>46160</v>
      </c>
      <c r="C1275" s="1">
        <v>46161</v>
      </c>
      <c r="D1275" s="1">
        <v>46164</v>
      </c>
      <c r="E1275" s="1">
        <v>46164</v>
      </c>
      <c r="F1275" t="s">
        <v>33</v>
      </c>
      <c r="G1275" t="s">
        <v>55</v>
      </c>
      <c r="H1275" t="s">
        <v>21</v>
      </c>
      <c r="I1275" t="s">
        <v>42</v>
      </c>
      <c r="J1275">
        <v>581.29999999999995</v>
      </c>
      <c r="K1275">
        <v>5281.5</v>
      </c>
      <c r="L1275">
        <v>11095000</v>
      </c>
      <c r="M1275" t="b">
        <v>0</v>
      </c>
      <c r="N1275" t="b">
        <v>0</v>
      </c>
      <c r="O1275">
        <v>16000</v>
      </c>
      <c r="P1275" t="b">
        <v>0</v>
      </c>
      <c r="Q1275" t="b">
        <v>0</v>
      </c>
      <c r="R1275" t="b">
        <v>0</v>
      </c>
      <c r="S1275" t="s">
        <v>96</v>
      </c>
      <c r="T1275" t="s">
        <v>102</v>
      </c>
    </row>
    <row r="1276" spans="1:21" x14ac:dyDescent="0.3">
      <c r="A1276" t="s">
        <v>1381</v>
      </c>
      <c r="B1276" s="1">
        <v>46129</v>
      </c>
      <c r="C1276" s="1">
        <v>46131</v>
      </c>
      <c r="D1276" s="1">
        <v>46135</v>
      </c>
      <c r="E1276" s="1">
        <v>46135</v>
      </c>
      <c r="F1276" t="s">
        <v>34</v>
      </c>
      <c r="G1276" t="s">
        <v>62</v>
      </c>
      <c r="H1276" t="s">
        <v>21</v>
      </c>
      <c r="I1276" t="s">
        <v>44</v>
      </c>
      <c r="J1276">
        <v>754.6</v>
      </c>
      <c r="K1276">
        <v>1020.6</v>
      </c>
      <c r="L1276">
        <v>8340000</v>
      </c>
      <c r="M1276" t="b">
        <v>0</v>
      </c>
      <c r="N1276" t="b">
        <v>0</v>
      </c>
      <c r="O1276">
        <v>1500</v>
      </c>
      <c r="P1276" t="b">
        <v>0</v>
      </c>
      <c r="Q1276" t="b">
        <v>0</v>
      </c>
      <c r="R1276" t="b">
        <v>0</v>
      </c>
      <c r="S1276" t="s">
        <v>96</v>
      </c>
      <c r="T1276" t="s">
        <v>112</v>
      </c>
    </row>
    <row r="1277" spans="1:21" x14ac:dyDescent="0.3">
      <c r="A1277" t="s">
        <v>1382</v>
      </c>
      <c r="B1277" s="1">
        <v>46023</v>
      </c>
      <c r="C1277" s="1">
        <v>46024</v>
      </c>
      <c r="D1277" s="1">
        <v>46026</v>
      </c>
      <c r="E1277" s="1">
        <v>46028</v>
      </c>
      <c r="F1277" t="s">
        <v>33</v>
      </c>
      <c r="G1277" t="s">
        <v>63</v>
      </c>
      <c r="H1277" t="s">
        <v>22</v>
      </c>
      <c r="I1277" t="s">
        <v>44</v>
      </c>
      <c r="J1277">
        <v>272.89999999999998</v>
      </c>
      <c r="K1277">
        <v>1260.3</v>
      </c>
      <c r="L1277">
        <v>3896000</v>
      </c>
      <c r="M1277" t="b">
        <v>0</v>
      </c>
      <c r="N1277" t="b">
        <v>0</v>
      </c>
      <c r="O1277">
        <v>1500</v>
      </c>
      <c r="P1277" t="b">
        <v>0</v>
      </c>
      <c r="Q1277" t="b">
        <v>0</v>
      </c>
      <c r="R1277" t="b">
        <v>0</v>
      </c>
      <c r="S1277" t="s">
        <v>101</v>
      </c>
      <c r="T1277" t="s">
        <v>104</v>
      </c>
      <c r="U1277">
        <v>2</v>
      </c>
    </row>
    <row r="1278" spans="1:21" x14ac:dyDescent="0.3">
      <c r="A1278" t="s">
        <v>1383</v>
      </c>
      <c r="B1278" s="1">
        <v>46187</v>
      </c>
      <c r="C1278" s="1">
        <v>46187</v>
      </c>
      <c r="D1278" s="1">
        <v>46189</v>
      </c>
      <c r="E1278" s="1">
        <v>46189</v>
      </c>
      <c r="F1278" t="s">
        <v>32</v>
      </c>
      <c r="G1278" t="s">
        <v>55</v>
      </c>
      <c r="H1278" t="s">
        <v>20</v>
      </c>
      <c r="I1278" t="s">
        <v>45</v>
      </c>
      <c r="J1278">
        <v>133.5</v>
      </c>
      <c r="K1278">
        <v>663.2</v>
      </c>
      <c r="L1278">
        <v>1885000</v>
      </c>
      <c r="M1278" t="b">
        <v>0</v>
      </c>
      <c r="N1278" t="b">
        <v>0</v>
      </c>
      <c r="O1278">
        <v>1000</v>
      </c>
      <c r="P1278" t="b">
        <v>0</v>
      </c>
      <c r="Q1278" t="b">
        <v>0</v>
      </c>
      <c r="R1278" t="b">
        <v>0</v>
      </c>
      <c r="S1278" t="s">
        <v>96</v>
      </c>
      <c r="T1278" t="s">
        <v>99</v>
      </c>
    </row>
    <row r="1279" spans="1:21" x14ac:dyDescent="0.3">
      <c r="A1279" t="s">
        <v>1384</v>
      </c>
      <c r="B1279" s="1">
        <v>46028</v>
      </c>
      <c r="C1279" s="1">
        <v>46029</v>
      </c>
      <c r="D1279" s="1">
        <v>46031</v>
      </c>
      <c r="E1279" s="1">
        <v>46031</v>
      </c>
      <c r="F1279" t="s">
        <v>32</v>
      </c>
      <c r="G1279" t="s">
        <v>63</v>
      </c>
      <c r="H1279" t="s">
        <v>22</v>
      </c>
      <c r="I1279" t="s">
        <v>44</v>
      </c>
      <c r="J1279">
        <v>178</v>
      </c>
      <c r="K1279">
        <v>896.4</v>
      </c>
      <c r="L1279">
        <v>2947000</v>
      </c>
      <c r="M1279" t="b">
        <v>0</v>
      </c>
      <c r="N1279" t="b">
        <v>0</v>
      </c>
      <c r="O1279">
        <v>1500</v>
      </c>
      <c r="P1279" t="b">
        <v>0</v>
      </c>
      <c r="Q1279" t="b">
        <v>0</v>
      </c>
      <c r="R1279" t="b">
        <v>0</v>
      </c>
      <c r="S1279" t="s">
        <v>96</v>
      </c>
      <c r="T1279" t="s">
        <v>104</v>
      </c>
    </row>
    <row r="1280" spans="1:21" x14ac:dyDescent="0.3">
      <c r="A1280" t="s">
        <v>1385</v>
      </c>
      <c r="B1280" s="1">
        <v>46122</v>
      </c>
      <c r="C1280" s="1">
        <v>46122</v>
      </c>
      <c r="D1280" s="1">
        <v>46125</v>
      </c>
      <c r="E1280" s="1">
        <v>46125</v>
      </c>
      <c r="F1280" t="s">
        <v>31</v>
      </c>
      <c r="G1280" t="s">
        <v>54</v>
      </c>
      <c r="H1280" t="s">
        <v>23</v>
      </c>
      <c r="I1280" t="s">
        <v>43</v>
      </c>
      <c r="J1280">
        <v>470.1</v>
      </c>
      <c r="K1280">
        <v>2514.9</v>
      </c>
      <c r="L1280">
        <v>6692000</v>
      </c>
      <c r="M1280" t="b">
        <v>0</v>
      </c>
      <c r="N1280" t="b">
        <v>0</v>
      </c>
      <c r="O1280">
        <v>5000</v>
      </c>
      <c r="P1280" t="b">
        <v>0</v>
      </c>
      <c r="Q1280" t="b">
        <v>0</v>
      </c>
      <c r="R1280" t="b">
        <v>0</v>
      </c>
      <c r="S1280" t="s">
        <v>96</v>
      </c>
      <c r="T1280" t="s">
        <v>112</v>
      </c>
    </row>
    <row r="1281" spans="1:21" x14ac:dyDescent="0.3">
      <c r="A1281" t="s">
        <v>1386</v>
      </c>
      <c r="B1281" s="1">
        <v>46075</v>
      </c>
      <c r="C1281" s="1">
        <v>46075</v>
      </c>
      <c r="D1281" s="1">
        <v>46079</v>
      </c>
      <c r="E1281" s="1">
        <v>46079</v>
      </c>
      <c r="F1281" t="s">
        <v>34</v>
      </c>
      <c r="G1281" t="s">
        <v>62</v>
      </c>
      <c r="H1281" t="s">
        <v>22</v>
      </c>
      <c r="I1281" t="s">
        <v>44</v>
      </c>
      <c r="J1281">
        <v>795.9</v>
      </c>
      <c r="K1281">
        <v>774.6</v>
      </c>
      <c r="L1281">
        <v>9187000</v>
      </c>
      <c r="M1281" t="b">
        <v>0</v>
      </c>
      <c r="N1281" t="b">
        <v>0</v>
      </c>
      <c r="O1281">
        <v>1500</v>
      </c>
      <c r="P1281" t="b">
        <v>0</v>
      </c>
      <c r="Q1281" t="b">
        <v>0</v>
      </c>
      <c r="R1281" t="b">
        <v>0</v>
      </c>
      <c r="S1281" t="s">
        <v>96</v>
      </c>
      <c r="T1281" t="s">
        <v>115</v>
      </c>
    </row>
    <row r="1282" spans="1:21" x14ac:dyDescent="0.3">
      <c r="A1282" t="s">
        <v>1387</v>
      </c>
      <c r="B1282" s="1">
        <v>46186</v>
      </c>
      <c r="C1282" s="1">
        <v>46186</v>
      </c>
      <c r="D1282" s="1">
        <v>46188</v>
      </c>
      <c r="E1282" s="1">
        <v>46189</v>
      </c>
      <c r="F1282" t="s">
        <v>32</v>
      </c>
      <c r="G1282" t="s">
        <v>63</v>
      </c>
      <c r="H1282" t="s">
        <v>23</v>
      </c>
      <c r="I1282" t="s">
        <v>44</v>
      </c>
      <c r="J1282">
        <v>179</v>
      </c>
      <c r="K1282">
        <v>895.2</v>
      </c>
      <c r="L1282">
        <v>2925000</v>
      </c>
      <c r="M1282" t="b">
        <v>0</v>
      </c>
      <c r="N1282" t="b">
        <v>0</v>
      </c>
      <c r="O1282">
        <v>1500</v>
      </c>
      <c r="P1282" t="b">
        <v>0</v>
      </c>
      <c r="Q1282" t="b">
        <v>0</v>
      </c>
      <c r="R1282" t="b">
        <v>0</v>
      </c>
      <c r="S1282" t="s">
        <v>101</v>
      </c>
      <c r="T1282" t="s">
        <v>99</v>
      </c>
      <c r="U1282">
        <v>1</v>
      </c>
    </row>
    <row r="1283" spans="1:21" x14ac:dyDescent="0.3">
      <c r="A1283" t="s">
        <v>1388</v>
      </c>
      <c r="B1283" s="1">
        <v>46188</v>
      </c>
      <c r="C1283" s="1">
        <v>46189</v>
      </c>
      <c r="D1283" s="1">
        <v>46194</v>
      </c>
      <c r="E1283" s="1">
        <v>46194</v>
      </c>
      <c r="F1283" t="s">
        <v>33</v>
      </c>
      <c r="G1283" t="s">
        <v>55</v>
      </c>
      <c r="H1283" t="s">
        <v>21</v>
      </c>
      <c r="I1283" t="s">
        <v>43</v>
      </c>
      <c r="J1283">
        <v>611.1</v>
      </c>
      <c r="K1283">
        <v>4118.7</v>
      </c>
      <c r="L1283">
        <v>9975000</v>
      </c>
      <c r="M1283" t="b">
        <v>0</v>
      </c>
      <c r="N1283" t="b">
        <v>0</v>
      </c>
      <c r="O1283">
        <v>5000</v>
      </c>
      <c r="P1283" t="b">
        <v>0</v>
      </c>
      <c r="Q1283" t="b">
        <v>0</v>
      </c>
      <c r="R1283" t="b">
        <v>0</v>
      </c>
      <c r="S1283" t="s">
        <v>96</v>
      </c>
      <c r="T1283" t="s">
        <v>99</v>
      </c>
    </row>
    <row r="1284" spans="1:21" x14ac:dyDescent="0.3">
      <c r="A1284" t="s">
        <v>1389</v>
      </c>
      <c r="B1284" s="1">
        <v>46163</v>
      </c>
      <c r="C1284" s="1">
        <v>46164</v>
      </c>
      <c r="D1284" s="1">
        <v>46166</v>
      </c>
      <c r="E1284" s="1">
        <v>46166</v>
      </c>
      <c r="F1284" t="s">
        <v>34</v>
      </c>
      <c r="G1284" t="s">
        <v>52</v>
      </c>
      <c r="H1284" t="s">
        <v>23</v>
      </c>
      <c r="I1284" t="s">
        <v>45</v>
      </c>
      <c r="J1284">
        <v>273.2</v>
      </c>
      <c r="K1284">
        <v>880.7</v>
      </c>
      <c r="L1284">
        <v>3051000</v>
      </c>
      <c r="M1284" t="b">
        <v>0</v>
      </c>
      <c r="N1284" t="b">
        <v>0</v>
      </c>
      <c r="O1284">
        <v>1000</v>
      </c>
      <c r="P1284" t="b">
        <v>0</v>
      </c>
      <c r="Q1284" t="b">
        <v>0</v>
      </c>
      <c r="R1284" t="b">
        <v>0</v>
      </c>
      <c r="S1284" t="s">
        <v>96</v>
      </c>
      <c r="T1284" t="s">
        <v>102</v>
      </c>
    </row>
    <row r="1285" spans="1:21" x14ac:dyDescent="0.3">
      <c r="A1285" t="s">
        <v>1390</v>
      </c>
      <c r="B1285" s="1">
        <v>46123</v>
      </c>
      <c r="C1285" s="1">
        <v>46125</v>
      </c>
      <c r="D1285" s="1">
        <v>46129</v>
      </c>
      <c r="E1285" s="1">
        <v>46129</v>
      </c>
      <c r="F1285" t="s">
        <v>33</v>
      </c>
      <c r="G1285" t="s">
        <v>58</v>
      </c>
      <c r="H1285" t="s">
        <v>21</v>
      </c>
      <c r="I1285" t="s">
        <v>43</v>
      </c>
      <c r="J1285">
        <v>636.1</v>
      </c>
      <c r="K1285">
        <v>1475.1</v>
      </c>
      <c r="L1285">
        <v>9074000</v>
      </c>
      <c r="M1285" t="b">
        <v>0</v>
      </c>
      <c r="N1285" t="b">
        <v>0</v>
      </c>
      <c r="O1285">
        <v>5000</v>
      </c>
      <c r="P1285" t="b">
        <v>0</v>
      </c>
      <c r="Q1285" t="b">
        <v>0</v>
      </c>
      <c r="R1285" t="b">
        <v>0</v>
      </c>
      <c r="S1285" t="s">
        <v>96</v>
      </c>
      <c r="T1285" t="s">
        <v>112</v>
      </c>
    </row>
    <row r="1286" spans="1:21" x14ac:dyDescent="0.3">
      <c r="A1286" t="s">
        <v>1391</v>
      </c>
      <c r="B1286" s="1">
        <v>46032</v>
      </c>
      <c r="C1286" s="1">
        <v>46034</v>
      </c>
      <c r="D1286" s="1">
        <v>46038</v>
      </c>
      <c r="E1286" s="1">
        <v>46038</v>
      </c>
      <c r="F1286" t="s">
        <v>34</v>
      </c>
      <c r="G1286" t="s">
        <v>60</v>
      </c>
      <c r="H1286" t="s">
        <v>21</v>
      </c>
      <c r="I1286" t="s">
        <v>43</v>
      </c>
      <c r="J1286">
        <v>663.5</v>
      </c>
      <c r="K1286">
        <v>3197.9</v>
      </c>
      <c r="L1286">
        <v>9001000</v>
      </c>
      <c r="M1286" t="b">
        <v>0</v>
      </c>
      <c r="N1286" t="b">
        <v>0</v>
      </c>
      <c r="O1286">
        <v>5000</v>
      </c>
      <c r="P1286" t="b">
        <v>0</v>
      </c>
      <c r="Q1286" t="b">
        <v>0</v>
      </c>
      <c r="R1286" t="b">
        <v>0</v>
      </c>
      <c r="S1286" t="s">
        <v>96</v>
      </c>
      <c r="T1286" t="s">
        <v>104</v>
      </c>
    </row>
    <row r="1287" spans="1:21" x14ac:dyDescent="0.3">
      <c r="A1287" t="s">
        <v>1392</v>
      </c>
      <c r="B1287" s="1">
        <v>46056</v>
      </c>
      <c r="C1287" s="1">
        <v>46057</v>
      </c>
      <c r="D1287" s="1">
        <v>46061</v>
      </c>
      <c r="E1287" s="1">
        <v>46061</v>
      </c>
      <c r="F1287" t="s">
        <v>32</v>
      </c>
      <c r="G1287" t="s">
        <v>56</v>
      </c>
      <c r="H1287" t="s">
        <v>20</v>
      </c>
      <c r="I1287" t="s">
        <v>44</v>
      </c>
      <c r="J1287">
        <v>1046.9000000000001</v>
      </c>
      <c r="K1287">
        <v>1379.8</v>
      </c>
      <c r="L1287">
        <v>10080000</v>
      </c>
      <c r="M1287" t="b">
        <v>0</v>
      </c>
      <c r="N1287" t="b">
        <v>0</v>
      </c>
      <c r="O1287">
        <v>1500</v>
      </c>
      <c r="P1287" t="b">
        <v>0</v>
      </c>
      <c r="Q1287" t="b">
        <v>0</v>
      </c>
      <c r="R1287" t="b">
        <v>0</v>
      </c>
      <c r="S1287" t="s">
        <v>96</v>
      </c>
      <c r="T1287" t="s">
        <v>115</v>
      </c>
    </row>
    <row r="1288" spans="1:21" x14ac:dyDescent="0.3">
      <c r="A1288" t="s">
        <v>1393</v>
      </c>
      <c r="B1288" s="1">
        <v>46078</v>
      </c>
      <c r="C1288" s="1">
        <v>46079</v>
      </c>
      <c r="D1288" s="1">
        <v>46083</v>
      </c>
      <c r="E1288" s="1">
        <v>46083</v>
      </c>
      <c r="F1288" t="s">
        <v>31</v>
      </c>
      <c r="G1288" t="s">
        <v>62</v>
      </c>
      <c r="H1288" t="s">
        <v>21</v>
      </c>
      <c r="I1288" t="s">
        <v>45</v>
      </c>
      <c r="J1288">
        <v>691.4</v>
      </c>
      <c r="K1288">
        <v>411</v>
      </c>
      <c r="L1288">
        <v>7097000</v>
      </c>
      <c r="M1288" t="b">
        <v>0</v>
      </c>
      <c r="N1288" t="b">
        <v>0</v>
      </c>
      <c r="O1288">
        <v>1000</v>
      </c>
      <c r="P1288" t="b">
        <v>0</v>
      </c>
      <c r="Q1288" t="b">
        <v>0</v>
      </c>
      <c r="R1288" t="b">
        <v>0</v>
      </c>
      <c r="S1288" t="s">
        <v>96</v>
      </c>
      <c r="T1288" t="s">
        <v>115</v>
      </c>
    </row>
    <row r="1289" spans="1:21" x14ac:dyDescent="0.3">
      <c r="A1289" t="s">
        <v>1394</v>
      </c>
      <c r="B1289" s="1">
        <v>46129</v>
      </c>
      <c r="C1289" s="1">
        <v>46131</v>
      </c>
      <c r="D1289" s="1">
        <v>46132</v>
      </c>
      <c r="E1289" s="1">
        <v>46133</v>
      </c>
      <c r="F1289" t="s">
        <v>31</v>
      </c>
      <c r="G1289" t="s">
        <v>55</v>
      </c>
      <c r="H1289" t="s">
        <v>22</v>
      </c>
      <c r="I1289" t="s">
        <v>44</v>
      </c>
      <c r="J1289">
        <v>10.9</v>
      </c>
      <c r="K1289">
        <v>1341.8</v>
      </c>
      <c r="L1289">
        <v>1082000</v>
      </c>
      <c r="M1289" t="b">
        <v>0</v>
      </c>
      <c r="N1289" t="b">
        <v>0</v>
      </c>
      <c r="O1289">
        <v>1500</v>
      </c>
      <c r="P1289" t="b">
        <v>0</v>
      </c>
      <c r="Q1289" t="b">
        <v>0</v>
      </c>
      <c r="R1289" t="b">
        <v>0</v>
      </c>
      <c r="S1289" t="s">
        <v>101</v>
      </c>
      <c r="T1289" t="s">
        <v>112</v>
      </c>
      <c r="U1289">
        <v>1</v>
      </c>
    </row>
    <row r="1290" spans="1:21" x14ac:dyDescent="0.3">
      <c r="A1290" t="s">
        <v>1395</v>
      </c>
      <c r="B1290" s="1">
        <v>46178</v>
      </c>
      <c r="C1290" s="1">
        <v>46179</v>
      </c>
      <c r="D1290" s="1">
        <v>46181</v>
      </c>
      <c r="E1290" s="1">
        <v>46183</v>
      </c>
      <c r="F1290" t="s">
        <v>33</v>
      </c>
      <c r="G1290" t="s">
        <v>63</v>
      </c>
      <c r="H1290" t="s">
        <v>20</v>
      </c>
      <c r="I1290" t="s">
        <v>45</v>
      </c>
      <c r="J1290">
        <v>296.2</v>
      </c>
      <c r="K1290">
        <v>118</v>
      </c>
      <c r="L1290">
        <v>3293000</v>
      </c>
      <c r="M1290" t="b">
        <v>0</v>
      </c>
      <c r="N1290" t="b">
        <v>0</v>
      </c>
      <c r="O1290">
        <v>1000</v>
      </c>
      <c r="P1290" t="b">
        <v>0</v>
      </c>
      <c r="Q1290" t="b">
        <v>0</v>
      </c>
      <c r="R1290" t="b">
        <v>0</v>
      </c>
      <c r="S1290" t="s">
        <v>101</v>
      </c>
      <c r="T1290" t="s">
        <v>99</v>
      </c>
      <c r="U1290">
        <v>2</v>
      </c>
    </row>
    <row r="1291" spans="1:21" x14ac:dyDescent="0.3">
      <c r="A1291" t="s">
        <v>1396</v>
      </c>
      <c r="B1291" s="1">
        <v>46188</v>
      </c>
      <c r="C1291" s="1">
        <v>46189</v>
      </c>
      <c r="D1291" s="1">
        <v>46192</v>
      </c>
      <c r="E1291" s="1">
        <v>46191</v>
      </c>
      <c r="F1291" t="s">
        <v>33</v>
      </c>
      <c r="G1291" t="s">
        <v>55</v>
      </c>
      <c r="H1291" t="s">
        <v>22</v>
      </c>
      <c r="I1291" t="s">
        <v>42</v>
      </c>
      <c r="J1291">
        <v>580.4</v>
      </c>
      <c r="K1291">
        <v>12117.3</v>
      </c>
      <c r="L1291">
        <v>12592000</v>
      </c>
      <c r="M1291" t="b">
        <v>0</v>
      </c>
      <c r="N1291" t="b">
        <v>0</v>
      </c>
      <c r="O1291">
        <v>16000</v>
      </c>
      <c r="P1291" t="b">
        <v>0</v>
      </c>
      <c r="Q1291" t="b">
        <v>0</v>
      </c>
      <c r="R1291" t="b">
        <v>0</v>
      </c>
      <c r="S1291" t="s">
        <v>96</v>
      </c>
      <c r="T1291" t="s">
        <v>99</v>
      </c>
    </row>
    <row r="1292" spans="1:21" x14ac:dyDescent="0.3">
      <c r="A1292" t="s">
        <v>1397</v>
      </c>
      <c r="B1292" s="1">
        <v>46077</v>
      </c>
      <c r="C1292" s="1">
        <v>46078</v>
      </c>
      <c r="D1292" s="1">
        <v>46082</v>
      </c>
      <c r="E1292" s="1">
        <v>46083</v>
      </c>
      <c r="F1292" t="s">
        <v>31</v>
      </c>
      <c r="G1292" t="s">
        <v>53</v>
      </c>
      <c r="H1292" t="s">
        <v>24</v>
      </c>
      <c r="I1292" t="s">
        <v>43</v>
      </c>
      <c r="J1292">
        <v>306.7</v>
      </c>
      <c r="K1292">
        <v>818.1</v>
      </c>
      <c r="L1292">
        <v>5053000</v>
      </c>
      <c r="M1292" t="b">
        <v>0</v>
      </c>
      <c r="N1292" t="b">
        <v>0</v>
      </c>
      <c r="O1292">
        <v>5000</v>
      </c>
      <c r="P1292" t="b">
        <v>0</v>
      </c>
      <c r="Q1292" t="b">
        <v>0</v>
      </c>
      <c r="R1292" t="b">
        <v>0</v>
      </c>
      <c r="S1292" t="s">
        <v>101</v>
      </c>
      <c r="T1292" t="s">
        <v>115</v>
      </c>
      <c r="U1292">
        <v>1</v>
      </c>
    </row>
    <row r="1293" spans="1:21" x14ac:dyDescent="0.3">
      <c r="A1293" t="s">
        <v>1398</v>
      </c>
      <c r="B1293" s="1">
        <v>46154</v>
      </c>
      <c r="C1293" s="1">
        <v>46155</v>
      </c>
      <c r="D1293" s="1">
        <v>46156</v>
      </c>
      <c r="E1293" s="1">
        <v>46157</v>
      </c>
      <c r="F1293" t="s">
        <v>31</v>
      </c>
      <c r="G1293" t="s">
        <v>55</v>
      </c>
      <c r="H1293" t="s">
        <v>21</v>
      </c>
      <c r="I1293" t="s">
        <v>42</v>
      </c>
      <c r="J1293">
        <v>17.5</v>
      </c>
      <c r="K1293">
        <v>10094.9</v>
      </c>
      <c r="L1293">
        <v>4328000</v>
      </c>
      <c r="M1293" t="b">
        <v>0</v>
      </c>
      <c r="N1293" t="b">
        <v>0</v>
      </c>
      <c r="O1293">
        <v>16000</v>
      </c>
      <c r="P1293" t="b">
        <v>0</v>
      </c>
      <c r="Q1293" t="b">
        <v>0</v>
      </c>
      <c r="R1293" t="b">
        <v>0</v>
      </c>
      <c r="S1293" t="s">
        <v>101</v>
      </c>
      <c r="T1293" t="s">
        <v>102</v>
      </c>
      <c r="U1293">
        <v>1</v>
      </c>
    </row>
    <row r="1294" spans="1:21" x14ac:dyDescent="0.3">
      <c r="A1294" t="s">
        <v>1399</v>
      </c>
      <c r="B1294" s="1">
        <v>46063</v>
      </c>
      <c r="C1294" s="1">
        <v>46063</v>
      </c>
      <c r="D1294" s="1">
        <v>46066</v>
      </c>
      <c r="E1294" s="1">
        <v>46068</v>
      </c>
      <c r="F1294" t="s">
        <v>33</v>
      </c>
      <c r="G1294" t="s">
        <v>57</v>
      </c>
      <c r="H1294" t="s">
        <v>20</v>
      </c>
      <c r="I1294" t="s">
        <v>44</v>
      </c>
      <c r="J1294">
        <v>510.5</v>
      </c>
      <c r="K1294">
        <v>964.7</v>
      </c>
      <c r="L1294">
        <v>5942000</v>
      </c>
      <c r="M1294" t="b">
        <v>0</v>
      </c>
      <c r="N1294" t="b">
        <v>0</v>
      </c>
      <c r="O1294">
        <v>1500</v>
      </c>
      <c r="P1294" t="b">
        <v>0</v>
      </c>
      <c r="Q1294" t="b">
        <v>0</v>
      </c>
      <c r="R1294" t="b">
        <v>0</v>
      </c>
      <c r="S1294" t="s">
        <v>101</v>
      </c>
      <c r="T1294" t="s">
        <v>115</v>
      </c>
      <c r="U1294">
        <v>2</v>
      </c>
    </row>
    <row r="1295" spans="1:21" x14ac:dyDescent="0.3">
      <c r="A1295" t="s">
        <v>1400</v>
      </c>
      <c r="B1295" s="1">
        <v>46059</v>
      </c>
      <c r="C1295" s="1">
        <v>46060</v>
      </c>
      <c r="D1295" s="1">
        <v>46064</v>
      </c>
      <c r="E1295" s="1">
        <v>46065</v>
      </c>
      <c r="F1295" t="s">
        <v>31</v>
      </c>
      <c r="G1295" t="s">
        <v>62</v>
      </c>
      <c r="H1295" t="s">
        <v>23</v>
      </c>
      <c r="I1295" t="s">
        <v>43</v>
      </c>
      <c r="J1295">
        <v>677.3</v>
      </c>
      <c r="K1295">
        <v>2245</v>
      </c>
      <c r="L1295">
        <v>9725000</v>
      </c>
      <c r="M1295" t="b">
        <v>0</v>
      </c>
      <c r="N1295" t="b">
        <v>0</v>
      </c>
      <c r="O1295">
        <v>5000</v>
      </c>
      <c r="P1295" t="b">
        <v>0</v>
      </c>
      <c r="Q1295" t="b">
        <v>0</v>
      </c>
      <c r="R1295" t="b">
        <v>0</v>
      </c>
      <c r="S1295" t="s">
        <v>101</v>
      </c>
      <c r="T1295" t="s">
        <v>115</v>
      </c>
      <c r="U1295">
        <v>1</v>
      </c>
    </row>
    <row r="1296" spans="1:21" x14ac:dyDescent="0.3">
      <c r="A1296" t="s">
        <v>1401</v>
      </c>
      <c r="B1296" s="1">
        <v>46104</v>
      </c>
      <c r="C1296" s="1">
        <v>46106</v>
      </c>
      <c r="D1296" s="1">
        <v>46110</v>
      </c>
      <c r="E1296" s="1">
        <v>46109</v>
      </c>
      <c r="F1296" t="s">
        <v>32</v>
      </c>
      <c r="G1296" t="s">
        <v>54</v>
      </c>
      <c r="H1296" t="s">
        <v>23</v>
      </c>
      <c r="I1296" t="s">
        <v>43</v>
      </c>
      <c r="J1296">
        <v>612.4</v>
      </c>
      <c r="K1296">
        <v>3711.6</v>
      </c>
      <c r="L1296">
        <v>10482000</v>
      </c>
      <c r="M1296" t="b">
        <v>0</v>
      </c>
      <c r="N1296" t="b">
        <v>0</v>
      </c>
      <c r="O1296">
        <v>5000</v>
      </c>
      <c r="P1296" t="b">
        <v>0</v>
      </c>
      <c r="Q1296" t="b">
        <v>0</v>
      </c>
      <c r="R1296" t="b">
        <v>0</v>
      </c>
      <c r="S1296" t="s">
        <v>96</v>
      </c>
      <c r="T1296" t="s">
        <v>118</v>
      </c>
    </row>
    <row r="1297" spans="1:21" x14ac:dyDescent="0.3">
      <c r="A1297" t="s">
        <v>1402</v>
      </c>
      <c r="B1297" s="1">
        <v>46123</v>
      </c>
      <c r="C1297" s="1">
        <v>46124</v>
      </c>
      <c r="D1297" s="1">
        <v>46128</v>
      </c>
      <c r="E1297" s="1">
        <v>46129</v>
      </c>
      <c r="F1297" t="s">
        <v>34</v>
      </c>
      <c r="G1297" t="s">
        <v>62</v>
      </c>
      <c r="H1297" t="s">
        <v>24</v>
      </c>
      <c r="I1297" t="s">
        <v>42</v>
      </c>
      <c r="J1297">
        <v>805.7</v>
      </c>
      <c r="K1297">
        <v>6056.9</v>
      </c>
      <c r="L1297">
        <v>15130000</v>
      </c>
      <c r="M1297" t="b">
        <v>0</v>
      </c>
      <c r="N1297" t="b">
        <v>0</v>
      </c>
      <c r="O1297">
        <v>16000</v>
      </c>
      <c r="P1297" t="b">
        <v>0</v>
      </c>
      <c r="Q1297" t="b">
        <v>0</v>
      </c>
      <c r="R1297" t="b">
        <v>0</v>
      </c>
      <c r="S1297" t="s">
        <v>101</v>
      </c>
      <c r="T1297" t="s">
        <v>112</v>
      </c>
      <c r="U1297">
        <v>1</v>
      </c>
    </row>
    <row r="1298" spans="1:21" x14ac:dyDescent="0.3">
      <c r="A1298" t="s">
        <v>1403</v>
      </c>
      <c r="B1298" s="1">
        <v>46152</v>
      </c>
      <c r="C1298" s="1">
        <v>46153</v>
      </c>
      <c r="D1298" s="1">
        <v>46155</v>
      </c>
      <c r="E1298" s="1">
        <v>46156</v>
      </c>
      <c r="F1298" t="s">
        <v>31</v>
      </c>
      <c r="G1298" t="s">
        <v>52</v>
      </c>
      <c r="H1298" t="s">
        <v>22</v>
      </c>
      <c r="I1298" t="s">
        <v>43</v>
      </c>
      <c r="J1298">
        <v>278.3</v>
      </c>
      <c r="K1298">
        <v>3143.7</v>
      </c>
      <c r="L1298">
        <v>5689000</v>
      </c>
      <c r="M1298" t="b">
        <v>0</v>
      </c>
      <c r="N1298" t="b">
        <v>0</v>
      </c>
      <c r="O1298">
        <v>5000</v>
      </c>
      <c r="P1298" t="b">
        <v>0</v>
      </c>
      <c r="Q1298" t="b">
        <v>0</v>
      </c>
      <c r="R1298" t="b">
        <v>0</v>
      </c>
      <c r="S1298" t="s">
        <v>101</v>
      </c>
      <c r="T1298" t="s">
        <v>102</v>
      </c>
      <c r="U1298">
        <v>1</v>
      </c>
    </row>
    <row r="1299" spans="1:21" x14ac:dyDescent="0.3">
      <c r="A1299" t="s">
        <v>1404</v>
      </c>
      <c r="B1299" s="1">
        <v>46154</v>
      </c>
      <c r="C1299" s="1">
        <v>46154</v>
      </c>
      <c r="D1299" s="1">
        <v>46157</v>
      </c>
      <c r="E1299" s="1">
        <v>46157</v>
      </c>
      <c r="F1299" t="s">
        <v>34</v>
      </c>
      <c r="G1299" t="s">
        <v>54</v>
      </c>
      <c r="H1299" t="s">
        <v>23</v>
      </c>
      <c r="I1299" t="s">
        <v>44</v>
      </c>
      <c r="J1299">
        <v>446.3</v>
      </c>
      <c r="K1299">
        <v>646.6</v>
      </c>
      <c r="L1299">
        <v>5233000</v>
      </c>
      <c r="M1299" t="b">
        <v>0</v>
      </c>
      <c r="N1299" t="b">
        <v>0</v>
      </c>
      <c r="O1299">
        <v>1500</v>
      </c>
      <c r="P1299" t="b">
        <v>0</v>
      </c>
      <c r="Q1299" t="b">
        <v>0</v>
      </c>
      <c r="R1299" t="b">
        <v>0</v>
      </c>
      <c r="S1299" t="s">
        <v>96</v>
      </c>
      <c r="T1299" t="s">
        <v>102</v>
      </c>
    </row>
    <row r="1300" spans="1:21" x14ac:dyDescent="0.3">
      <c r="A1300" t="s">
        <v>1405</v>
      </c>
      <c r="B1300" s="1">
        <v>46196</v>
      </c>
      <c r="C1300" s="1">
        <v>46197</v>
      </c>
      <c r="D1300" s="1">
        <v>46200</v>
      </c>
      <c r="E1300" s="1">
        <v>46199</v>
      </c>
      <c r="F1300" t="s">
        <v>32</v>
      </c>
      <c r="G1300" t="s">
        <v>60</v>
      </c>
      <c r="H1300" t="s">
        <v>21</v>
      </c>
      <c r="I1300" t="s">
        <v>43</v>
      </c>
      <c r="J1300">
        <v>470.4</v>
      </c>
      <c r="K1300">
        <v>807.5</v>
      </c>
      <c r="L1300">
        <v>7576000</v>
      </c>
      <c r="M1300" t="b">
        <v>0</v>
      </c>
      <c r="N1300" t="b">
        <v>0</v>
      </c>
      <c r="O1300">
        <v>5000</v>
      </c>
      <c r="P1300" t="b">
        <v>0</v>
      </c>
      <c r="Q1300" t="b">
        <v>0</v>
      </c>
      <c r="R1300" t="b">
        <v>0</v>
      </c>
      <c r="S1300" t="s">
        <v>96</v>
      </c>
      <c r="T1300" t="s">
        <v>99</v>
      </c>
    </row>
    <row r="1301" spans="1:21" x14ac:dyDescent="0.3">
      <c r="A1301" t="s">
        <v>1406</v>
      </c>
      <c r="B1301" s="1">
        <v>46107</v>
      </c>
      <c r="C1301" s="1">
        <v>46108</v>
      </c>
      <c r="D1301" s="1">
        <v>46109</v>
      </c>
      <c r="E1301" s="1">
        <v>46109</v>
      </c>
      <c r="F1301" t="s">
        <v>34</v>
      </c>
      <c r="G1301" t="s">
        <v>61</v>
      </c>
      <c r="H1301" t="s">
        <v>24</v>
      </c>
      <c r="I1301" t="s">
        <v>43</v>
      </c>
      <c r="J1301">
        <v>29.3</v>
      </c>
      <c r="K1301">
        <v>3058.3</v>
      </c>
      <c r="L1301">
        <v>2031000</v>
      </c>
      <c r="M1301" t="b">
        <v>0</v>
      </c>
      <c r="N1301" t="b">
        <v>0</v>
      </c>
      <c r="O1301">
        <v>5000</v>
      </c>
      <c r="P1301" t="b">
        <v>0</v>
      </c>
      <c r="Q1301" t="b">
        <v>0</v>
      </c>
      <c r="R1301" t="b">
        <v>0</v>
      </c>
      <c r="S1301" t="s">
        <v>96</v>
      </c>
      <c r="T1301" t="s">
        <v>118</v>
      </c>
    </row>
    <row r="1302" spans="1:21" x14ac:dyDescent="0.3">
      <c r="A1302" t="s">
        <v>1407</v>
      </c>
      <c r="B1302" s="1">
        <v>46094</v>
      </c>
      <c r="C1302" s="1">
        <v>46095</v>
      </c>
      <c r="D1302" s="1">
        <v>46098</v>
      </c>
      <c r="E1302" s="1">
        <v>46098</v>
      </c>
      <c r="F1302" t="s">
        <v>34</v>
      </c>
      <c r="G1302" t="s">
        <v>54</v>
      </c>
      <c r="H1302" t="s">
        <v>23</v>
      </c>
      <c r="I1302" t="s">
        <v>43</v>
      </c>
      <c r="J1302">
        <v>443.7</v>
      </c>
      <c r="K1302">
        <v>4018.1</v>
      </c>
      <c r="L1302">
        <v>8305000</v>
      </c>
      <c r="M1302" t="b">
        <v>0</v>
      </c>
      <c r="N1302" t="b">
        <v>0</v>
      </c>
      <c r="O1302">
        <v>5000</v>
      </c>
      <c r="P1302" t="b">
        <v>0</v>
      </c>
      <c r="Q1302" t="b">
        <v>0</v>
      </c>
      <c r="R1302" t="b">
        <v>0</v>
      </c>
      <c r="S1302" t="s">
        <v>96</v>
      </c>
      <c r="T1302" t="s">
        <v>118</v>
      </c>
    </row>
    <row r="1303" spans="1:21" x14ac:dyDescent="0.3">
      <c r="A1303" t="s">
        <v>1408</v>
      </c>
      <c r="B1303" s="1">
        <v>46109</v>
      </c>
      <c r="C1303" s="1">
        <v>46110</v>
      </c>
      <c r="D1303" s="1">
        <v>46112</v>
      </c>
      <c r="E1303" s="1">
        <v>46114</v>
      </c>
      <c r="F1303" t="s">
        <v>31</v>
      </c>
      <c r="G1303" t="s">
        <v>63</v>
      </c>
      <c r="H1303" t="s">
        <v>24</v>
      </c>
      <c r="I1303" t="s">
        <v>42</v>
      </c>
      <c r="J1303">
        <v>276</v>
      </c>
      <c r="K1303">
        <v>12747</v>
      </c>
      <c r="L1303">
        <v>9825000</v>
      </c>
      <c r="M1303" t="b">
        <v>0</v>
      </c>
      <c r="N1303" t="b">
        <v>0</v>
      </c>
      <c r="O1303">
        <v>16000</v>
      </c>
      <c r="P1303" t="b">
        <v>0</v>
      </c>
      <c r="Q1303" t="b">
        <v>0</v>
      </c>
      <c r="R1303" t="b">
        <v>0</v>
      </c>
      <c r="S1303" t="s">
        <v>101</v>
      </c>
      <c r="T1303" t="s">
        <v>118</v>
      </c>
      <c r="U1303">
        <v>2</v>
      </c>
    </row>
    <row r="1304" spans="1:21" x14ac:dyDescent="0.3">
      <c r="A1304" t="s">
        <v>1409</v>
      </c>
      <c r="B1304" s="1">
        <v>46089</v>
      </c>
      <c r="C1304" s="1">
        <v>46089</v>
      </c>
      <c r="D1304" s="1">
        <v>46092</v>
      </c>
      <c r="E1304" s="1">
        <v>46095</v>
      </c>
      <c r="F1304" t="s">
        <v>31</v>
      </c>
      <c r="G1304" t="s">
        <v>58</v>
      </c>
      <c r="H1304" t="s">
        <v>22</v>
      </c>
      <c r="I1304" t="s">
        <v>44</v>
      </c>
      <c r="J1304">
        <v>181.7</v>
      </c>
      <c r="K1304">
        <v>1368.8</v>
      </c>
      <c r="L1304">
        <v>2941000</v>
      </c>
      <c r="M1304" t="b">
        <v>0</v>
      </c>
      <c r="N1304" t="b">
        <v>0</v>
      </c>
      <c r="O1304">
        <v>1500</v>
      </c>
      <c r="P1304" t="b">
        <v>0</v>
      </c>
      <c r="Q1304" t="b">
        <v>0</v>
      </c>
      <c r="R1304" t="b">
        <v>0</v>
      </c>
      <c r="S1304" t="s">
        <v>101</v>
      </c>
      <c r="T1304" t="s">
        <v>118</v>
      </c>
      <c r="U1304">
        <v>3</v>
      </c>
    </row>
    <row r="1305" spans="1:21" x14ac:dyDescent="0.3">
      <c r="A1305" t="s">
        <v>1410</v>
      </c>
      <c r="B1305" s="1">
        <v>46101</v>
      </c>
      <c r="C1305" s="1">
        <v>46101</v>
      </c>
      <c r="D1305" s="1">
        <v>46104</v>
      </c>
      <c r="E1305" s="1">
        <v>46104</v>
      </c>
      <c r="F1305" t="s">
        <v>34</v>
      </c>
      <c r="G1305" t="s">
        <v>63</v>
      </c>
      <c r="H1305" t="s">
        <v>23</v>
      </c>
      <c r="I1305" t="s">
        <v>44</v>
      </c>
      <c r="J1305">
        <v>307.5</v>
      </c>
      <c r="K1305">
        <v>1357.7</v>
      </c>
      <c r="L1305">
        <v>3691000</v>
      </c>
      <c r="M1305" t="b">
        <v>0</v>
      </c>
      <c r="N1305" t="b">
        <v>0</v>
      </c>
      <c r="O1305">
        <v>1500</v>
      </c>
      <c r="P1305" t="b">
        <v>0</v>
      </c>
      <c r="Q1305" t="b">
        <v>0</v>
      </c>
      <c r="R1305" t="b">
        <v>0</v>
      </c>
      <c r="S1305" t="s">
        <v>96</v>
      </c>
      <c r="T1305" t="s">
        <v>118</v>
      </c>
    </row>
    <row r="1306" spans="1:21" x14ac:dyDescent="0.3">
      <c r="A1306" t="s">
        <v>1411</v>
      </c>
      <c r="B1306" s="1">
        <v>46069</v>
      </c>
      <c r="C1306" s="1">
        <v>46070</v>
      </c>
      <c r="D1306" s="1">
        <v>46073</v>
      </c>
      <c r="E1306" s="1">
        <v>46073</v>
      </c>
      <c r="F1306" t="s">
        <v>33</v>
      </c>
      <c r="G1306" t="s">
        <v>57</v>
      </c>
      <c r="H1306" t="s">
        <v>24</v>
      </c>
      <c r="I1306" t="s">
        <v>42</v>
      </c>
      <c r="J1306">
        <v>439.7</v>
      </c>
      <c r="K1306">
        <v>6891.8</v>
      </c>
      <c r="L1306">
        <v>11950000</v>
      </c>
      <c r="M1306" t="b">
        <v>0</v>
      </c>
      <c r="N1306" t="b">
        <v>0</v>
      </c>
      <c r="O1306">
        <v>16000</v>
      </c>
      <c r="P1306" t="b">
        <v>0</v>
      </c>
      <c r="Q1306" t="b">
        <v>0</v>
      </c>
      <c r="R1306" t="b">
        <v>0</v>
      </c>
      <c r="S1306" t="s">
        <v>96</v>
      </c>
      <c r="T1306" t="s">
        <v>115</v>
      </c>
    </row>
    <row r="1307" spans="1:21" x14ac:dyDescent="0.3">
      <c r="A1307" t="s">
        <v>1412</v>
      </c>
      <c r="B1307" s="1">
        <v>46081</v>
      </c>
      <c r="C1307" s="1">
        <v>46083</v>
      </c>
      <c r="D1307" s="1">
        <v>46085</v>
      </c>
      <c r="E1307" s="1">
        <v>46086</v>
      </c>
      <c r="F1307" t="s">
        <v>34</v>
      </c>
      <c r="G1307" t="s">
        <v>58</v>
      </c>
      <c r="H1307" t="s">
        <v>20</v>
      </c>
      <c r="I1307" t="s">
        <v>45</v>
      </c>
      <c r="J1307">
        <v>152.19999999999999</v>
      </c>
      <c r="K1307">
        <v>109.7</v>
      </c>
      <c r="L1307">
        <v>1785000</v>
      </c>
      <c r="M1307" t="b">
        <v>0</v>
      </c>
      <c r="N1307" t="b">
        <v>0</v>
      </c>
      <c r="O1307">
        <v>1000</v>
      </c>
      <c r="P1307" t="b">
        <v>0</v>
      </c>
      <c r="Q1307" t="b">
        <v>0</v>
      </c>
      <c r="R1307" t="b">
        <v>0</v>
      </c>
      <c r="S1307" t="s">
        <v>101</v>
      </c>
      <c r="T1307" t="s">
        <v>118</v>
      </c>
      <c r="U1307">
        <v>1</v>
      </c>
    </row>
    <row r="1308" spans="1:21" x14ac:dyDescent="0.3">
      <c r="A1308" t="s">
        <v>1413</v>
      </c>
      <c r="B1308" s="1">
        <v>46079</v>
      </c>
      <c r="C1308" s="1">
        <v>46080</v>
      </c>
      <c r="D1308" s="1">
        <v>46084</v>
      </c>
      <c r="E1308" s="1">
        <v>46084</v>
      </c>
      <c r="F1308" t="s">
        <v>34</v>
      </c>
      <c r="G1308" t="s">
        <v>59</v>
      </c>
      <c r="H1308" t="s">
        <v>21</v>
      </c>
      <c r="I1308" t="s">
        <v>44</v>
      </c>
      <c r="J1308">
        <v>342</v>
      </c>
      <c r="K1308">
        <v>315.10000000000002</v>
      </c>
      <c r="L1308">
        <v>4227000</v>
      </c>
      <c r="M1308" t="b">
        <v>0</v>
      </c>
      <c r="N1308" t="b">
        <v>0</v>
      </c>
      <c r="O1308">
        <v>1500</v>
      </c>
      <c r="P1308" t="b">
        <v>0</v>
      </c>
      <c r="Q1308" t="b">
        <v>0</v>
      </c>
      <c r="R1308" t="b">
        <v>0</v>
      </c>
      <c r="S1308" t="s">
        <v>96</v>
      </c>
      <c r="T1308" t="s">
        <v>115</v>
      </c>
    </row>
    <row r="1309" spans="1:21" x14ac:dyDescent="0.3">
      <c r="A1309" t="s">
        <v>1414</v>
      </c>
      <c r="B1309" s="1">
        <v>46140</v>
      </c>
      <c r="C1309" s="1">
        <v>46141</v>
      </c>
      <c r="D1309" s="1">
        <v>46143</v>
      </c>
      <c r="E1309" s="1">
        <v>46143</v>
      </c>
      <c r="F1309" t="s">
        <v>34</v>
      </c>
      <c r="G1309" t="s">
        <v>58</v>
      </c>
      <c r="H1309" t="s">
        <v>23</v>
      </c>
      <c r="I1309" t="s">
        <v>44</v>
      </c>
      <c r="J1309">
        <v>150.30000000000001</v>
      </c>
      <c r="K1309">
        <v>1320.7</v>
      </c>
      <c r="L1309">
        <v>2239000</v>
      </c>
      <c r="M1309" t="b">
        <v>0</v>
      </c>
      <c r="N1309" t="b">
        <v>0</v>
      </c>
      <c r="O1309">
        <v>1500</v>
      </c>
      <c r="P1309" t="b">
        <v>0</v>
      </c>
      <c r="Q1309" t="b">
        <v>0</v>
      </c>
      <c r="R1309" t="b">
        <v>0</v>
      </c>
      <c r="S1309" t="s">
        <v>96</v>
      </c>
      <c r="T1309" t="s">
        <v>112</v>
      </c>
    </row>
    <row r="1310" spans="1:21" x14ac:dyDescent="0.3">
      <c r="A1310" t="s">
        <v>1415</v>
      </c>
      <c r="B1310" s="1">
        <v>46185</v>
      </c>
      <c r="C1310" s="1">
        <v>46185</v>
      </c>
      <c r="D1310" s="1">
        <v>46189</v>
      </c>
      <c r="E1310" s="1">
        <v>46189</v>
      </c>
      <c r="F1310" t="s">
        <v>34</v>
      </c>
      <c r="G1310" t="s">
        <v>56</v>
      </c>
      <c r="H1310" t="s">
        <v>20</v>
      </c>
      <c r="I1310" t="s">
        <v>45</v>
      </c>
      <c r="J1310">
        <v>853.4</v>
      </c>
      <c r="K1310">
        <v>705.3</v>
      </c>
      <c r="L1310">
        <v>8379000</v>
      </c>
      <c r="M1310" t="b">
        <v>0</v>
      </c>
      <c r="N1310" t="b">
        <v>0</v>
      </c>
      <c r="O1310">
        <v>1000</v>
      </c>
      <c r="P1310" t="b">
        <v>0</v>
      </c>
      <c r="Q1310" t="b">
        <v>0</v>
      </c>
      <c r="R1310" t="b">
        <v>0</v>
      </c>
      <c r="S1310" t="s">
        <v>96</v>
      </c>
      <c r="T1310" t="s">
        <v>99</v>
      </c>
    </row>
    <row r="1311" spans="1:21" x14ac:dyDescent="0.3">
      <c r="A1311" t="s">
        <v>1416</v>
      </c>
      <c r="B1311" s="1">
        <v>46076</v>
      </c>
      <c r="C1311" s="1">
        <v>46076</v>
      </c>
      <c r="D1311" s="1">
        <v>46079</v>
      </c>
      <c r="E1311" s="1">
        <v>46080</v>
      </c>
      <c r="F1311" t="s">
        <v>34</v>
      </c>
      <c r="G1311" t="s">
        <v>59</v>
      </c>
      <c r="H1311" t="s">
        <v>24</v>
      </c>
      <c r="I1311" t="s">
        <v>45</v>
      </c>
      <c r="J1311">
        <v>335.2</v>
      </c>
      <c r="K1311">
        <v>162.80000000000001</v>
      </c>
      <c r="L1311">
        <v>3170000</v>
      </c>
      <c r="M1311" t="b">
        <v>0</v>
      </c>
      <c r="N1311" t="b">
        <v>0</v>
      </c>
      <c r="O1311">
        <v>1000</v>
      </c>
      <c r="P1311" t="b">
        <v>0</v>
      </c>
      <c r="Q1311" t="b">
        <v>0</v>
      </c>
      <c r="R1311" t="b">
        <v>0</v>
      </c>
      <c r="S1311" t="s">
        <v>101</v>
      </c>
      <c r="T1311" t="s">
        <v>115</v>
      </c>
      <c r="U1311">
        <v>1</v>
      </c>
    </row>
    <row r="1312" spans="1:21" x14ac:dyDescent="0.3">
      <c r="A1312" t="s">
        <v>1417</v>
      </c>
      <c r="B1312" s="1">
        <v>46082</v>
      </c>
      <c r="C1312" s="1">
        <v>46084</v>
      </c>
      <c r="D1312" s="1">
        <v>46087</v>
      </c>
      <c r="E1312" s="1">
        <v>46088</v>
      </c>
      <c r="F1312" t="s">
        <v>31</v>
      </c>
      <c r="G1312" t="s">
        <v>54</v>
      </c>
      <c r="H1312" t="s">
        <v>21</v>
      </c>
      <c r="I1312" t="s">
        <v>44</v>
      </c>
      <c r="J1312">
        <v>455.1</v>
      </c>
      <c r="K1312">
        <v>888</v>
      </c>
      <c r="L1312">
        <v>5265000</v>
      </c>
      <c r="M1312" t="b">
        <v>0</v>
      </c>
      <c r="N1312" t="b">
        <v>0</v>
      </c>
      <c r="O1312">
        <v>1500</v>
      </c>
      <c r="P1312" t="b">
        <v>0</v>
      </c>
      <c r="Q1312" t="b">
        <v>0</v>
      </c>
      <c r="R1312" t="b">
        <v>0</v>
      </c>
      <c r="S1312" t="s">
        <v>101</v>
      </c>
      <c r="T1312" t="s">
        <v>118</v>
      </c>
      <c r="U1312">
        <v>1</v>
      </c>
    </row>
    <row r="1313" spans="1:21" x14ac:dyDescent="0.3">
      <c r="A1313" t="s">
        <v>1418</v>
      </c>
      <c r="B1313" s="1">
        <v>46067</v>
      </c>
      <c r="C1313" s="1">
        <v>46067</v>
      </c>
      <c r="D1313" s="1">
        <v>46068</v>
      </c>
      <c r="E1313" s="1">
        <v>46070</v>
      </c>
      <c r="F1313" t="s">
        <v>31</v>
      </c>
      <c r="G1313" t="s">
        <v>61</v>
      </c>
      <c r="H1313" t="s">
        <v>24</v>
      </c>
      <c r="I1313" t="s">
        <v>42</v>
      </c>
      <c r="J1313">
        <v>54.4</v>
      </c>
      <c r="K1313">
        <v>4414.2</v>
      </c>
      <c r="L1313">
        <v>3825000</v>
      </c>
      <c r="M1313" t="b">
        <v>0</v>
      </c>
      <c r="N1313" t="b">
        <v>0</v>
      </c>
      <c r="O1313">
        <v>16000</v>
      </c>
      <c r="P1313" t="b">
        <v>0</v>
      </c>
      <c r="Q1313" t="b">
        <v>0</v>
      </c>
      <c r="R1313" t="b">
        <v>0</v>
      </c>
      <c r="S1313" t="s">
        <v>101</v>
      </c>
      <c r="T1313" t="s">
        <v>115</v>
      </c>
      <c r="U1313">
        <v>2</v>
      </c>
    </row>
    <row r="1314" spans="1:21" x14ac:dyDescent="0.3">
      <c r="A1314" t="s">
        <v>1419</v>
      </c>
      <c r="B1314" s="1">
        <v>46156</v>
      </c>
      <c r="C1314" s="1">
        <v>46157</v>
      </c>
      <c r="D1314" s="1">
        <v>46161</v>
      </c>
      <c r="E1314" s="1">
        <v>46161</v>
      </c>
      <c r="F1314" t="s">
        <v>33</v>
      </c>
      <c r="G1314" t="s">
        <v>57</v>
      </c>
      <c r="H1314" t="s">
        <v>21</v>
      </c>
      <c r="I1314" t="s">
        <v>44</v>
      </c>
      <c r="J1314">
        <v>485.3</v>
      </c>
      <c r="K1314">
        <v>774.6</v>
      </c>
      <c r="L1314">
        <v>5261000</v>
      </c>
      <c r="M1314" t="b">
        <v>0</v>
      </c>
      <c r="N1314" t="b">
        <v>0</v>
      </c>
      <c r="O1314">
        <v>1500</v>
      </c>
      <c r="P1314" t="b">
        <v>0</v>
      </c>
      <c r="Q1314" t="b">
        <v>0</v>
      </c>
      <c r="R1314" t="b">
        <v>0</v>
      </c>
      <c r="S1314" t="s">
        <v>96</v>
      </c>
      <c r="T1314" t="s">
        <v>102</v>
      </c>
    </row>
    <row r="1315" spans="1:21" x14ac:dyDescent="0.3">
      <c r="A1315" t="s">
        <v>1420</v>
      </c>
      <c r="B1315" s="1">
        <v>46047</v>
      </c>
      <c r="C1315" s="1">
        <v>46048</v>
      </c>
      <c r="D1315" s="1">
        <v>46051</v>
      </c>
      <c r="E1315" s="1">
        <v>46051</v>
      </c>
      <c r="F1315" t="s">
        <v>31</v>
      </c>
      <c r="G1315" t="s">
        <v>63</v>
      </c>
      <c r="H1315" t="s">
        <v>23</v>
      </c>
      <c r="I1315" t="s">
        <v>43</v>
      </c>
      <c r="J1315">
        <v>270</v>
      </c>
      <c r="K1315">
        <v>1549.3</v>
      </c>
      <c r="L1315">
        <v>5106000</v>
      </c>
      <c r="M1315" t="b">
        <v>0</v>
      </c>
      <c r="N1315" t="b">
        <v>0</v>
      </c>
      <c r="O1315">
        <v>5000</v>
      </c>
      <c r="P1315" t="b">
        <v>0</v>
      </c>
      <c r="Q1315" t="b">
        <v>0</v>
      </c>
      <c r="R1315" t="b">
        <v>0</v>
      </c>
      <c r="S1315" t="s">
        <v>96</v>
      </c>
      <c r="T1315" t="s">
        <v>104</v>
      </c>
    </row>
    <row r="1316" spans="1:21" x14ac:dyDescent="0.3">
      <c r="A1316" t="s">
        <v>1421</v>
      </c>
      <c r="B1316" s="1">
        <v>46117</v>
      </c>
      <c r="C1316" s="1">
        <v>46118</v>
      </c>
      <c r="D1316" s="1">
        <v>46123</v>
      </c>
      <c r="E1316" s="1">
        <v>46124</v>
      </c>
      <c r="F1316" t="s">
        <v>31</v>
      </c>
      <c r="G1316" t="s">
        <v>56</v>
      </c>
      <c r="H1316" t="s">
        <v>20</v>
      </c>
      <c r="I1316" t="s">
        <v>44</v>
      </c>
      <c r="J1316">
        <v>885</v>
      </c>
      <c r="K1316">
        <v>1126.8</v>
      </c>
      <c r="L1316">
        <v>10708000</v>
      </c>
      <c r="M1316" t="b">
        <v>0</v>
      </c>
      <c r="N1316" t="b">
        <v>0</v>
      </c>
      <c r="O1316">
        <v>1500</v>
      </c>
      <c r="P1316" t="b">
        <v>0</v>
      </c>
      <c r="Q1316" t="b">
        <v>0</v>
      </c>
      <c r="R1316" t="b">
        <v>0</v>
      </c>
      <c r="S1316" t="s">
        <v>101</v>
      </c>
      <c r="T1316" t="s">
        <v>112</v>
      </c>
      <c r="U1316">
        <v>1</v>
      </c>
    </row>
    <row r="1317" spans="1:21" x14ac:dyDescent="0.3">
      <c r="A1317" t="s">
        <v>1422</v>
      </c>
      <c r="B1317" s="1">
        <v>46031</v>
      </c>
      <c r="C1317" s="1">
        <v>46031</v>
      </c>
      <c r="D1317" s="1">
        <v>46033</v>
      </c>
      <c r="E1317" s="1">
        <v>46033</v>
      </c>
      <c r="F1317" t="s">
        <v>34</v>
      </c>
      <c r="G1317" t="s">
        <v>58</v>
      </c>
      <c r="H1317" t="s">
        <v>21</v>
      </c>
      <c r="I1317" t="s">
        <v>43</v>
      </c>
      <c r="J1317">
        <v>148.4</v>
      </c>
      <c r="K1317">
        <v>1037.3</v>
      </c>
      <c r="L1317">
        <v>3134000</v>
      </c>
      <c r="M1317" t="b">
        <v>0</v>
      </c>
      <c r="N1317" t="b">
        <v>0</v>
      </c>
      <c r="O1317">
        <v>5000</v>
      </c>
      <c r="P1317" t="b">
        <v>0</v>
      </c>
      <c r="Q1317" t="b">
        <v>0</v>
      </c>
      <c r="R1317" t="b">
        <v>0</v>
      </c>
      <c r="S1317" t="s">
        <v>96</v>
      </c>
      <c r="T1317" t="s">
        <v>104</v>
      </c>
    </row>
    <row r="1318" spans="1:21" x14ac:dyDescent="0.3">
      <c r="A1318" t="s">
        <v>1423</v>
      </c>
      <c r="B1318" s="1">
        <v>46032</v>
      </c>
      <c r="C1318" s="1">
        <v>46033</v>
      </c>
      <c r="D1318" s="1">
        <v>46035</v>
      </c>
      <c r="E1318" s="1">
        <v>46035</v>
      </c>
      <c r="F1318" t="s">
        <v>31</v>
      </c>
      <c r="G1318" t="s">
        <v>58</v>
      </c>
      <c r="H1318" t="s">
        <v>20</v>
      </c>
      <c r="I1318" t="s">
        <v>45</v>
      </c>
      <c r="J1318">
        <v>199.3</v>
      </c>
      <c r="K1318">
        <v>88.6</v>
      </c>
      <c r="L1318">
        <v>2038000</v>
      </c>
      <c r="M1318" t="b">
        <v>0</v>
      </c>
      <c r="N1318" t="b">
        <v>0</v>
      </c>
      <c r="O1318">
        <v>1000</v>
      </c>
      <c r="P1318" t="b">
        <v>0</v>
      </c>
      <c r="Q1318" t="b">
        <v>0</v>
      </c>
      <c r="R1318" t="b">
        <v>0</v>
      </c>
      <c r="S1318" t="s">
        <v>96</v>
      </c>
      <c r="T1318" t="s">
        <v>104</v>
      </c>
    </row>
    <row r="1319" spans="1:21" x14ac:dyDescent="0.3">
      <c r="A1319" t="s">
        <v>1424</v>
      </c>
      <c r="B1319" s="1">
        <v>46104</v>
      </c>
      <c r="C1319" s="1">
        <v>46104</v>
      </c>
      <c r="D1319" s="1">
        <v>46106</v>
      </c>
      <c r="E1319" s="1">
        <v>46106</v>
      </c>
      <c r="F1319" t="s">
        <v>31</v>
      </c>
      <c r="G1319" t="s">
        <v>52</v>
      </c>
      <c r="H1319" t="s">
        <v>23</v>
      </c>
      <c r="I1319" t="s">
        <v>45</v>
      </c>
      <c r="J1319">
        <v>264.2</v>
      </c>
      <c r="K1319">
        <v>696.1</v>
      </c>
      <c r="L1319">
        <v>3342000</v>
      </c>
      <c r="M1319" t="b">
        <v>0</v>
      </c>
      <c r="N1319" t="b">
        <v>0</v>
      </c>
      <c r="O1319">
        <v>1000</v>
      </c>
      <c r="P1319" t="b">
        <v>0</v>
      </c>
      <c r="Q1319" t="b">
        <v>0</v>
      </c>
      <c r="R1319" t="b">
        <v>0</v>
      </c>
      <c r="S1319" t="s">
        <v>96</v>
      </c>
      <c r="T1319" t="s">
        <v>118</v>
      </c>
    </row>
    <row r="1320" spans="1:21" x14ac:dyDescent="0.3">
      <c r="A1320" t="s">
        <v>1425</v>
      </c>
      <c r="B1320" s="1">
        <v>46080</v>
      </c>
      <c r="C1320" s="1">
        <v>46081</v>
      </c>
      <c r="D1320" s="1">
        <v>46083</v>
      </c>
      <c r="E1320" s="1">
        <v>46083</v>
      </c>
      <c r="F1320" t="s">
        <v>32</v>
      </c>
      <c r="G1320" t="s">
        <v>63</v>
      </c>
      <c r="H1320" t="s">
        <v>21</v>
      </c>
      <c r="I1320" t="s">
        <v>43</v>
      </c>
      <c r="J1320">
        <v>174.5</v>
      </c>
      <c r="K1320">
        <v>3288.8</v>
      </c>
      <c r="L1320">
        <v>4588000</v>
      </c>
      <c r="M1320" t="b">
        <v>0</v>
      </c>
      <c r="N1320" t="b">
        <v>0</v>
      </c>
      <c r="O1320">
        <v>5000</v>
      </c>
      <c r="P1320" t="b">
        <v>0</v>
      </c>
      <c r="Q1320" t="b">
        <v>0</v>
      </c>
      <c r="R1320" t="b">
        <v>0</v>
      </c>
      <c r="S1320" t="s">
        <v>96</v>
      </c>
      <c r="T1320" t="s">
        <v>115</v>
      </c>
    </row>
    <row r="1321" spans="1:21" x14ac:dyDescent="0.3">
      <c r="A1321" t="s">
        <v>1426</v>
      </c>
      <c r="B1321" s="1">
        <v>46079</v>
      </c>
      <c r="C1321" s="1">
        <v>46080</v>
      </c>
      <c r="D1321" s="1">
        <v>46083</v>
      </c>
      <c r="E1321" s="1">
        <v>46084</v>
      </c>
      <c r="F1321" t="s">
        <v>32</v>
      </c>
      <c r="G1321" t="s">
        <v>60</v>
      </c>
      <c r="H1321" t="s">
        <v>20</v>
      </c>
      <c r="I1321" t="s">
        <v>45</v>
      </c>
      <c r="J1321">
        <v>467.7</v>
      </c>
      <c r="K1321">
        <v>725.9</v>
      </c>
      <c r="L1321">
        <v>4566000</v>
      </c>
      <c r="M1321" t="b">
        <v>0</v>
      </c>
      <c r="N1321" t="b">
        <v>0</v>
      </c>
      <c r="O1321">
        <v>1000</v>
      </c>
      <c r="P1321" t="b">
        <v>0</v>
      </c>
      <c r="Q1321" t="b">
        <v>0</v>
      </c>
      <c r="R1321" t="b">
        <v>0</v>
      </c>
      <c r="S1321" t="s">
        <v>101</v>
      </c>
      <c r="T1321" t="s">
        <v>115</v>
      </c>
      <c r="U1321">
        <v>1</v>
      </c>
    </row>
    <row r="1322" spans="1:21" x14ac:dyDescent="0.3">
      <c r="A1322" t="s">
        <v>1427</v>
      </c>
      <c r="B1322" s="1">
        <v>46151</v>
      </c>
      <c r="C1322" s="1">
        <v>46152</v>
      </c>
      <c r="D1322" s="1">
        <v>46156</v>
      </c>
      <c r="E1322" s="1">
        <v>46156</v>
      </c>
      <c r="F1322" t="s">
        <v>34</v>
      </c>
      <c r="G1322" t="s">
        <v>60</v>
      </c>
      <c r="H1322" t="s">
        <v>22</v>
      </c>
      <c r="I1322" t="s">
        <v>44</v>
      </c>
      <c r="J1322">
        <v>676.6</v>
      </c>
      <c r="K1322">
        <v>449.7</v>
      </c>
      <c r="L1322">
        <v>7306000</v>
      </c>
      <c r="M1322" t="b">
        <v>0</v>
      </c>
      <c r="N1322" t="b">
        <v>0</v>
      </c>
      <c r="O1322">
        <v>1500</v>
      </c>
      <c r="P1322" t="b">
        <v>0</v>
      </c>
      <c r="Q1322" t="b">
        <v>0</v>
      </c>
      <c r="R1322" t="b">
        <v>0</v>
      </c>
      <c r="S1322" t="s">
        <v>96</v>
      </c>
      <c r="T1322" t="s">
        <v>102</v>
      </c>
    </row>
    <row r="1323" spans="1:21" x14ac:dyDescent="0.3">
      <c r="A1323" t="s">
        <v>1428</v>
      </c>
      <c r="B1323" s="1">
        <v>46118</v>
      </c>
      <c r="C1323" s="1">
        <v>46119</v>
      </c>
      <c r="D1323" s="1">
        <v>46121</v>
      </c>
      <c r="F1323" t="s">
        <v>31</v>
      </c>
      <c r="G1323" t="s">
        <v>52</v>
      </c>
      <c r="H1323" t="s">
        <v>22</v>
      </c>
      <c r="I1323" t="s">
        <v>43</v>
      </c>
      <c r="J1323">
        <v>291.5</v>
      </c>
      <c r="K1323">
        <v>2995.1</v>
      </c>
      <c r="L1323">
        <v>5567000</v>
      </c>
      <c r="M1323" t="b">
        <v>0</v>
      </c>
      <c r="N1323" t="b">
        <v>0</v>
      </c>
      <c r="O1323">
        <v>5000</v>
      </c>
      <c r="P1323" t="b">
        <v>0</v>
      </c>
      <c r="Q1323" t="b">
        <v>0</v>
      </c>
      <c r="R1323" t="b">
        <v>0</v>
      </c>
      <c r="S1323" t="s">
        <v>203</v>
      </c>
      <c r="T1323" t="s">
        <v>112</v>
      </c>
    </row>
    <row r="1324" spans="1:21" x14ac:dyDescent="0.3">
      <c r="A1324" t="s">
        <v>1429</v>
      </c>
      <c r="B1324" s="1">
        <v>46079</v>
      </c>
      <c r="C1324" s="1">
        <v>46080</v>
      </c>
      <c r="D1324" s="1">
        <v>46082</v>
      </c>
      <c r="E1324" s="1">
        <v>46082</v>
      </c>
      <c r="F1324" t="s">
        <v>34</v>
      </c>
      <c r="G1324" t="s">
        <v>55</v>
      </c>
      <c r="H1324" t="s">
        <v>22</v>
      </c>
      <c r="I1324" t="s">
        <v>43</v>
      </c>
      <c r="J1324">
        <v>54.9</v>
      </c>
      <c r="K1324">
        <v>1225.4000000000001</v>
      </c>
      <c r="L1324">
        <v>1907000</v>
      </c>
      <c r="M1324" t="b">
        <v>0</v>
      </c>
      <c r="N1324" t="b">
        <v>0</v>
      </c>
      <c r="O1324">
        <v>5000</v>
      </c>
      <c r="P1324" t="b">
        <v>0</v>
      </c>
      <c r="Q1324" t="b">
        <v>0</v>
      </c>
      <c r="R1324" t="b">
        <v>0</v>
      </c>
      <c r="S1324" t="s">
        <v>96</v>
      </c>
      <c r="T1324" t="s">
        <v>115</v>
      </c>
    </row>
    <row r="1325" spans="1:21" x14ac:dyDescent="0.3">
      <c r="A1325" t="s">
        <v>1430</v>
      </c>
      <c r="B1325" s="1">
        <v>46124</v>
      </c>
      <c r="C1325" s="1">
        <v>46125</v>
      </c>
      <c r="D1325" s="1">
        <v>46128</v>
      </c>
      <c r="E1325" s="1">
        <v>46128</v>
      </c>
      <c r="F1325" t="s">
        <v>34</v>
      </c>
      <c r="G1325" t="s">
        <v>54</v>
      </c>
      <c r="H1325" t="s">
        <v>20</v>
      </c>
      <c r="I1325" t="s">
        <v>43</v>
      </c>
      <c r="J1325">
        <v>447.1</v>
      </c>
      <c r="K1325">
        <v>3625.8</v>
      </c>
      <c r="L1325">
        <v>7880000</v>
      </c>
      <c r="M1325" t="b">
        <v>0</v>
      </c>
      <c r="N1325" t="b">
        <v>0</v>
      </c>
      <c r="O1325">
        <v>5000</v>
      </c>
      <c r="P1325" t="b">
        <v>0</v>
      </c>
      <c r="Q1325" t="b">
        <v>0</v>
      </c>
      <c r="R1325" t="b">
        <v>0</v>
      </c>
      <c r="S1325" t="s">
        <v>96</v>
      </c>
      <c r="T1325" t="s">
        <v>112</v>
      </c>
    </row>
    <row r="1326" spans="1:21" x14ac:dyDescent="0.3">
      <c r="A1326" t="s">
        <v>1431</v>
      </c>
      <c r="B1326" s="1">
        <v>46106</v>
      </c>
      <c r="C1326" s="1">
        <v>46108</v>
      </c>
      <c r="D1326" s="1">
        <v>46111</v>
      </c>
      <c r="E1326" s="1">
        <v>46111</v>
      </c>
      <c r="F1326" t="s">
        <v>34</v>
      </c>
      <c r="G1326" t="s">
        <v>59</v>
      </c>
      <c r="H1326" t="s">
        <v>20</v>
      </c>
      <c r="I1326" t="s">
        <v>43</v>
      </c>
      <c r="J1326">
        <v>307</v>
      </c>
      <c r="K1326">
        <v>2013.8</v>
      </c>
      <c r="L1326">
        <v>5497000</v>
      </c>
      <c r="M1326" t="b">
        <v>0</v>
      </c>
      <c r="N1326" t="b">
        <v>0</v>
      </c>
      <c r="O1326">
        <v>5000</v>
      </c>
      <c r="P1326" t="b">
        <v>0</v>
      </c>
      <c r="Q1326" t="b">
        <v>0</v>
      </c>
      <c r="R1326" t="b">
        <v>0</v>
      </c>
      <c r="S1326" t="s">
        <v>96</v>
      </c>
      <c r="T1326" t="s">
        <v>118</v>
      </c>
    </row>
    <row r="1327" spans="1:21" x14ac:dyDescent="0.3">
      <c r="A1327" t="s">
        <v>1432</v>
      </c>
      <c r="B1327" s="1">
        <v>46075</v>
      </c>
      <c r="C1327" s="1">
        <v>46076</v>
      </c>
      <c r="D1327" s="1">
        <v>46079</v>
      </c>
      <c r="E1327" s="1">
        <v>46080</v>
      </c>
      <c r="F1327" t="s">
        <v>31</v>
      </c>
      <c r="G1327" t="s">
        <v>63</v>
      </c>
      <c r="H1327" t="s">
        <v>21</v>
      </c>
      <c r="I1327" t="s">
        <v>44</v>
      </c>
      <c r="J1327">
        <v>304.10000000000002</v>
      </c>
      <c r="K1327">
        <v>1106.3</v>
      </c>
      <c r="L1327">
        <v>3648000</v>
      </c>
      <c r="M1327" t="b">
        <v>0</v>
      </c>
      <c r="N1327" t="b">
        <v>0</v>
      </c>
      <c r="O1327">
        <v>1500</v>
      </c>
      <c r="P1327" t="b">
        <v>0</v>
      </c>
      <c r="Q1327" t="b">
        <v>0</v>
      </c>
      <c r="R1327" t="b">
        <v>0</v>
      </c>
      <c r="S1327" t="s">
        <v>101</v>
      </c>
      <c r="T1327" t="s">
        <v>115</v>
      </c>
      <c r="U1327">
        <v>1</v>
      </c>
    </row>
    <row r="1328" spans="1:21" x14ac:dyDescent="0.3">
      <c r="A1328" t="s">
        <v>1433</v>
      </c>
      <c r="B1328" s="1">
        <v>46033</v>
      </c>
      <c r="C1328" s="1">
        <v>46034</v>
      </c>
      <c r="D1328" s="1">
        <v>46038</v>
      </c>
      <c r="E1328" s="1">
        <v>46040</v>
      </c>
      <c r="F1328" t="s">
        <v>31</v>
      </c>
      <c r="G1328" t="s">
        <v>56</v>
      </c>
      <c r="H1328" t="s">
        <v>23</v>
      </c>
      <c r="I1328" t="s">
        <v>44</v>
      </c>
      <c r="J1328">
        <v>966.4</v>
      </c>
      <c r="K1328">
        <v>357.7</v>
      </c>
      <c r="L1328">
        <v>9018000</v>
      </c>
      <c r="M1328" t="b">
        <v>0</v>
      </c>
      <c r="N1328" t="b">
        <v>0</v>
      </c>
      <c r="O1328">
        <v>1500</v>
      </c>
      <c r="P1328" t="b">
        <v>0</v>
      </c>
      <c r="Q1328" t="b">
        <v>0</v>
      </c>
      <c r="R1328" t="b">
        <v>0</v>
      </c>
      <c r="S1328" t="s">
        <v>101</v>
      </c>
      <c r="T1328" t="s">
        <v>104</v>
      </c>
      <c r="U1328">
        <v>2</v>
      </c>
    </row>
    <row r="1329" spans="1:21" x14ac:dyDescent="0.3">
      <c r="A1329" t="s">
        <v>1434</v>
      </c>
      <c r="B1329" s="1">
        <v>46055</v>
      </c>
      <c r="C1329" s="1">
        <v>46056</v>
      </c>
      <c r="D1329" s="1">
        <v>46058</v>
      </c>
      <c r="E1329" s="1">
        <v>46058</v>
      </c>
      <c r="F1329" t="s">
        <v>33</v>
      </c>
      <c r="G1329" t="s">
        <v>62</v>
      </c>
      <c r="H1329" t="s">
        <v>21</v>
      </c>
      <c r="I1329" t="s">
        <v>42</v>
      </c>
      <c r="J1329">
        <v>142.69999999999999</v>
      </c>
      <c r="K1329">
        <v>6954</v>
      </c>
      <c r="L1329">
        <v>5622000</v>
      </c>
      <c r="M1329" t="b">
        <v>0</v>
      </c>
      <c r="N1329" t="b">
        <v>0</v>
      </c>
      <c r="O1329">
        <v>16000</v>
      </c>
      <c r="P1329" t="b">
        <v>0</v>
      </c>
      <c r="Q1329" t="b">
        <v>0</v>
      </c>
      <c r="R1329" t="b">
        <v>0</v>
      </c>
      <c r="S1329" t="s">
        <v>96</v>
      </c>
      <c r="T1329" t="s">
        <v>115</v>
      </c>
    </row>
    <row r="1330" spans="1:21" x14ac:dyDescent="0.3">
      <c r="A1330" t="s">
        <v>1435</v>
      </c>
      <c r="B1330" s="1">
        <v>46066</v>
      </c>
      <c r="C1330" s="1">
        <v>46068</v>
      </c>
      <c r="D1330" s="1">
        <v>46071</v>
      </c>
      <c r="E1330" s="1">
        <v>46071</v>
      </c>
      <c r="F1330" t="s">
        <v>31</v>
      </c>
      <c r="G1330" t="s">
        <v>59</v>
      </c>
      <c r="H1330" t="s">
        <v>21</v>
      </c>
      <c r="I1330" t="s">
        <v>43</v>
      </c>
      <c r="J1330">
        <v>311.2</v>
      </c>
      <c r="K1330">
        <v>1804.5</v>
      </c>
      <c r="L1330">
        <v>4644000</v>
      </c>
      <c r="M1330" t="b">
        <v>0</v>
      </c>
      <c r="N1330" t="b">
        <v>0</v>
      </c>
      <c r="O1330">
        <v>5000</v>
      </c>
      <c r="P1330" t="b">
        <v>0</v>
      </c>
      <c r="Q1330" t="b">
        <v>0</v>
      </c>
      <c r="R1330" t="b">
        <v>0</v>
      </c>
      <c r="S1330" t="s">
        <v>96</v>
      </c>
      <c r="T1330" t="s">
        <v>115</v>
      </c>
    </row>
    <row r="1331" spans="1:21" x14ac:dyDescent="0.3">
      <c r="A1331" t="s">
        <v>1436</v>
      </c>
      <c r="B1331" s="1">
        <v>46137</v>
      </c>
      <c r="C1331" s="1">
        <v>46137</v>
      </c>
      <c r="D1331" s="1">
        <v>46140</v>
      </c>
      <c r="E1331" s="1">
        <v>46140</v>
      </c>
      <c r="F1331" t="s">
        <v>32</v>
      </c>
      <c r="G1331" t="s">
        <v>60</v>
      </c>
      <c r="H1331" t="s">
        <v>23</v>
      </c>
      <c r="I1331" t="s">
        <v>43</v>
      </c>
      <c r="J1331">
        <v>444.2</v>
      </c>
      <c r="K1331">
        <v>3397.6</v>
      </c>
      <c r="L1331">
        <v>6558000</v>
      </c>
      <c r="M1331" t="b">
        <v>0</v>
      </c>
      <c r="N1331" t="b">
        <v>0</v>
      </c>
      <c r="O1331">
        <v>5000</v>
      </c>
      <c r="P1331" t="b">
        <v>0</v>
      </c>
      <c r="Q1331" t="b">
        <v>0</v>
      </c>
      <c r="R1331" t="b">
        <v>0</v>
      </c>
      <c r="S1331" t="s">
        <v>96</v>
      </c>
      <c r="T1331" t="s">
        <v>112</v>
      </c>
    </row>
    <row r="1332" spans="1:21" x14ac:dyDescent="0.3">
      <c r="A1332" t="s">
        <v>1437</v>
      </c>
      <c r="B1332" s="1">
        <v>46162</v>
      </c>
      <c r="C1332" s="1">
        <v>46162</v>
      </c>
      <c r="D1332" s="1">
        <v>46165</v>
      </c>
      <c r="E1332" s="1">
        <v>46166</v>
      </c>
      <c r="F1332" t="s">
        <v>33</v>
      </c>
      <c r="G1332" t="s">
        <v>59</v>
      </c>
      <c r="H1332" t="s">
        <v>20</v>
      </c>
      <c r="I1332" t="s">
        <v>42</v>
      </c>
      <c r="J1332">
        <v>450.1</v>
      </c>
      <c r="K1332">
        <v>7552.9</v>
      </c>
      <c r="L1332">
        <v>10964000</v>
      </c>
      <c r="M1332" t="b">
        <v>0</v>
      </c>
      <c r="N1332" t="b">
        <v>0</v>
      </c>
      <c r="O1332">
        <v>16000</v>
      </c>
      <c r="P1332" t="b">
        <v>0</v>
      </c>
      <c r="Q1332" t="b">
        <v>0</v>
      </c>
      <c r="R1332" t="b">
        <v>0</v>
      </c>
      <c r="S1332" t="s">
        <v>101</v>
      </c>
      <c r="T1332" t="s">
        <v>102</v>
      </c>
      <c r="U1332">
        <v>1</v>
      </c>
    </row>
    <row r="1333" spans="1:21" x14ac:dyDescent="0.3">
      <c r="A1333" t="s">
        <v>1438</v>
      </c>
      <c r="B1333" s="1">
        <v>46151</v>
      </c>
      <c r="C1333" s="1">
        <v>46152</v>
      </c>
      <c r="D1333" s="1">
        <v>46156</v>
      </c>
      <c r="E1333" s="1">
        <v>46156</v>
      </c>
      <c r="F1333" t="s">
        <v>34</v>
      </c>
      <c r="G1333" t="s">
        <v>56</v>
      </c>
      <c r="H1333" t="s">
        <v>22</v>
      </c>
      <c r="I1333" t="s">
        <v>43</v>
      </c>
      <c r="J1333">
        <v>924.5</v>
      </c>
      <c r="K1333">
        <v>3138</v>
      </c>
      <c r="L1333">
        <v>13680000</v>
      </c>
      <c r="M1333" t="b">
        <v>0</v>
      </c>
      <c r="N1333" t="b">
        <v>0</v>
      </c>
      <c r="O1333">
        <v>5000</v>
      </c>
      <c r="P1333" t="b">
        <v>0</v>
      </c>
      <c r="Q1333" t="b">
        <v>0</v>
      </c>
      <c r="R1333" t="b">
        <v>0</v>
      </c>
      <c r="S1333" t="s">
        <v>96</v>
      </c>
      <c r="T1333" t="s">
        <v>102</v>
      </c>
    </row>
    <row r="1334" spans="1:21" x14ac:dyDescent="0.3">
      <c r="A1334" t="s">
        <v>1439</v>
      </c>
      <c r="B1334" s="1">
        <v>46102</v>
      </c>
      <c r="C1334" s="1">
        <v>46103</v>
      </c>
      <c r="D1334" s="1">
        <v>46105</v>
      </c>
      <c r="E1334" s="1">
        <v>46107</v>
      </c>
      <c r="F1334" t="s">
        <v>32</v>
      </c>
      <c r="G1334" t="s">
        <v>59</v>
      </c>
      <c r="H1334" t="s">
        <v>22</v>
      </c>
      <c r="I1334" t="s">
        <v>43</v>
      </c>
      <c r="J1334">
        <v>175</v>
      </c>
      <c r="K1334">
        <v>3493.3</v>
      </c>
      <c r="L1334">
        <v>3898000</v>
      </c>
      <c r="M1334" t="b">
        <v>0</v>
      </c>
      <c r="N1334" t="b">
        <v>0</v>
      </c>
      <c r="O1334">
        <v>5000</v>
      </c>
      <c r="P1334" t="b">
        <v>0</v>
      </c>
      <c r="Q1334" t="b">
        <v>0</v>
      </c>
      <c r="R1334" t="b">
        <v>0</v>
      </c>
      <c r="S1334" t="s">
        <v>101</v>
      </c>
      <c r="T1334" t="s">
        <v>118</v>
      </c>
      <c r="U1334">
        <v>2</v>
      </c>
    </row>
    <row r="1335" spans="1:21" x14ac:dyDescent="0.3">
      <c r="A1335" t="s">
        <v>1440</v>
      </c>
      <c r="B1335" s="1">
        <v>46161</v>
      </c>
      <c r="C1335" s="1">
        <v>46162</v>
      </c>
      <c r="D1335" s="1">
        <v>46166</v>
      </c>
      <c r="E1335" s="1">
        <v>46166</v>
      </c>
      <c r="F1335" t="s">
        <v>31</v>
      </c>
      <c r="G1335" t="s">
        <v>60</v>
      </c>
      <c r="H1335" t="s">
        <v>21</v>
      </c>
      <c r="I1335" t="s">
        <v>45</v>
      </c>
      <c r="J1335">
        <v>438.4</v>
      </c>
      <c r="K1335">
        <v>765.7</v>
      </c>
      <c r="L1335">
        <v>4894000</v>
      </c>
      <c r="M1335" t="b">
        <v>0</v>
      </c>
      <c r="N1335" t="b">
        <v>0</v>
      </c>
      <c r="O1335">
        <v>1000</v>
      </c>
      <c r="P1335" t="b">
        <v>0</v>
      </c>
      <c r="Q1335" t="b">
        <v>0</v>
      </c>
      <c r="R1335" t="b">
        <v>0</v>
      </c>
      <c r="S1335" t="s">
        <v>96</v>
      </c>
      <c r="T1335" t="s">
        <v>102</v>
      </c>
    </row>
    <row r="1336" spans="1:21" x14ac:dyDescent="0.3">
      <c r="A1336" t="s">
        <v>1441</v>
      </c>
      <c r="B1336" s="1">
        <v>46089</v>
      </c>
      <c r="C1336" s="1">
        <v>46090</v>
      </c>
      <c r="D1336" s="1">
        <v>46093</v>
      </c>
      <c r="E1336" s="1">
        <v>46093</v>
      </c>
      <c r="F1336" t="s">
        <v>33</v>
      </c>
      <c r="G1336" t="s">
        <v>57</v>
      </c>
      <c r="H1336" t="s">
        <v>107</v>
      </c>
      <c r="I1336" t="s">
        <v>45</v>
      </c>
      <c r="J1336">
        <v>458.4</v>
      </c>
      <c r="K1336">
        <v>322.2</v>
      </c>
      <c r="L1336">
        <v>4559000</v>
      </c>
      <c r="M1336" t="b">
        <v>0</v>
      </c>
      <c r="N1336" t="b">
        <v>0</v>
      </c>
      <c r="O1336">
        <v>1000</v>
      </c>
      <c r="P1336" t="b">
        <v>0</v>
      </c>
      <c r="Q1336" t="b">
        <v>0</v>
      </c>
      <c r="R1336" t="b">
        <v>0</v>
      </c>
      <c r="S1336" t="s">
        <v>96</v>
      </c>
      <c r="T1336" t="s">
        <v>118</v>
      </c>
    </row>
    <row r="1337" spans="1:21" x14ac:dyDescent="0.3">
      <c r="A1337" t="s">
        <v>1442</v>
      </c>
      <c r="B1337" s="1">
        <v>46101</v>
      </c>
      <c r="C1337" s="1">
        <v>46102</v>
      </c>
      <c r="D1337" s="1">
        <v>46104</v>
      </c>
      <c r="E1337" s="1">
        <v>46104</v>
      </c>
      <c r="F1337" t="s">
        <v>34</v>
      </c>
      <c r="G1337" t="s">
        <v>58</v>
      </c>
      <c r="H1337" t="s">
        <v>20</v>
      </c>
      <c r="I1337" t="s">
        <v>45</v>
      </c>
      <c r="J1337">
        <v>148.6</v>
      </c>
      <c r="K1337">
        <v>813.7</v>
      </c>
      <c r="L1337">
        <v>2366000</v>
      </c>
      <c r="M1337" t="b">
        <v>0</v>
      </c>
      <c r="N1337" t="b">
        <v>0</v>
      </c>
      <c r="O1337">
        <v>1000</v>
      </c>
      <c r="P1337" t="b">
        <v>0</v>
      </c>
      <c r="Q1337" t="b">
        <v>0</v>
      </c>
      <c r="R1337" t="b">
        <v>0</v>
      </c>
      <c r="S1337" t="s">
        <v>96</v>
      </c>
      <c r="T1337" t="s">
        <v>118</v>
      </c>
    </row>
    <row r="1338" spans="1:21" x14ac:dyDescent="0.3">
      <c r="A1338" t="s">
        <v>1443</v>
      </c>
      <c r="B1338" s="1">
        <v>46105</v>
      </c>
      <c r="C1338" s="1">
        <v>46105</v>
      </c>
      <c r="D1338" s="1">
        <v>46108</v>
      </c>
      <c r="E1338" s="1">
        <v>46110</v>
      </c>
      <c r="F1338" t="s">
        <v>34</v>
      </c>
      <c r="G1338" t="s">
        <v>53</v>
      </c>
      <c r="H1338" t="s">
        <v>22</v>
      </c>
      <c r="I1338" t="s">
        <v>42</v>
      </c>
      <c r="J1338">
        <v>332.1</v>
      </c>
      <c r="K1338">
        <v>13077.5</v>
      </c>
      <c r="L1338">
        <v>11765000</v>
      </c>
      <c r="M1338" t="b">
        <v>0</v>
      </c>
      <c r="N1338" t="b">
        <v>0</v>
      </c>
      <c r="O1338">
        <v>16000</v>
      </c>
      <c r="P1338" t="b">
        <v>0</v>
      </c>
      <c r="Q1338" t="b">
        <v>0</v>
      </c>
      <c r="R1338" t="b">
        <v>0</v>
      </c>
      <c r="S1338" t="s">
        <v>101</v>
      </c>
      <c r="T1338" t="s">
        <v>118</v>
      </c>
      <c r="U1338">
        <v>2</v>
      </c>
    </row>
    <row r="1339" spans="1:21" x14ac:dyDescent="0.3">
      <c r="A1339" t="s">
        <v>1444</v>
      </c>
      <c r="B1339" s="1">
        <v>46058</v>
      </c>
      <c r="C1339" s="1">
        <v>46059</v>
      </c>
      <c r="D1339" s="1">
        <v>46062</v>
      </c>
      <c r="E1339" s="1">
        <v>46062</v>
      </c>
      <c r="F1339" t="s">
        <v>34</v>
      </c>
      <c r="G1339" t="s">
        <v>54</v>
      </c>
      <c r="H1339" t="s">
        <v>24</v>
      </c>
      <c r="I1339" t="s">
        <v>43</v>
      </c>
      <c r="J1339">
        <v>462.5</v>
      </c>
      <c r="K1339">
        <v>2875.2</v>
      </c>
      <c r="L1339">
        <v>7587000</v>
      </c>
      <c r="M1339" t="b">
        <v>0</v>
      </c>
      <c r="N1339" t="b">
        <v>0</v>
      </c>
      <c r="O1339">
        <v>5000</v>
      </c>
      <c r="P1339" t="b">
        <v>0</v>
      </c>
      <c r="Q1339" t="b">
        <v>0</v>
      </c>
      <c r="R1339" t="b">
        <v>0</v>
      </c>
      <c r="S1339" t="s">
        <v>96</v>
      </c>
      <c r="T1339" t="s">
        <v>115</v>
      </c>
    </row>
    <row r="1340" spans="1:21" x14ac:dyDescent="0.3">
      <c r="A1340" t="s">
        <v>1445</v>
      </c>
      <c r="B1340" s="1">
        <v>46133</v>
      </c>
      <c r="C1340" s="1">
        <v>46133</v>
      </c>
      <c r="D1340" s="1">
        <v>46134</v>
      </c>
      <c r="E1340" s="1">
        <v>46136</v>
      </c>
      <c r="F1340" t="s">
        <v>32</v>
      </c>
      <c r="G1340" t="s">
        <v>57</v>
      </c>
      <c r="H1340" t="s">
        <v>23</v>
      </c>
      <c r="I1340" t="s">
        <v>44</v>
      </c>
      <c r="J1340">
        <v>23</v>
      </c>
      <c r="K1340">
        <v>214.7</v>
      </c>
      <c r="L1340">
        <v>802000</v>
      </c>
      <c r="M1340" t="b">
        <v>0</v>
      </c>
      <c r="N1340" t="b">
        <v>0</v>
      </c>
      <c r="O1340">
        <v>1500</v>
      </c>
      <c r="P1340" t="b">
        <v>0</v>
      </c>
      <c r="Q1340" t="b">
        <v>0</v>
      </c>
      <c r="R1340" t="b">
        <v>0</v>
      </c>
      <c r="S1340" t="s">
        <v>101</v>
      </c>
      <c r="T1340" t="s">
        <v>112</v>
      </c>
      <c r="U1340">
        <v>2</v>
      </c>
    </row>
    <row r="1341" spans="1:21" x14ac:dyDescent="0.3">
      <c r="A1341" t="s">
        <v>1446</v>
      </c>
      <c r="B1341" s="1">
        <v>46197</v>
      </c>
      <c r="C1341" s="1">
        <v>46198</v>
      </c>
      <c r="D1341" s="1">
        <v>46201</v>
      </c>
      <c r="E1341" s="1">
        <v>46201</v>
      </c>
      <c r="F1341" t="s">
        <v>31</v>
      </c>
      <c r="G1341" t="s">
        <v>52</v>
      </c>
      <c r="H1341" t="s">
        <v>24</v>
      </c>
      <c r="I1341" t="s">
        <v>42</v>
      </c>
      <c r="J1341">
        <v>3</v>
      </c>
      <c r="K1341">
        <v>11744.9</v>
      </c>
      <c r="L1341">
        <v>9159000</v>
      </c>
      <c r="M1341" t="b">
        <v>0</v>
      </c>
      <c r="N1341" t="b">
        <v>0</v>
      </c>
      <c r="O1341">
        <v>16000</v>
      </c>
      <c r="P1341" t="b">
        <v>0</v>
      </c>
      <c r="Q1341" t="b">
        <v>0</v>
      </c>
      <c r="R1341" t="b">
        <v>0</v>
      </c>
      <c r="S1341" t="s">
        <v>96</v>
      </c>
      <c r="T1341" t="s">
        <v>99</v>
      </c>
    </row>
    <row r="1342" spans="1:21" x14ac:dyDescent="0.3">
      <c r="A1342" t="s">
        <v>1447</v>
      </c>
      <c r="B1342" s="1">
        <v>46163</v>
      </c>
      <c r="C1342" s="1">
        <v>46163</v>
      </c>
      <c r="D1342" s="1">
        <v>46166</v>
      </c>
      <c r="E1342" s="1">
        <v>46166</v>
      </c>
      <c r="F1342" t="s">
        <v>31</v>
      </c>
      <c r="G1342" t="s">
        <v>53</v>
      </c>
      <c r="H1342" t="s">
        <v>20</v>
      </c>
      <c r="I1342" t="s">
        <v>43</v>
      </c>
      <c r="J1342">
        <v>300.60000000000002</v>
      </c>
      <c r="K1342">
        <v>2487.8000000000002</v>
      </c>
      <c r="L1342">
        <v>5973000</v>
      </c>
      <c r="M1342" t="b">
        <v>0</v>
      </c>
      <c r="N1342" t="b">
        <v>0</v>
      </c>
      <c r="O1342">
        <v>5000</v>
      </c>
      <c r="P1342" t="b">
        <v>0</v>
      </c>
      <c r="Q1342" t="b">
        <v>0</v>
      </c>
      <c r="R1342" t="b">
        <v>0</v>
      </c>
      <c r="S1342" t="s">
        <v>96</v>
      </c>
      <c r="T1342" t="s">
        <v>102</v>
      </c>
    </row>
    <row r="1343" spans="1:21" x14ac:dyDescent="0.3">
      <c r="A1343" t="s">
        <v>1448</v>
      </c>
      <c r="B1343" s="1">
        <v>46125</v>
      </c>
      <c r="C1343" s="1">
        <v>46127</v>
      </c>
      <c r="D1343" s="1">
        <v>46130</v>
      </c>
      <c r="E1343" s="1">
        <v>46132</v>
      </c>
      <c r="F1343" t="s">
        <v>34</v>
      </c>
      <c r="G1343" t="s">
        <v>59</v>
      </c>
      <c r="H1343" t="s">
        <v>22</v>
      </c>
      <c r="I1343" t="s">
        <v>42</v>
      </c>
      <c r="J1343">
        <v>331</v>
      </c>
      <c r="K1343">
        <v>12855</v>
      </c>
      <c r="L1343">
        <v>10440000</v>
      </c>
      <c r="M1343" t="b">
        <v>0</v>
      </c>
      <c r="N1343" t="b">
        <v>0</v>
      </c>
      <c r="O1343">
        <v>16000</v>
      </c>
      <c r="P1343" t="b">
        <v>0</v>
      </c>
      <c r="Q1343" t="b">
        <v>0</v>
      </c>
      <c r="R1343" t="b">
        <v>0</v>
      </c>
      <c r="S1343" t="s">
        <v>101</v>
      </c>
      <c r="T1343" t="s">
        <v>112</v>
      </c>
      <c r="U1343">
        <v>2</v>
      </c>
    </row>
    <row r="1344" spans="1:21" x14ac:dyDescent="0.3">
      <c r="A1344" t="s">
        <v>1449</v>
      </c>
      <c r="B1344" s="1">
        <v>46177</v>
      </c>
      <c r="C1344" s="1">
        <v>46177</v>
      </c>
      <c r="D1344" s="1">
        <v>46181</v>
      </c>
      <c r="E1344" s="1">
        <v>46176</v>
      </c>
      <c r="F1344" t="s">
        <v>32</v>
      </c>
      <c r="G1344" t="s">
        <v>56</v>
      </c>
      <c r="H1344" t="s">
        <v>23</v>
      </c>
      <c r="I1344" t="s">
        <v>43</v>
      </c>
      <c r="J1344">
        <v>1017</v>
      </c>
      <c r="K1344">
        <v>2086.6999999999998</v>
      </c>
      <c r="L1344">
        <v>13333000</v>
      </c>
      <c r="M1344" t="b">
        <v>1</v>
      </c>
      <c r="N1344" t="b">
        <v>0</v>
      </c>
      <c r="O1344">
        <v>5000</v>
      </c>
      <c r="P1344" t="b">
        <v>0</v>
      </c>
      <c r="Q1344" t="b">
        <v>0</v>
      </c>
      <c r="R1344" t="b">
        <v>1</v>
      </c>
      <c r="S1344" t="s">
        <v>260</v>
      </c>
      <c r="T1344" t="s">
        <v>99</v>
      </c>
    </row>
    <row r="1345" spans="1:21" x14ac:dyDescent="0.3">
      <c r="A1345" t="s">
        <v>1450</v>
      </c>
      <c r="B1345" s="1">
        <v>46164</v>
      </c>
      <c r="C1345" s="1">
        <v>46165</v>
      </c>
      <c r="D1345" s="1">
        <v>46168</v>
      </c>
      <c r="E1345" s="1">
        <v>46168</v>
      </c>
      <c r="F1345" t="s">
        <v>34</v>
      </c>
      <c r="G1345" t="s">
        <v>53</v>
      </c>
      <c r="H1345" t="s">
        <v>23</v>
      </c>
      <c r="I1345" t="s">
        <v>42</v>
      </c>
      <c r="J1345">
        <v>302.10000000000002</v>
      </c>
      <c r="K1345">
        <v>13465.5</v>
      </c>
      <c r="L1345">
        <v>10509000</v>
      </c>
      <c r="M1345" t="b">
        <v>0</v>
      </c>
      <c r="N1345" t="b">
        <v>0</v>
      </c>
      <c r="O1345">
        <v>16000</v>
      </c>
      <c r="P1345" t="b">
        <v>0</v>
      </c>
      <c r="Q1345" t="b">
        <v>0</v>
      </c>
      <c r="R1345" t="b">
        <v>0</v>
      </c>
      <c r="S1345" t="s">
        <v>96</v>
      </c>
      <c r="T1345" t="s">
        <v>102</v>
      </c>
    </row>
    <row r="1346" spans="1:21" x14ac:dyDescent="0.3">
      <c r="A1346" t="s">
        <v>1451</v>
      </c>
      <c r="B1346" s="1">
        <v>46050</v>
      </c>
      <c r="C1346" s="1">
        <v>46051</v>
      </c>
      <c r="D1346" s="1">
        <v>46055</v>
      </c>
      <c r="E1346" s="1">
        <v>46055</v>
      </c>
      <c r="F1346" t="s">
        <v>31</v>
      </c>
      <c r="G1346" t="s">
        <v>62</v>
      </c>
      <c r="H1346" t="s">
        <v>20</v>
      </c>
      <c r="I1346" t="s">
        <v>45</v>
      </c>
      <c r="J1346">
        <v>673.4</v>
      </c>
      <c r="K1346">
        <v>441.4</v>
      </c>
      <c r="L1346">
        <v>6591000</v>
      </c>
      <c r="M1346" t="b">
        <v>0</v>
      </c>
      <c r="N1346" t="b">
        <v>0</v>
      </c>
      <c r="O1346">
        <v>1000</v>
      </c>
      <c r="P1346" t="b">
        <v>0</v>
      </c>
      <c r="Q1346" t="b">
        <v>0</v>
      </c>
      <c r="R1346" t="b">
        <v>0</v>
      </c>
      <c r="S1346" t="s">
        <v>96</v>
      </c>
      <c r="T1346" t="s">
        <v>104</v>
      </c>
    </row>
    <row r="1347" spans="1:21" x14ac:dyDescent="0.3">
      <c r="A1347" t="s">
        <v>1452</v>
      </c>
      <c r="B1347" s="1">
        <v>46044</v>
      </c>
      <c r="C1347" s="1">
        <v>46044</v>
      </c>
      <c r="D1347" s="1">
        <v>46048</v>
      </c>
      <c r="E1347" s="1">
        <v>46049</v>
      </c>
      <c r="F1347" t="s">
        <v>33</v>
      </c>
      <c r="G1347" t="s">
        <v>55</v>
      </c>
      <c r="H1347" t="s">
        <v>23</v>
      </c>
      <c r="I1347" t="s">
        <v>43</v>
      </c>
      <c r="J1347">
        <v>613.5</v>
      </c>
      <c r="K1347">
        <v>3372.4</v>
      </c>
      <c r="L1347">
        <v>10874000</v>
      </c>
      <c r="M1347" t="b">
        <v>0</v>
      </c>
      <c r="N1347" t="b">
        <v>0</v>
      </c>
      <c r="O1347">
        <v>5000</v>
      </c>
      <c r="P1347" t="b">
        <v>0</v>
      </c>
      <c r="Q1347" t="b">
        <v>0</v>
      </c>
      <c r="R1347" t="b">
        <v>0</v>
      </c>
      <c r="S1347" t="s">
        <v>101</v>
      </c>
      <c r="T1347" t="s">
        <v>104</v>
      </c>
      <c r="U1347">
        <v>1</v>
      </c>
    </row>
    <row r="1348" spans="1:21" x14ac:dyDescent="0.3">
      <c r="A1348" t="s">
        <v>1453</v>
      </c>
      <c r="B1348" s="1">
        <v>46196</v>
      </c>
      <c r="C1348" s="1">
        <v>46198</v>
      </c>
      <c r="D1348" s="1">
        <v>46202</v>
      </c>
      <c r="E1348" s="1">
        <v>46202</v>
      </c>
      <c r="F1348" t="s">
        <v>32</v>
      </c>
      <c r="G1348" t="s">
        <v>56</v>
      </c>
      <c r="H1348" t="s">
        <v>24</v>
      </c>
      <c r="I1348" t="s">
        <v>44</v>
      </c>
      <c r="J1348">
        <v>1011</v>
      </c>
      <c r="K1348">
        <v>948.8</v>
      </c>
      <c r="L1348">
        <v>9754000</v>
      </c>
      <c r="M1348" t="b">
        <v>0</v>
      </c>
      <c r="N1348" t="b">
        <v>0</v>
      </c>
      <c r="O1348">
        <v>1500</v>
      </c>
      <c r="P1348" t="b">
        <v>0</v>
      </c>
      <c r="Q1348" t="b">
        <v>0</v>
      </c>
      <c r="R1348" t="b">
        <v>0</v>
      </c>
      <c r="S1348" t="s">
        <v>96</v>
      </c>
      <c r="T1348" t="s">
        <v>99</v>
      </c>
    </row>
    <row r="1349" spans="1:21" x14ac:dyDescent="0.3">
      <c r="A1349" t="s">
        <v>1454</v>
      </c>
      <c r="B1349" s="1">
        <v>46138</v>
      </c>
      <c r="C1349" s="1">
        <v>46138</v>
      </c>
      <c r="D1349" s="1">
        <v>46139</v>
      </c>
      <c r="E1349" s="1">
        <v>46141</v>
      </c>
      <c r="F1349" t="s">
        <v>33</v>
      </c>
      <c r="G1349" t="s">
        <v>60</v>
      </c>
      <c r="H1349" t="s">
        <v>20</v>
      </c>
      <c r="I1349" t="s">
        <v>43</v>
      </c>
      <c r="J1349">
        <v>27.8</v>
      </c>
      <c r="K1349">
        <v>713.2</v>
      </c>
      <c r="L1349">
        <v>1314000</v>
      </c>
      <c r="M1349" t="b">
        <v>0</v>
      </c>
      <c r="N1349" t="b">
        <v>0</v>
      </c>
      <c r="O1349">
        <v>5000</v>
      </c>
      <c r="P1349" t="b">
        <v>0</v>
      </c>
      <c r="Q1349" t="b">
        <v>0</v>
      </c>
      <c r="R1349" t="b">
        <v>0</v>
      </c>
      <c r="S1349" t="s">
        <v>101</v>
      </c>
      <c r="T1349" t="s">
        <v>112</v>
      </c>
      <c r="U1349">
        <v>2</v>
      </c>
    </row>
    <row r="1350" spans="1:21" x14ac:dyDescent="0.3">
      <c r="A1350" t="s">
        <v>1455</v>
      </c>
      <c r="B1350" s="1">
        <v>46156</v>
      </c>
      <c r="C1350" s="1">
        <v>46157</v>
      </c>
      <c r="D1350" s="1">
        <v>46161</v>
      </c>
      <c r="E1350" s="1">
        <v>46162</v>
      </c>
      <c r="F1350" t="s">
        <v>31</v>
      </c>
      <c r="G1350" t="s">
        <v>62</v>
      </c>
      <c r="H1350" t="s">
        <v>20</v>
      </c>
      <c r="I1350" t="s">
        <v>43</v>
      </c>
      <c r="J1350">
        <v>782.3</v>
      </c>
      <c r="K1350">
        <v>1152.2</v>
      </c>
      <c r="L1350">
        <v>11979000</v>
      </c>
      <c r="M1350" t="b">
        <v>0</v>
      </c>
      <c r="N1350" t="b">
        <v>0</v>
      </c>
      <c r="O1350">
        <v>5000</v>
      </c>
      <c r="P1350" t="b">
        <v>0</v>
      </c>
      <c r="Q1350" t="b">
        <v>0</v>
      </c>
      <c r="R1350" t="b">
        <v>0</v>
      </c>
      <c r="S1350" t="s">
        <v>101</v>
      </c>
      <c r="T1350" t="s">
        <v>102</v>
      </c>
      <c r="U1350">
        <v>1</v>
      </c>
    </row>
    <row r="1351" spans="1:21" x14ac:dyDescent="0.3">
      <c r="A1351" t="s">
        <v>1456</v>
      </c>
      <c r="B1351" s="1">
        <v>46101</v>
      </c>
      <c r="C1351" s="1">
        <v>46102</v>
      </c>
      <c r="D1351" s="1">
        <v>46107</v>
      </c>
      <c r="F1351" t="s">
        <v>33</v>
      </c>
      <c r="G1351" t="s">
        <v>54</v>
      </c>
      <c r="H1351" t="s">
        <v>21</v>
      </c>
      <c r="I1351" t="s">
        <v>44</v>
      </c>
      <c r="J1351">
        <v>960.5</v>
      </c>
      <c r="K1351">
        <v>1181.7</v>
      </c>
      <c r="L1351">
        <v>9971000</v>
      </c>
      <c r="M1351" t="b">
        <v>0</v>
      </c>
      <c r="N1351" t="b">
        <v>0</v>
      </c>
      <c r="O1351">
        <v>1500</v>
      </c>
      <c r="P1351" t="b">
        <v>0</v>
      </c>
      <c r="Q1351" t="b">
        <v>0</v>
      </c>
      <c r="R1351" t="b">
        <v>0</v>
      </c>
      <c r="S1351" t="s">
        <v>203</v>
      </c>
      <c r="T1351" t="s">
        <v>118</v>
      </c>
    </row>
    <row r="1352" spans="1:21" x14ac:dyDescent="0.3">
      <c r="A1352" t="s">
        <v>1457</v>
      </c>
      <c r="B1352" s="1">
        <v>46197</v>
      </c>
      <c r="C1352" s="1">
        <v>46198</v>
      </c>
      <c r="D1352" s="1">
        <v>46200</v>
      </c>
      <c r="E1352" s="1">
        <v>46200</v>
      </c>
      <c r="F1352" t="s">
        <v>31</v>
      </c>
      <c r="G1352" t="s">
        <v>61</v>
      </c>
      <c r="H1352" t="s">
        <v>20</v>
      </c>
      <c r="I1352" t="s">
        <v>44</v>
      </c>
      <c r="J1352">
        <v>55.1</v>
      </c>
      <c r="K1352">
        <v>1120.9000000000001</v>
      </c>
      <c r="L1352">
        <v>1676000</v>
      </c>
      <c r="M1352" t="b">
        <v>0</v>
      </c>
      <c r="N1352" t="b">
        <v>0</v>
      </c>
      <c r="O1352">
        <v>1500</v>
      </c>
      <c r="P1352" t="b">
        <v>0</v>
      </c>
      <c r="Q1352" t="b">
        <v>0</v>
      </c>
      <c r="R1352" t="b">
        <v>0</v>
      </c>
      <c r="S1352" t="s">
        <v>96</v>
      </c>
      <c r="T1352" t="s">
        <v>99</v>
      </c>
    </row>
    <row r="1353" spans="1:21" x14ac:dyDescent="0.3">
      <c r="A1353" t="s">
        <v>1458</v>
      </c>
      <c r="B1353" s="1">
        <v>46060</v>
      </c>
      <c r="C1353" s="1">
        <v>46062</v>
      </c>
      <c r="D1353" s="1">
        <v>46063</v>
      </c>
      <c r="E1353" s="1">
        <v>46063</v>
      </c>
      <c r="F1353" t="s">
        <v>34</v>
      </c>
      <c r="G1353" t="s">
        <v>55</v>
      </c>
      <c r="H1353" t="s">
        <v>20</v>
      </c>
      <c r="I1353" t="s">
        <v>45</v>
      </c>
      <c r="J1353">
        <v>62.4</v>
      </c>
      <c r="K1353">
        <v>810.9</v>
      </c>
      <c r="L1353">
        <v>1378000</v>
      </c>
      <c r="M1353" t="b">
        <v>0</v>
      </c>
      <c r="N1353" t="b">
        <v>0</v>
      </c>
      <c r="O1353">
        <v>1000</v>
      </c>
      <c r="P1353" t="b">
        <v>0</v>
      </c>
      <c r="Q1353" t="b">
        <v>0</v>
      </c>
      <c r="R1353" t="b">
        <v>0</v>
      </c>
      <c r="S1353" t="s">
        <v>96</v>
      </c>
      <c r="T1353" t="s">
        <v>115</v>
      </c>
    </row>
    <row r="1354" spans="1:21" x14ac:dyDescent="0.3">
      <c r="A1354" t="s">
        <v>1459</v>
      </c>
      <c r="B1354" s="1">
        <v>46104</v>
      </c>
      <c r="C1354" s="1">
        <v>46106</v>
      </c>
      <c r="D1354" s="1">
        <v>46107</v>
      </c>
      <c r="E1354" s="1">
        <v>46107</v>
      </c>
      <c r="F1354" t="s">
        <v>34</v>
      </c>
      <c r="G1354" t="s">
        <v>61</v>
      </c>
      <c r="H1354" t="s">
        <v>20</v>
      </c>
      <c r="I1354" t="s">
        <v>42</v>
      </c>
      <c r="J1354">
        <v>21.6</v>
      </c>
      <c r="K1354">
        <v>9989.5</v>
      </c>
      <c r="L1354">
        <v>4097000</v>
      </c>
      <c r="M1354" t="b">
        <v>0</v>
      </c>
      <c r="N1354" t="b">
        <v>0</v>
      </c>
      <c r="O1354">
        <v>16000</v>
      </c>
      <c r="P1354" t="b">
        <v>0</v>
      </c>
      <c r="Q1354" t="b">
        <v>0</v>
      </c>
      <c r="R1354" t="b">
        <v>0</v>
      </c>
      <c r="S1354" t="s">
        <v>96</v>
      </c>
      <c r="T1354" t="s">
        <v>118</v>
      </c>
    </row>
    <row r="1355" spans="1:21" x14ac:dyDescent="0.3">
      <c r="A1355" t="s">
        <v>1460</v>
      </c>
      <c r="B1355" s="1">
        <v>46127</v>
      </c>
      <c r="C1355" s="1">
        <v>46128</v>
      </c>
      <c r="D1355" s="1">
        <v>46130</v>
      </c>
      <c r="E1355" s="1">
        <v>46131</v>
      </c>
      <c r="F1355" t="s">
        <v>32</v>
      </c>
      <c r="G1355" t="s">
        <v>59</v>
      </c>
      <c r="H1355" t="s">
        <v>22</v>
      </c>
      <c r="I1355" t="s">
        <v>44</v>
      </c>
      <c r="J1355">
        <v>173.6</v>
      </c>
      <c r="K1355">
        <v>971.9</v>
      </c>
      <c r="L1355">
        <v>2878000</v>
      </c>
      <c r="M1355" t="b">
        <v>0</v>
      </c>
      <c r="N1355" t="b">
        <v>0</v>
      </c>
      <c r="O1355">
        <v>1500</v>
      </c>
      <c r="P1355" t="b">
        <v>0</v>
      </c>
      <c r="Q1355" t="b">
        <v>0</v>
      </c>
      <c r="R1355" t="b">
        <v>0</v>
      </c>
      <c r="S1355" t="s">
        <v>101</v>
      </c>
      <c r="T1355" t="s">
        <v>112</v>
      </c>
      <c r="U1355">
        <v>1</v>
      </c>
    </row>
    <row r="1356" spans="1:21" x14ac:dyDescent="0.3">
      <c r="A1356" t="s">
        <v>1461</v>
      </c>
      <c r="B1356" s="1">
        <v>46176</v>
      </c>
      <c r="C1356" s="1">
        <v>46177</v>
      </c>
      <c r="D1356" s="1">
        <v>46180</v>
      </c>
      <c r="E1356" s="1">
        <v>46180</v>
      </c>
      <c r="F1356" t="s">
        <v>32</v>
      </c>
      <c r="G1356" t="s">
        <v>60</v>
      </c>
      <c r="H1356" t="s">
        <v>22</v>
      </c>
      <c r="I1356" t="s">
        <v>43</v>
      </c>
      <c r="J1356">
        <v>508.6</v>
      </c>
      <c r="K1356">
        <v>1943.6</v>
      </c>
      <c r="L1356">
        <v>7834000</v>
      </c>
      <c r="M1356" t="b">
        <v>0</v>
      </c>
      <c r="N1356" t="b">
        <v>0</v>
      </c>
      <c r="O1356">
        <v>5000</v>
      </c>
      <c r="P1356" t="b">
        <v>0</v>
      </c>
      <c r="Q1356" t="b">
        <v>0</v>
      </c>
      <c r="R1356" t="b">
        <v>0</v>
      </c>
      <c r="S1356" t="s">
        <v>96</v>
      </c>
      <c r="T1356" t="s">
        <v>99</v>
      </c>
    </row>
    <row r="1357" spans="1:21" x14ac:dyDescent="0.3">
      <c r="A1357" t="s">
        <v>1462</v>
      </c>
      <c r="B1357" s="1">
        <v>46089</v>
      </c>
      <c r="C1357" s="1">
        <v>46090</v>
      </c>
      <c r="D1357" s="1">
        <v>46091</v>
      </c>
      <c r="E1357" s="1">
        <v>46093</v>
      </c>
      <c r="F1357" t="s">
        <v>34</v>
      </c>
      <c r="G1357" t="s">
        <v>55</v>
      </c>
      <c r="H1357" t="s">
        <v>23</v>
      </c>
      <c r="I1357" t="s">
        <v>42</v>
      </c>
      <c r="J1357">
        <v>48.1</v>
      </c>
      <c r="K1357">
        <v>14903.4</v>
      </c>
      <c r="L1357">
        <v>6074000</v>
      </c>
      <c r="M1357" t="b">
        <v>0</v>
      </c>
      <c r="N1357" t="b">
        <v>0</v>
      </c>
      <c r="O1357">
        <v>16000</v>
      </c>
      <c r="P1357" t="b">
        <v>0</v>
      </c>
      <c r="Q1357" t="b">
        <v>0</v>
      </c>
      <c r="R1357" t="b">
        <v>0</v>
      </c>
      <c r="S1357" t="s">
        <v>101</v>
      </c>
      <c r="T1357" t="s">
        <v>118</v>
      </c>
      <c r="U1357">
        <v>2</v>
      </c>
    </row>
    <row r="1358" spans="1:21" x14ac:dyDescent="0.3">
      <c r="A1358" t="s">
        <v>1463</v>
      </c>
      <c r="B1358" s="1">
        <v>46166</v>
      </c>
      <c r="C1358" s="1">
        <v>46166</v>
      </c>
      <c r="D1358" s="1">
        <v>46169</v>
      </c>
      <c r="E1358" s="1">
        <v>46170</v>
      </c>
      <c r="F1358" t="s">
        <v>34</v>
      </c>
      <c r="G1358" t="s">
        <v>59</v>
      </c>
      <c r="H1358" t="s">
        <v>24</v>
      </c>
      <c r="I1358" t="s">
        <v>44</v>
      </c>
      <c r="J1358">
        <v>330.3</v>
      </c>
      <c r="K1358">
        <v>948.4</v>
      </c>
      <c r="L1358">
        <v>3570000</v>
      </c>
      <c r="M1358" t="b">
        <v>0</v>
      </c>
      <c r="N1358" t="b">
        <v>0</v>
      </c>
      <c r="O1358">
        <v>1500</v>
      </c>
      <c r="P1358" t="b">
        <v>0</v>
      </c>
      <c r="Q1358" t="b">
        <v>0</v>
      </c>
      <c r="R1358" t="b">
        <v>0</v>
      </c>
      <c r="S1358" t="s">
        <v>101</v>
      </c>
      <c r="T1358" t="s">
        <v>102</v>
      </c>
      <c r="U1358">
        <v>1</v>
      </c>
    </row>
    <row r="1359" spans="1:21" x14ac:dyDescent="0.3">
      <c r="A1359" t="s">
        <v>1464</v>
      </c>
      <c r="B1359" s="1">
        <v>46089</v>
      </c>
      <c r="C1359" s="1">
        <v>46090</v>
      </c>
      <c r="D1359" s="1">
        <v>46091</v>
      </c>
      <c r="E1359" s="1">
        <v>46093</v>
      </c>
      <c r="F1359" t="s">
        <v>34</v>
      </c>
      <c r="G1359" t="s">
        <v>61</v>
      </c>
      <c r="H1359" t="s">
        <v>23</v>
      </c>
      <c r="I1359" t="s">
        <v>45</v>
      </c>
      <c r="J1359">
        <v>33.9</v>
      </c>
      <c r="K1359">
        <v>835.2</v>
      </c>
      <c r="L1359">
        <v>1191000</v>
      </c>
      <c r="M1359" t="b">
        <v>0</v>
      </c>
      <c r="N1359" t="b">
        <v>0</v>
      </c>
      <c r="O1359">
        <v>1000</v>
      </c>
      <c r="P1359" t="b">
        <v>0</v>
      </c>
      <c r="Q1359" t="b">
        <v>0</v>
      </c>
      <c r="R1359" t="b">
        <v>0</v>
      </c>
      <c r="S1359" t="s">
        <v>101</v>
      </c>
      <c r="T1359" t="s">
        <v>118</v>
      </c>
      <c r="U1359">
        <v>2</v>
      </c>
    </row>
    <row r="1360" spans="1:21" x14ac:dyDescent="0.3">
      <c r="A1360" t="s">
        <v>1465</v>
      </c>
      <c r="B1360" s="1">
        <v>46052</v>
      </c>
      <c r="C1360" s="1">
        <v>46053</v>
      </c>
      <c r="D1360" s="1">
        <v>46056</v>
      </c>
      <c r="E1360" s="1">
        <v>46056</v>
      </c>
      <c r="F1360" t="s">
        <v>32</v>
      </c>
      <c r="G1360" t="s">
        <v>54</v>
      </c>
      <c r="H1360" t="s">
        <v>22</v>
      </c>
      <c r="I1360" t="s">
        <v>42</v>
      </c>
      <c r="J1360">
        <v>575.1</v>
      </c>
      <c r="K1360">
        <v>12211.5</v>
      </c>
      <c r="L1360">
        <v>15016000</v>
      </c>
      <c r="M1360" t="b">
        <v>0</v>
      </c>
      <c r="N1360" t="b">
        <v>0</v>
      </c>
      <c r="O1360">
        <v>16000</v>
      </c>
      <c r="P1360" t="b">
        <v>0</v>
      </c>
      <c r="Q1360" t="b">
        <v>0</v>
      </c>
      <c r="R1360" t="b">
        <v>0</v>
      </c>
      <c r="S1360" t="s">
        <v>96</v>
      </c>
      <c r="T1360" t="s">
        <v>104</v>
      </c>
    </row>
    <row r="1361" spans="1:21" x14ac:dyDescent="0.3">
      <c r="A1361" t="s">
        <v>1466</v>
      </c>
      <c r="B1361" s="1">
        <v>46112</v>
      </c>
      <c r="C1361" s="1">
        <v>46112</v>
      </c>
      <c r="D1361" s="1">
        <v>46114</v>
      </c>
      <c r="E1361" s="1">
        <v>46114</v>
      </c>
      <c r="F1361" t="s">
        <v>32</v>
      </c>
      <c r="G1361" t="s">
        <v>55</v>
      </c>
      <c r="H1361" t="s">
        <v>24</v>
      </c>
      <c r="I1361" t="s">
        <v>42</v>
      </c>
      <c r="J1361">
        <v>131.30000000000001</v>
      </c>
      <c r="K1361">
        <v>7794.1</v>
      </c>
      <c r="L1361">
        <v>5373000</v>
      </c>
      <c r="M1361" t="b">
        <v>0</v>
      </c>
      <c r="N1361" t="b">
        <v>0</v>
      </c>
      <c r="O1361">
        <v>16000</v>
      </c>
      <c r="P1361" t="b">
        <v>0</v>
      </c>
      <c r="Q1361" t="b">
        <v>0</v>
      </c>
      <c r="R1361" t="b">
        <v>0</v>
      </c>
      <c r="S1361" t="s">
        <v>96</v>
      </c>
      <c r="T1361" t="s">
        <v>118</v>
      </c>
    </row>
    <row r="1362" spans="1:21" x14ac:dyDescent="0.3">
      <c r="A1362" t="s">
        <v>1467</v>
      </c>
      <c r="B1362" s="1">
        <v>46106</v>
      </c>
      <c r="C1362" s="1">
        <v>46106</v>
      </c>
      <c r="D1362" s="1">
        <v>46109</v>
      </c>
      <c r="E1362" s="1">
        <v>46110</v>
      </c>
      <c r="F1362" t="s">
        <v>31</v>
      </c>
      <c r="G1362" t="s">
        <v>54</v>
      </c>
      <c r="H1362" t="s">
        <v>24</v>
      </c>
      <c r="I1362" t="s">
        <v>44</v>
      </c>
      <c r="J1362">
        <v>444.4</v>
      </c>
      <c r="K1362">
        <v>188.1</v>
      </c>
      <c r="L1362">
        <v>4467000</v>
      </c>
      <c r="M1362" t="b">
        <v>0</v>
      </c>
      <c r="N1362" t="b">
        <v>0</v>
      </c>
      <c r="O1362">
        <v>1500</v>
      </c>
      <c r="P1362" t="b">
        <v>0</v>
      </c>
      <c r="Q1362" t="b">
        <v>0</v>
      </c>
      <c r="R1362" t="b">
        <v>0</v>
      </c>
      <c r="S1362" t="s">
        <v>101</v>
      </c>
      <c r="T1362" t="s">
        <v>118</v>
      </c>
      <c r="U1362">
        <v>1</v>
      </c>
    </row>
    <row r="1363" spans="1:21" x14ac:dyDescent="0.3">
      <c r="A1363" t="s">
        <v>1468</v>
      </c>
      <c r="B1363" s="1">
        <v>46091</v>
      </c>
      <c r="C1363" s="1">
        <v>46092</v>
      </c>
      <c r="D1363" s="1">
        <v>46095</v>
      </c>
      <c r="E1363" s="1">
        <v>46095</v>
      </c>
      <c r="F1363" t="s">
        <v>32</v>
      </c>
      <c r="G1363" t="s">
        <v>60</v>
      </c>
      <c r="H1363" t="s">
        <v>20</v>
      </c>
      <c r="I1363" t="s">
        <v>45</v>
      </c>
      <c r="J1363">
        <v>476.5</v>
      </c>
      <c r="K1363">
        <v>897.8</v>
      </c>
      <c r="L1363">
        <v>4763000</v>
      </c>
      <c r="M1363" t="b">
        <v>0</v>
      </c>
      <c r="N1363" t="b">
        <v>0</v>
      </c>
      <c r="O1363">
        <v>1000</v>
      </c>
      <c r="P1363" t="b">
        <v>0</v>
      </c>
      <c r="Q1363" t="b">
        <v>0</v>
      </c>
      <c r="R1363" t="b">
        <v>0</v>
      </c>
      <c r="S1363" t="s">
        <v>96</v>
      </c>
      <c r="T1363" t="s">
        <v>118</v>
      </c>
    </row>
    <row r="1364" spans="1:21" x14ac:dyDescent="0.3">
      <c r="A1364" t="s">
        <v>1469</v>
      </c>
      <c r="B1364" s="1">
        <v>46121</v>
      </c>
      <c r="C1364" s="1">
        <v>46122</v>
      </c>
      <c r="D1364" s="1">
        <v>46126</v>
      </c>
      <c r="E1364" s="1">
        <v>46126</v>
      </c>
      <c r="F1364" t="s">
        <v>31</v>
      </c>
      <c r="G1364" t="s">
        <v>60</v>
      </c>
      <c r="H1364" t="s">
        <v>21</v>
      </c>
      <c r="I1364" t="s">
        <v>43</v>
      </c>
      <c r="J1364">
        <v>600.4</v>
      </c>
      <c r="K1364">
        <v>2484</v>
      </c>
      <c r="L1364">
        <v>10320000</v>
      </c>
      <c r="M1364" t="b">
        <v>0</v>
      </c>
      <c r="N1364" t="b">
        <v>0</v>
      </c>
      <c r="O1364">
        <v>5000</v>
      </c>
      <c r="P1364" t="b">
        <v>0</v>
      </c>
      <c r="Q1364" t="b">
        <v>0</v>
      </c>
      <c r="R1364" t="b">
        <v>0</v>
      </c>
      <c r="S1364" t="s">
        <v>96</v>
      </c>
      <c r="T1364" t="s">
        <v>112</v>
      </c>
    </row>
    <row r="1365" spans="1:21" x14ac:dyDescent="0.3">
      <c r="A1365" t="s">
        <v>1470</v>
      </c>
      <c r="B1365" s="1">
        <v>46076</v>
      </c>
      <c r="C1365" s="1">
        <v>46077</v>
      </c>
      <c r="D1365" s="1">
        <v>46081</v>
      </c>
      <c r="E1365" s="1">
        <v>46081</v>
      </c>
      <c r="F1365" t="s">
        <v>34</v>
      </c>
      <c r="G1365" t="s">
        <v>56</v>
      </c>
      <c r="H1365" t="s">
        <v>21</v>
      </c>
      <c r="I1365" t="s">
        <v>42</v>
      </c>
      <c r="J1365">
        <v>856.9</v>
      </c>
      <c r="K1365">
        <v>8371.7000000000007</v>
      </c>
      <c r="L1365">
        <v>20538000</v>
      </c>
      <c r="M1365" t="b">
        <v>0</v>
      </c>
      <c r="N1365" t="b">
        <v>0</v>
      </c>
      <c r="O1365">
        <v>16000</v>
      </c>
      <c r="P1365" t="b">
        <v>0</v>
      </c>
      <c r="Q1365" t="b">
        <v>0</v>
      </c>
      <c r="R1365" t="b">
        <v>0</v>
      </c>
      <c r="S1365" t="s">
        <v>96</v>
      </c>
      <c r="T1365" t="s">
        <v>115</v>
      </c>
    </row>
    <row r="1366" spans="1:21" x14ac:dyDescent="0.3">
      <c r="A1366" t="s">
        <v>1471</v>
      </c>
      <c r="B1366" s="1">
        <v>46055</v>
      </c>
      <c r="C1366" s="1">
        <v>46056</v>
      </c>
      <c r="D1366" s="1">
        <v>46058</v>
      </c>
      <c r="E1366" s="1">
        <v>46058</v>
      </c>
      <c r="F1366" t="s">
        <v>31</v>
      </c>
      <c r="G1366" t="s">
        <v>52</v>
      </c>
      <c r="H1366" t="s">
        <v>23</v>
      </c>
      <c r="I1366" t="s">
        <v>44</v>
      </c>
      <c r="J1366">
        <v>294.7</v>
      </c>
      <c r="K1366">
        <v>1351.3</v>
      </c>
      <c r="L1366">
        <v>3857000</v>
      </c>
      <c r="M1366" t="b">
        <v>0</v>
      </c>
      <c r="N1366" t="b">
        <v>0</v>
      </c>
      <c r="O1366">
        <v>1500</v>
      </c>
      <c r="P1366" t="b">
        <v>0</v>
      </c>
      <c r="Q1366" t="b">
        <v>0</v>
      </c>
      <c r="R1366" t="b">
        <v>0</v>
      </c>
      <c r="S1366" t="s">
        <v>96</v>
      </c>
      <c r="T1366" t="s">
        <v>115</v>
      </c>
    </row>
    <row r="1367" spans="1:21" x14ac:dyDescent="0.3">
      <c r="A1367" t="s">
        <v>1472</v>
      </c>
      <c r="B1367" s="1">
        <v>46066</v>
      </c>
      <c r="C1367" s="1">
        <v>46068</v>
      </c>
      <c r="D1367" s="1">
        <v>46071</v>
      </c>
      <c r="E1367" s="1">
        <v>46072</v>
      </c>
      <c r="F1367" t="s">
        <v>31</v>
      </c>
      <c r="G1367" t="s">
        <v>52</v>
      </c>
      <c r="H1367" t="s">
        <v>22</v>
      </c>
      <c r="I1367" t="s">
        <v>43</v>
      </c>
      <c r="J1367">
        <v>321.3</v>
      </c>
      <c r="K1367">
        <v>2752.3</v>
      </c>
      <c r="L1367">
        <v>5032000</v>
      </c>
      <c r="M1367" t="b">
        <v>0</v>
      </c>
      <c r="N1367" t="b">
        <v>0</v>
      </c>
      <c r="O1367">
        <v>5000</v>
      </c>
      <c r="P1367" t="b">
        <v>0</v>
      </c>
      <c r="Q1367" t="b">
        <v>0</v>
      </c>
      <c r="R1367" t="b">
        <v>0</v>
      </c>
      <c r="S1367" t="s">
        <v>101</v>
      </c>
      <c r="T1367" t="s">
        <v>115</v>
      </c>
      <c r="U1367">
        <v>1</v>
      </c>
    </row>
    <row r="1368" spans="1:21" x14ac:dyDescent="0.3">
      <c r="A1368" t="s">
        <v>1473</v>
      </c>
      <c r="B1368" s="1">
        <v>46176</v>
      </c>
      <c r="C1368" s="1">
        <v>46176</v>
      </c>
      <c r="D1368" s="1">
        <v>46178</v>
      </c>
      <c r="E1368" s="1">
        <v>46178</v>
      </c>
      <c r="F1368" t="s">
        <v>34</v>
      </c>
      <c r="G1368" t="s">
        <v>57</v>
      </c>
      <c r="H1368" t="s">
        <v>22</v>
      </c>
      <c r="I1368" t="s">
        <v>43</v>
      </c>
      <c r="J1368">
        <v>164.9</v>
      </c>
      <c r="K1368">
        <v>3400.5</v>
      </c>
      <c r="L1368">
        <v>4462000</v>
      </c>
      <c r="M1368" t="b">
        <v>0</v>
      </c>
      <c r="N1368" t="b">
        <v>0</v>
      </c>
      <c r="O1368">
        <v>5000</v>
      </c>
      <c r="P1368" t="b">
        <v>0</v>
      </c>
      <c r="Q1368" t="b">
        <v>0</v>
      </c>
      <c r="R1368" t="b">
        <v>0</v>
      </c>
      <c r="S1368" t="s">
        <v>96</v>
      </c>
      <c r="T1368" t="s">
        <v>99</v>
      </c>
    </row>
    <row r="1369" spans="1:21" x14ac:dyDescent="0.3">
      <c r="A1369" t="s">
        <v>1474</v>
      </c>
      <c r="B1369" s="1">
        <v>46168</v>
      </c>
      <c r="C1369" s="1">
        <v>46169</v>
      </c>
      <c r="D1369" s="1">
        <v>46173</v>
      </c>
      <c r="E1369" s="1">
        <v>46173</v>
      </c>
      <c r="F1369" t="s">
        <v>31</v>
      </c>
      <c r="G1369" t="s">
        <v>62</v>
      </c>
      <c r="H1369" t="s">
        <v>21</v>
      </c>
      <c r="I1369" t="s">
        <v>43</v>
      </c>
      <c r="J1369">
        <v>727</v>
      </c>
      <c r="K1369">
        <v>13471.3</v>
      </c>
      <c r="L1369">
        <v>15599000</v>
      </c>
      <c r="M1369" t="b">
        <v>0</v>
      </c>
      <c r="N1369" t="b">
        <v>0</v>
      </c>
      <c r="O1369">
        <v>5000</v>
      </c>
      <c r="P1369" t="b">
        <v>1</v>
      </c>
      <c r="Q1369" t="b">
        <v>0</v>
      </c>
      <c r="R1369" t="b">
        <v>1</v>
      </c>
      <c r="S1369" t="s">
        <v>96</v>
      </c>
      <c r="T1369" t="s">
        <v>102</v>
      </c>
    </row>
    <row r="1370" spans="1:21" x14ac:dyDescent="0.3">
      <c r="A1370" t="s">
        <v>1475</v>
      </c>
      <c r="B1370" s="1">
        <v>46119</v>
      </c>
      <c r="C1370" s="1">
        <v>46119</v>
      </c>
      <c r="D1370" s="1">
        <v>46123</v>
      </c>
      <c r="E1370" s="1">
        <v>46123</v>
      </c>
      <c r="F1370" t="s">
        <v>31</v>
      </c>
      <c r="G1370" t="s">
        <v>62</v>
      </c>
      <c r="H1370" t="s">
        <v>22</v>
      </c>
      <c r="I1370" t="s">
        <v>43</v>
      </c>
      <c r="J1370">
        <v>770.1</v>
      </c>
      <c r="K1370">
        <v>1143.2</v>
      </c>
      <c r="L1370">
        <v>11151000</v>
      </c>
      <c r="M1370" t="b">
        <v>0</v>
      </c>
      <c r="N1370" t="b">
        <v>0</v>
      </c>
      <c r="O1370">
        <v>5000</v>
      </c>
      <c r="P1370" t="b">
        <v>0</v>
      </c>
      <c r="Q1370" t="b">
        <v>0</v>
      </c>
      <c r="R1370" t="b">
        <v>0</v>
      </c>
      <c r="S1370" t="s">
        <v>96</v>
      </c>
      <c r="T1370" t="s">
        <v>112</v>
      </c>
    </row>
    <row r="1371" spans="1:21" x14ac:dyDescent="0.3">
      <c r="A1371" t="s">
        <v>1476</v>
      </c>
      <c r="B1371" s="1">
        <v>46100</v>
      </c>
      <c r="C1371" s="1">
        <v>46101</v>
      </c>
      <c r="D1371" s="1">
        <v>46105</v>
      </c>
      <c r="E1371" s="1">
        <v>46106</v>
      </c>
      <c r="F1371" t="s">
        <v>34</v>
      </c>
      <c r="G1371" t="s">
        <v>62</v>
      </c>
      <c r="H1371" t="s">
        <v>24</v>
      </c>
      <c r="I1371" t="s">
        <v>45</v>
      </c>
      <c r="J1371">
        <v>738.5</v>
      </c>
      <c r="K1371">
        <v>671</v>
      </c>
      <c r="L1371">
        <v>6536000</v>
      </c>
      <c r="M1371" t="b">
        <v>0</v>
      </c>
      <c r="N1371" t="b">
        <v>0</v>
      </c>
      <c r="O1371">
        <v>1000</v>
      </c>
      <c r="P1371" t="b">
        <v>0</v>
      </c>
      <c r="Q1371" t="b">
        <v>0</v>
      </c>
      <c r="R1371" t="b">
        <v>0</v>
      </c>
      <c r="S1371" t="s">
        <v>101</v>
      </c>
      <c r="T1371" t="s">
        <v>118</v>
      </c>
      <c r="U1371">
        <v>1</v>
      </c>
    </row>
    <row r="1372" spans="1:21" x14ac:dyDescent="0.3">
      <c r="A1372" t="s">
        <v>1477</v>
      </c>
      <c r="B1372" s="1">
        <v>46105</v>
      </c>
      <c r="C1372" s="1">
        <v>46106</v>
      </c>
      <c r="D1372" s="1">
        <v>46109</v>
      </c>
      <c r="E1372" s="1">
        <v>46110</v>
      </c>
      <c r="F1372" t="s">
        <v>33</v>
      </c>
      <c r="G1372" t="s">
        <v>55</v>
      </c>
      <c r="H1372" t="s">
        <v>23</v>
      </c>
      <c r="I1372" t="s">
        <v>43</v>
      </c>
      <c r="J1372">
        <v>599</v>
      </c>
      <c r="K1372">
        <v>2748.6</v>
      </c>
      <c r="L1372">
        <v>10245000</v>
      </c>
      <c r="M1372" t="b">
        <v>0</v>
      </c>
      <c r="N1372" t="b">
        <v>0</v>
      </c>
      <c r="O1372">
        <v>5000</v>
      </c>
      <c r="P1372" t="b">
        <v>0</v>
      </c>
      <c r="Q1372" t="b">
        <v>0</v>
      </c>
      <c r="R1372" t="b">
        <v>0</v>
      </c>
      <c r="S1372" t="s">
        <v>101</v>
      </c>
      <c r="T1372" t="s">
        <v>118</v>
      </c>
      <c r="U1372">
        <v>1</v>
      </c>
    </row>
    <row r="1373" spans="1:21" x14ac:dyDescent="0.3">
      <c r="A1373" t="s">
        <v>1478</v>
      </c>
      <c r="B1373" s="1">
        <v>46087</v>
      </c>
      <c r="C1373" s="1">
        <v>46087</v>
      </c>
      <c r="D1373" s="1">
        <v>46089</v>
      </c>
      <c r="E1373" s="1">
        <v>46090</v>
      </c>
      <c r="F1373" t="s">
        <v>32</v>
      </c>
      <c r="G1373" t="s">
        <v>61</v>
      </c>
      <c r="H1373" t="s">
        <v>22</v>
      </c>
      <c r="I1373" t="s">
        <v>43</v>
      </c>
      <c r="J1373">
        <v>146.19999999999999</v>
      </c>
      <c r="K1373">
        <v>3560.2</v>
      </c>
      <c r="L1373">
        <v>3956000</v>
      </c>
      <c r="M1373" t="b">
        <v>0</v>
      </c>
      <c r="N1373" t="b">
        <v>0</v>
      </c>
      <c r="O1373">
        <v>5000</v>
      </c>
      <c r="P1373" t="b">
        <v>0</v>
      </c>
      <c r="Q1373" t="b">
        <v>0</v>
      </c>
      <c r="R1373" t="b">
        <v>0</v>
      </c>
      <c r="S1373" t="s">
        <v>101</v>
      </c>
      <c r="T1373" t="s">
        <v>118</v>
      </c>
      <c r="U1373">
        <v>1</v>
      </c>
    </row>
    <row r="1374" spans="1:21" x14ac:dyDescent="0.3">
      <c r="A1374" t="s">
        <v>1479</v>
      </c>
      <c r="B1374" s="1">
        <v>46097</v>
      </c>
      <c r="C1374" s="1">
        <v>46097</v>
      </c>
      <c r="D1374" s="1">
        <v>46101</v>
      </c>
      <c r="E1374" s="1">
        <v>46101</v>
      </c>
      <c r="F1374" t="s">
        <v>33</v>
      </c>
      <c r="G1374" t="s">
        <v>54</v>
      </c>
      <c r="H1374" t="s">
        <v>20</v>
      </c>
      <c r="I1374" t="s">
        <v>43</v>
      </c>
      <c r="J1374">
        <v>975</v>
      </c>
      <c r="K1374">
        <v>2982.6</v>
      </c>
      <c r="L1374">
        <v>12647000</v>
      </c>
      <c r="M1374" t="b">
        <v>0</v>
      </c>
      <c r="N1374" t="b">
        <v>0</v>
      </c>
      <c r="O1374">
        <v>5000</v>
      </c>
      <c r="P1374" t="b">
        <v>0</v>
      </c>
      <c r="Q1374" t="b">
        <v>0</v>
      </c>
      <c r="R1374" t="b">
        <v>0</v>
      </c>
      <c r="S1374" t="s">
        <v>96</v>
      </c>
      <c r="T1374" t="s">
        <v>118</v>
      </c>
    </row>
    <row r="1375" spans="1:21" x14ac:dyDescent="0.3">
      <c r="A1375" t="s">
        <v>1480</v>
      </c>
      <c r="B1375" s="1">
        <v>46152</v>
      </c>
      <c r="C1375" s="1">
        <v>46152</v>
      </c>
      <c r="D1375" s="1">
        <v>46155</v>
      </c>
      <c r="E1375" s="1">
        <v>46156</v>
      </c>
      <c r="F1375" t="s">
        <v>32</v>
      </c>
      <c r="G1375" t="s">
        <v>60</v>
      </c>
      <c r="H1375" t="s">
        <v>22</v>
      </c>
      <c r="I1375" t="s">
        <v>43</v>
      </c>
      <c r="J1375">
        <v>455.5</v>
      </c>
      <c r="K1375">
        <v>3912.9</v>
      </c>
      <c r="L1375">
        <v>8060000</v>
      </c>
      <c r="M1375" t="b">
        <v>0</v>
      </c>
      <c r="N1375" t="b">
        <v>0</v>
      </c>
      <c r="O1375">
        <v>5000</v>
      </c>
      <c r="P1375" t="b">
        <v>0</v>
      </c>
      <c r="Q1375" t="b">
        <v>0</v>
      </c>
      <c r="R1375" t="b">
        <v>0</v>
      </c>
      <c r="S1375" t="s">
        <v>101</v>
      </c>
      <c r="T1375" t="s">
        <v>102</v>
      </c>
      <c r="U1375">
        <v>1</v>
      </c>
    </row>
    <row r="1376" spans="1:21" x14ac:dyDescent="0.3">
      <c r="A1376" t="s">
        <v>1481</v>
      </c>
      <c r="B1376" s="1">
        <v>46133</v>
      </c>
      <c r="C1376" s="1">
        <v>46133</v>
      </c>
      <c r="D1376" s="1">
        <v>46134</v>
      </c>
      <c r="E1376" s="1">
        <v>46134</v>
      </c>
      <c r="F1376" t="s">
        <v>34</v>
      </c>
      <c r="G1376" t="s">
        <v>61</v>
      </c>
      <c r="H1376" t="s">
        <v>24</v>
      </c>
      <c r="I1376" t="s">
        <v>43</v>
      </c>
      <c r="J1376">
        <v>29.2</v>
      </c>
      <c r="K1376">
        <v>4017.1</v>
      </c>
      <c r="L1376">
        <v>2507000</v>
      </c>
      <c r="M1376" t="b">
        <v>0</v>
      </c>
      <c r="N1376" t="b">
        <v>0</v>
      </c>
      <c r="O1376">
        <v>5000</v>
      </c>
      <c r="P1376" t="b">
        <v>0</v>
      </c>
      <c r="Q1376" t="b">
        <v>0</v>
      </c>
      <c r="R1376" t="b">
        <v>0</v>
      </c>
      <c r="S1376" t="s">
        <v>96</v>
      </c>
      <c r="T1376" t="s">
        <v>112</v>
      </c>
    </row>
    <row r="1377" spans="1:21" x14ac:dyDescent="0.3">
      <c r="A1377" t="s">
        <v>1482</v>
      </c>
      <c r="B1377" s="1">
        <v>46159</v>
      </c>
      <c r="C1377" s="1">
        <v>46160</v>
      </c>
      <c r="D1377" s="1">
        <v>46164</v>
      </c>
      <c r="E1377" s="1">
        <v>46164</v>
      </c>
      <c r="F1377" t="s">
        <v>33</v>
      </c>
      <c r="G1377" t="s">
        <v>61</v>
      </c>
      <c r="H1377" t="s">
        <v>22</v>
      </c>
      <c r="I1377" t="s">
        <v>43</v>
      </c>
      <c r="J1377">
        <v>616.6</v>
      </c>
      <c r="K1377">
        <v>4060.5</v>
      </c>
      <c r="L1377">
        <v>10181000</v>
      </c>
      <c r="M1377" t="b">
        <v>0</v>
      </c>
      <c r="N1377" t="b">
        <v>0</v>
      </c>
      <c r="O1377">
        <v>5000</v>
      </c>
      <c r="P1377" t="b">
        <v>0</v>
      </c>
      <c r="Q1377" t="b">
        <v>0</v>
      </c>
      <c r="R1377" t="b">
        <v>0</v>
      </c>
      <c r="S1377" t="s">
        <v>96</v>
      </c>
      <c r="T1377" t="s">
        <v>102</v>
      </c>
    </row>
    <row r="1378" spans="1:21" x14ac:dyDescent="0.3">
      <c r="A1378" t="s">
        <v>1483</v>
      </c>
      <c r="B1378" s="1">
        <v>46159</v>
      </c>
      <c r="C1378" s="1">
        <v>46161</v>
      </c>
      <c r="D1378" s="1">
        <v>46163</v>
      </c>
      <c r="E1378" s="1">
        <v>46163</v>
      </c>
      <c r="F1378" t="s">
        <v>31</v>
      </c>
      <c r="G1378" t="s">
        <v>52</v>
      </c>
      <c r="H1378" t="s">
        <v>24</v>
      </c>
      <c r="I1378" t="s">
        <v>45</v>
      </c>
      <c r="J1378">
        <v>291.89999999999998</v>
      </c>
      <c r="K1378">
        <v>124.1</v>
      </c>
      <c r="L1378">
        <v>2905000</v>
      </c>
      <c r="M1378" t="b">
        <v>0</v>
      </c>
      <c r="N1378" t="b">
        <v>0</v>
      </c>
      <c r="O1378">
        <v>1000</v>
      </c>
      <c r="P1378" t="b">
        <v>0</v>
      </c>
      <c r="Q1378" t="b">
        <v>0</v>
      </c>
      <c r="R1378" t="b">
        <v>0</v>
      </c>
      <c r="S1378" t="s">
        <v>96</v>
      </c>
      <c r="T1378" t="s">
        <v>102</v>
      </c>
    </row>
    <row r="1379" spans="1:21" x14ac:dyDescent="0.3">
      <c r="A1379" t="s">
        <v>1484</v>
      </c>
      <c r="B1379" s="1">
        <v>46070</v>
      </c>
      <c r="C1379" s="1">
        <v>46071</v>
      </c>
      <c r="D1379" s="1">
        <v>46074</v>
      </c>
      <c r="E1379" s="1">
        <v>46076</v>
      </c>
      <c r="F1379" t="s">
        <v>32</v>
      </c>
      <c r="G1379" t="s">
        <v>52</v>
      </c>
      <c r="H1379" t="s">
        <v>23</v>
      </c>
      <c r="I1379" t="s">
        <v>43</v>
      </c>
      <c r="J1379">
        <v>341.3</v>
      </c>
      <c r="K1379">
        <v>3600.3</v>
      </c>
      <c r="L1379">
        <v>5834000</v>
      </c>
      <c r="M1379" t="b">
        <v>0</v>
      </c>
      <c r="N1379" t="b">
        <v>0</v>
      </c>
      <c r="O1379">
        <v>5000</v>
      </c>
      <c r="P1379" t="b">
        <v>0</v>
      </c>
      <c r="Q1379" t="b">
        <v>0</v>
      </c>
      <c r="R1379" t="b">
        <v>0</v>
      </c>
      <c r="S1379" t="s">
        <v>101</v>
      </c>
      <c r="T1379" t="s">
        <v>115</v>
      </c>
      <c r="U1379">
        <v>2</v>
      </c>
    </row>
    <row r="1380" spans="1:21" x14ac:dyDescent="0.3">
      <c r="A1380" t="s">
        <v>1485</v>
      </c>
      <c r="B1380" s="1">
        <v>46091</v>
      </c>
      <c r="C1380" s="1">
        <v>46092</v>
      </c>
      <c r="D1380" s="1">
        <v>46093</v>
      </c>
      <c r="E1380" s="1">
        <v>46093</v>
      </c>
      <c r="F1380" t="s">
        <v>31</v>
      </c>
      <c r="G1380" t="s">
        <v>61</v>
      </c>
      <c r="H1380" t="s">
        <v>20</v>
      </c>
      <c r="I1380" t="s">
        <v>44</v>
      </c>
      <c r="J1380">
        <v>58.4</v>
      </c>
      <c r="K1380">
        <v>511.1</v>
      </c>
      <c r="L1380">
        <v>1308000</v>
      </c>
      <c r="M1380" t="b">
        <v>0</v>
      </c>
      <c r="N1380" t="b">
        <v>0</v>
      </c>
      <c r="O1380">
        <v>1500</v>
      </c>
      <c r="P1380" t="b">
        <v>0</v>
      </c>
      <c r="Q1380" t="b">
        <v>0</v>
      </c>
      <c r="R1380" t="b">
        <v>0</v>
      </c>
      <c r="S1380" t="s">
        <v>96</v>
      </c>
      <c r="T1380" t="s">
        <v>118</v>
      </c>
    </row>
    <row r="1381" spans="1:21" x14ac:dyDescent="0.3">
      <c r="A1381" t="s">
        <v>1486</v>
      </c>
      <c r="B1381" s="1">
        <v>46192</v>
      </c>
      <c r="C1381" s="1">
        <v>46193</v>
      </c>
      <c r="D1381" s="1">
        <v>46196</v>
      </c>
      <c r="E1381" s="1">
        <v>46196</v>
      </c>
      <c r="F1381" t="s">
        <v>34</v>
      </c>
      <c r="G1381" t="s">
        <v>63</v>
      </c>
      <c r="H1381" t="s">
        <v>21</v>
      </c>
      <c r="I1381" t="s">
        <v>45</v>
      </c>
      <c r="J1381">
        <v>317.89999999999998</v>
      </c>
      <c r="K1381">
        <v>649.79999999999995</v>
      </c>
      <c r="L1381">
        <v>3936000</v>
      </c>
      <c r="M1381" t="b">
        <v>0</v>
      </c>
      <c r="N1381" t="b">
        <v>0</v>
      </c>
      <c r="O1381">
        <v>1000</v>
      </c>
      <c r="P1381" t="b">
        <v>0</v>
      </c>
      <c r="Q1381" t="b">
        <v>0</v>
      </c>
      <c r="R1381" t="b">
        <v>0</v>
      </c>
      <c r="S1381" t="s">
        <v>96</v>
      </c>
      <c r="T1381" t="s">
        <v>99</v>
      </c>
    </row>
    <row r="1382" spans="1:21" x14ac:dyDescent="0.3">
      <c r="A1382" t="s">
        <v>1487</v>
      </c>
      <c r="B1382" s="1">
        <v>46037</v>
      </c>
      <c r="C1382" s="1">
        <v>46037</v>
      </c>
      <c r="D1382" s="1">
        <v>46038</v>
      </c>
      <c r="E1382" s="1">
        <v>46038</v>
      </c>
      <c r="F1382" t="s">
        <v>34</v>
      </c>
      <c r="G1382" t="s">
        <v>61</v>
      </c>
      <c r="H1382" t="s">
        <v>20</v>
      </c>
      <c r="I1382" t="s">
        <v>42</v>
      </c>
      <c r="J1382">
        <v>18</v>
      </c>
      <c r="K1382">
        <v>4938.5</v>
      </c>
      <c r="L1382">
        <v>2788000</v>
      </c>
      <c r="M1382" t="b">
        <v>0</v>
      </c>
      <c r="N1382" t="b">
        <v>0</v>
      </c>
      <c r="O1382">
        <v>16000</v>
      </c>
      <c r="P1382" t="b">
        <v>0</v>
      </c>
      <c r="Q1382" t="b">
        <v>0</v>
      </c>
      <c r="R1382" t="b">
        <v>0</v>
      </c>
      <c r="S1382" t="s">
        <v>96</v>
      </c>
      <c r="T1382" t="s">
        <v>104</v>
      </c>
    </row>
    <row r="1383" spans="1:21" x14ac:dyDescent="0.3">
      <c r="A1383" t="s">
        <v>1488</v>
      </c>
      <c r="B1383" s="1">
        <v>46105</v>
      </c>
      <c r="C1383" s="1">
        <v>46106</v>
      </c>
      <c r="D1383" s="1">
        <v>46109</v>
      </c>
      <c r="E1383" s="1">
        <v>46109</v>
      </c>
      <c r="F1383" t="s">
        <v>34</v>
      </c>
      <c r="G1383" t="s">
        <v>63</v>
      </c>
      <c r="H1383" t="s">
        <v>24</v>
      </c>
      <c r="I1383" t="s">
        <v>45</v>
      </c>
      <c r="J1383">
        <v>312</v>
      </c>
      <c r="K1383">
        <v>322.2</v>
      </c>
      <c r="L1383">
        <v>3350000</v>
      </c>
      <c r="M1383" t="b">
        <v>0</v>
      </c>
      <c r="N1383" t="b">
        <v>0</v>
      </c>
      <c r="O1383">
        <v>1000</v>
      </c>
      <c r="P1383" t="b">
        <v>0</v>
      </c>
      <c r="Q1383" t="b">
        <v>0</v>
      </c>
      <c r="R1383" t="b">
        <v>0</v>
      </c>
      <c r="S1383" t="s">
        <v>96</v>
      </c>
      <c r="T1383" t="s">
        <v>118</v>
      </c>
    </row>
    <row r="1384" spans="1:21" x14ac:dyDescent="0.3">
      <c r="A1384" t="s">
        <v>1489</v>
      </c>
      <c r="B1384" s="1">
        <v>46151</v>
      </c>
      <c r="C1384" s="1">
        <v>46152</v>
      </c>
      <c r="D1384" s="1">
        <v>46154</v>
      </c>
      <c r="E1384" s="1">
        <v>46154</v>
      </c>
      <c r="F1384" t="s">
        <v>31</v>
      </c>
      <c r="G1384" t="s">
        <v>57</v>
      </c>
      <c r="H1384" t="s">
        <v>23</v>
      </c>
      <c r="I1384" t="s">
        <v>42</v>
      </c>
      <c r="J1384">
        <v>138.5</v>
      </c>
      <c r="K1384">
        <v>3696.4</v>
      </c>
      <c r="L1384">
        <v>5523000</v>
      </c>
      <c r="M1384" t="b">
        <v>0</v>
      </c>
      <c r="N1384" t="b">
        <v>0</v>
      </c>
      <c r="O1384">
        <v>16000</v>
      </c>
      <c r="P1384" t="b">
        <v>0</v>
      </c>
      <c r="Q1384" t="b">
        <v>0</v>
      </c>
      <c r="R1384" t="b">
        <v>0</v>
      </c>
      <c r="S1384" t="s">
        <v>96</v>
      </c>
      <c r="T1384" t="s">
        <v>102</v>
      </c>
    </row>
    <row r="1385" spans="1:21" x14ac:dyDescent="0.3">
      <c r="A1385" t="s">
        <v>1490</v>
      </c>
      <c r="B1385" s="1">
        <v>46122</v>
      </c>
      <c r="C1385" s="1">
        <v>46123</v>
      </c>
      <c r="D1385" s="1">
        <v>46127</v>
      </c>
      <c r="E1385" s="1">
        <v>46126</v>
      </c>
      <c r="F1385" t="s">
        <v>34</v>
      </c>
      <c r="G1385" t="s">
        <v>60</v>
      </c>
      <c r="H1385" t="s">
        <v>21</v>
      </c>
      <c r="I1385" t="s">
        <v>44</v>
      </c>
      <c r="J1385">
        <v>641.79999999999995</v>
      </c>
      <c r="K1385">
        <v>450.3</v>
      </c>
      <c r="L1385">
        <v>6251000</v>
      </c>
      <c r="M1385" t="b">
        <v>0</v>
      </c>
      <c r="N1385" t="b">
        <v>0</v>
      </c>
      <c r="O1385">
        <v>1500</v>
      </c>
      <c r="P1385" t="b">
        <v>0</v>
      </c>
      <c r="Q1385" t="b">
        <v>0</v>
      </c>
      <c r="R1385" t="b">
        <v>0</v>
      </c>
      <c r="S1385" t="s">
        <v>96</v>
      </c>
      <c r="T1385" t="s">
        <v>112</v>
      </c>
    </row>
    <row r="1386" spans="1:21" x14ac:dyDescent="0.3">
      <c r="A1386" t="s">
        <v>1491</v>
      </c>
      <c r="B1386" s="1">
        <v>46080</v>
      </c>
      <c r="C1386" s="1">
        <v>46081</v>
      </c>
      <c r="D1386" s="1">
        <v>46084</v>
      </c>
      <c r="E1386" s="1">
        <v>46085</v>
      </c>
      <c r="F1386" t="s">
        <v>31</v>
      </c>
      <c r="G1386" t="s">
        <v>60</v>
      </c>
      <c r="H1386" t="s">
        <v>22</v>
      </c>
      <c r="I1386" t="s">
        <v>43</v>
      </c>
      <c r="J1386">
        <v>567.20000000000005</v>
      </c>
      <c r="K1386">
        <v>4440.2</v>
      </c>
      <c r="L1386">
        <v>10258000</v>
      </c>
      <c r="M1386" t="b">
        <v>0</v>
      </c>
      <c r="N1386" t="b">
        <v>0</v>
      </c>
      <c r="O1386">
        <v>5000</v>
      </c>
      <c r="P1386" t="b">
        <v>0</v>
      </c>
      <c r="Q1386" t="b">
        <v>0</v>
      </c>
      <c r="R1386" t="b">
        <v>0</v>
      </c>
      <c r="S1386" t="s">
        <v>101</v>
      </c>
      <c r="T1386" t="s">
        <v>115</v>
      </c>
      <c r="U1386">
        <v>1</v>
      </c>
    </row>
    <row r="1387" spans="1:21" x14ac:dyDescent="0.3">
      <c r="A1387" t="s">
        <v>1492</v>
      </c>
      <c r="B1387" s="1">
        <v>46131</v>
      </c>
      <c r="C1387" s="1">
        <v>46132</v>
      </c>
      <c r="D1387" s="1">
        <v>46134</v>
      </c>
      <c r="E1387" s="1">
        <v>46134</v>
      </c>
      <c r="F1387" t="s">
        <v>34</v>
      </c>
      <c r="G1387" t="s">
        <v>52</v>
      </c>
      <c r="H1387" t="s">
        <v>20</v>
      </c>
      <c r="I1387" t="s">
        <v>42</v>
      </c>
      <c r="J1387">
        <v>273.3</v>
      </c>
      <c r="K1387">
        <v>12634.6</v>
      </c>
      <c r="L1387">
        <v>8676000</v>
      </c>
      <c r="M1387" t="b">
        <v>0</v>
      </c>
      <c r="N1387" t="b">
        <v>0</v>
      </c>
      <c r="O1387">
        <v>16000</v>
      </c>
      <c r="P1387" t="b">
        <v>0</v>
      </c>
      <c r="Q1387" t="b">
        <v>0</v>
      </c>
      <c r="R1387" t="b">
        <v>0</v>
      </c>
      <c r="S1387" t="s">
        <v>96</v>
      </c>
      <c r="T1387" t="s">
        <v>112</v>
      </c>
    </row>
    <row r="1388" spans="1:21" x14ac:dyDescent="0.3">
      <c r="A1388" t="s">
        <v>1493</v>
      </c>
      <c r="B1388" s="1">
        <v>46117</v>
      </c>
      <c r="C1388" s="1">
        <v>46119</v>
      </c>
      <c r="D1388" s="1">
        <v>46121</v>
      </c>
      <c r="E1388" s="1">
        <v>46121</v>
      </c>
      <c r="F1388" t="s">
        <v>31</v>
      </c>
      <c r="G1388" t="s">
        <v>57</v>
      </c>
      <c r="H1388" t="s">
        <v>20</v>
      </c>
      <c r="I1388" t="s">
        <v>44</v>
      </c>
      <c r="J1388">
        <v>135.5</v>
      </c>
      <c r="K1388">
        <v>994.8</v>
      </c>
      <c r="L1388">
        <v>2439000</v>
      </c>
      <c r="M1388" t="b">
        <v>0</v>
      </c>
      <c r="N1388" t="b">
        <v>0</v>
      </c>
      <c r="O1388">
        <v>1500</v>
      </c>
      <c r="P1388" t="b">
        <v>0</v>
      </c>
      <c r="Q1388" t="b">
        <v>0</v>
      </c>
      <c r="R1388" t="b">
        <v>0</v>
      </c>
      <c r="S1388" t="s">
        <v>96</v>
      </c>
      <c r="T1388" t="s">
        <v>112</v>
      </c>
    </row>
    <row r="1389" spans="1:21" x14ac:dyDescent="0.3">
      <c r="A1389" t="s">
        <v>1494</v>
      </c>
      <c r="B1389" s="1">
        <v>46092</v>
      </c>
      <c r="C1389" s="1">
        <v>46094</v>
      </c>
      <c r="D1389" s="1">
        <v>46098</v>
      </c>
      <c r="E1389" s="1">
        <v>46099</v>
      </c>
      <c r="F1389" t="s">
        <v>34</v>
      </c>
      <c r="G1389" t="s">
        <v>62</v>
      </c>
      <c r="H1389" t="s">
        <v>24</v>
      </c>
      <c r="I1389" t="s">
        <v>42</v>
      </c>
      <c r="J1389">
        <v>785.1</v>
      </c>
      <c r="K1389">
        <v>3225.3</v>
      </c>
      <c r="L1389">
        <v>14482000</v>
      </c>
      <c r="M1389" t="b">
        <v>0</v>
      </c>
      <c r="N1389" t="b">
        <v>0</v>
      </c>
      <c r="O1389">
        <v>16000</v>
      </c>
      <c r="P1389" t="b">
        <v>0</v>
      </c>
      <c r="Q1389" t="b">
        <v>0</v>
      </c>
      <c r="R1389" t="b">
        <v>0</v>
      </c>
      <c r="S1389" t="s">
        <v>101</v>
      </c>
      <c r="T1389" t="s">
        <v>118</v>
      </c>
      <c r="U1389">
        <v>1</v>
      </c>
    </row>
    <row r="1390" spans="1:21" x14ac:dyDescent="0.3">
      <c r="A1390" t="s">
        <v>1495</v>
      </c>
      <c r="B1390" s="1">
        <v>46152</v>
      </c>
      <c r="C1390" s="1">
        <v>46153</v>
      </c>
      <c r="D1390" s="1">
        <v>46156</v>
      </c>
      <c r="E1390" s="1">
        <v>46158</v>
      </c>
      <c r="F1390" t="s">
        <v>34</v>
      </c>
      <c r="G1390" t="s">
        <v>59</v>
      </c>
      <c r="H1390" t="s">
        <v>20</v>
      </c>
      <c r="I1390" t="s">
        <v>45</v>
      </c>
      <c r="J1390">
        <v>336.8</v>
      </c>
      <c r="K1390">
        <v>183.9</v>
      </c>
      <c r="L1390">
        <v>3960000</v>
      </c>
      <c r="M1390" t="b">
        <v>0</v>
      </c>
      <c r="N1390" t="b">
        <v>0</v>
      </c>
      <c r="O1390">
        <v>1000</v>
      </c>
      <c r="P1390" t="b">
        <v>0</v>
      </c>
      <c r="Q1390" t="b">
        <v>0</v>
      </c>
      <c r="R1390" t="b">
        <v>0</v>
      </c>
      <c r="S1390" t="s">
        <v>101</v>
      </c>
      <c r="T1390" t="s">
        <v>102</v>
      </c>
      <c r="U1390">
        <v>2</v>
      </c>
    </row>
    <row r="1391" spans="1:21" x14ac:dyDescent="0.3">
      <c r="A1391" t="s">
        <v>1496</v>
      </c>
      <c r="B1391" s="1">
        <v>46123</v>
      </c>
      <c r="C1391" s="1">
        <v>46124</v>
      </c>
      <c r="D1391" s="1">
        <v>46126</v>
      </c>
      <c r="E1391" s="1">
        <v>46128</v>
      </c>
      <c r="F1391" t="s">
        <v>31</v>
      </c>
      <c r="G1391" t="s">
        <v>52</v>
      </c>
      <c r="H1391" t="s">
        <v>24</v>
      </c>
      <c r="I1391" t="s">
        <v>45</v>
      </c>
      <c r="J1391">
        <v>274.7</v>
      </c>
      <c r="K1391">
        <v>547.4</v>
      </c>
      <c r="L1391">
        <v>2672000</v>
      </c>
      <c r="M1391" t="b">
        <v>0</v>
      </c>
      <c r="N1391" t="b">
        <v>0</v>
      </c>
      <c r="O1391">
        <v>1000</v>
      </c>
      <c r="P1391" t="b">
        <v>0</v>
      </c>
      <c r="Q1391" t="b">
        <v>0</v>
      </c>
      <c r="R1391" t="b">
        <v>0</v>
      </c>
      <c r="S1391" t="s">
        <v>101</v>
      </c>
      <c r="T1391" t="s">
        <v>112</v>
      </c>
      <c r="U1391">
        <v>2</v>
      </c>
    </row>
    <row r="1392" spans="1:21" x14ac:dyDescent="0.3">
      <c r="A1392" t="s">
        <v>1497</v>
      </c>
      <c r="B1392" s="1">
        <v>46174</v>
      </c>
      <c r="C1392" s="1">
        <v>46175</v>
      </c>
      <c r="D1392" s="1">
        <v>46179</v>
      </c>
      <c r="E1392" s="1">
        <v>46179</v>
      </c>
      <c r="F1392" t="s">
        <v>34</v>
      </c>
      <c r="G1392" t="s">
        <v>59</v>
      </c>
      <c r="H1392" t="s">
        <v>23</v>
      </c>
      <c r="I1392" t="s">
        <v>43</v>
      </c>
      <c r="J1392">
        <v>323.89999999999998</v>
      </c>
      <c r="K1392">
        <v>3839</v>
      </c>
      <c r="L1392">
        <v>6517000</v>
      </c>
      <c r="M1392" t="b">
        <v>0</v>
      </c>
      <c r="N1392" t="b">
        <v>0</v>
      </c>
      <c r="O1392">
        <v>5000</v>
      </c>
      <c r="P1392" t="b">
        <v>0</v>
      </c>
      <c r="Q1392" t="b">
        <v>0</v>
      </c>
      <c r="R1392" t="b">
        <v>0</v>
      </c>
      <c r="S1392" t="s">
        <v>96</v>
      </c>
      <c r="T1392" t="s">
        <v>99</v>
      </c>
    </row>
    <row r="1393" spans="1:21" x14ac:dyDescent="0.3">
      <c r="A1393" t="s">
        <v>1498</v>
      </c>
      <c r="B1393" s="1">
        <v>46129</v>
      </c>
      <c r="C1393" s="1">
        <v>46130</v>
      </c>
      <c r="D1393" s="1">
        <v>46135</v>
      </c>
      <c r="E1393" s="1">
        <v>46136</v>
      </c>
      <c r="F1393" t="s">
        <v>33</v>
      </c>
      <c r="G1393" t="s">
        <v>61</v>
      </c>
      <c r="H1393" t="s">
        <v>20</v>
      </c>
      <c r="I1393" t="s">
        <v>42</v>
      </c>
      <c r="J1393">
        <v>616.6</v>
      </c>
      <c r="K1393">
        <v>9595.7999999999993</v>
      </c>
      <c r="L1393">
        <v>14270000</v>
      </c>
      <c r="M1393" t="b">
        <v>0</v>
      </c>
      <c r="N1393" t="b">
        <v>0</v>
      </c>
      <c r="O1393">
        <v>16000</v>
      </c>
      <c r="P1393" t="b">
        <v>0</v>
      </c>
      <c r="Q1393" t="b">
        <v>0</v>
      </c>
      <c r="R1393" t="b">
        <v>0</v>
      </c>
      <c r="S1393" t="s">
        <v>101</v>
      </c>
      <c r="T1393" t="s">
        <v>112</v>
      </c>
      <c r="U1393">
        <v>1</v>
      </c>
    </row>
    <row r="1394" spans="1:21" x14ac:dyDescent="0.3">
      <c r="A1394" t="s">
        <v>1499</v>
      </c>
      <c r="B1394" s="1">
        <v>46136</v>
      </c>
      <c r="C1394" s="1">
        <v>46137</v>
      </c>
      <c r="D1394" s="1">
        <v>46139</v>
      </c>
      <c r="E1394" s="1">
        <v>46139</v>
      </c>
      <c r="F1394" t="s">
        <v>32</v>
      </c>
      <c r="G1394" t="s">
        <v>63</v>
      </c>
      <c r="H1394" t="s">
        <v>23</v>
      </c>
      <c r="I1394" t="s">
        <v>43</v>
      </c>
      <c r="J1394">
        <v>169.8</v>
      </c>
      <c r="K1394">
        <v>3057.8</v>
      </c>
      <c r="L1394">
        <v>3980000</v>
      </c>
      <c r="M1394" t="b">
        <v>0</v>
      </c>
      <c r="N1394" t="b">
        <v>0</v>
      </c>
      <c r="O1394">
        <v>5000</v>
      </c>
      <c r="P1394" t="b">
        <v>0</v>
      </c>
      <c r="Q1394" t="b">
        <v>0</v>
      </c>
      <c r="R1394" t="b">
        <v>0</v>
      </c>
      <c r="S1394" t="s">
        <v>96</v>
      </c>
      <c r="T1394" t="s">
        <v>112</v>
      </c>
    </row>
    <row r="1395" spans="1:21" x14ac:dyDescent="0.3">
      <c r="A1395" t="s">
        <v>1500</v>
      </c>
      <c r="B1395" s="1">
        <v>46187</v>
      </c>
      <c r="C1395" s="1">
        <v>46187</v>
      </c>
      <c r="D1395" s="1">
        <v>46191</v>
      </c>
      <c r="E1395" s="1">
        <v>46191</v>
      </c>
      <c r="F1395" t="s">
        <v>32</v>
      </c>
      <c r="G1395" t="s">
        <v>60</v>
      </c>
      <c r="H1395" t="s">
        <v>20</v>
      </c>
      <c r="I1395" t="s">
        <v>44</v>
      </c>
      <c r="J1395">
        <v>449.4</v>
      </c>
      <c r="K1395">
        <v>641.20000000000005</v>
      </c>
      <c r="L1395">
        <v>5677000</v>
      </c>
      <c r="M1395" t="b">
        <v>0</v>
      </c>
      <c r="N1395" t="b">
        <v>0</v>
      </c>
      <c r="O1395">
        <v>1500</v>
      </c>
      <c r="P1395" t="b">
        <v>0</v>
      </c>
      <c r="Q1395" t="b">
        <v>0</v>
      </c>
      <c r="R1395" t="b">
        <v>0</v>
      </c>
      <c r="S1395" t="s">
        <v>96</v>
      </c>
      <c r="T1395" t="s">
        <v>99</v>
      </c>
    </row>
    <row r="1396" spans="1:21" x14ac:dyDescent="0.3">
      <c r="A1396" t="s">
        <v>1501</v>
      </c>
      <c r="B1396" s="1">
        <v>46143</v>
      </c>
      <c r="C1396" s="1">
        <v>46143</v>
      </c>
      <c r="D1396" s="1">
        <v>46145</v>
      </c>
      <c r="E1396" s="1">
        <v>46145</v>
      </c>
      <c r="F1396" t="s">
        <v>34</v>
      </c>
      <c r="G1396" t="s">
        <v>55</v>
      </c>
      <c r="H1396" t="s">
        <v>20</v>
      </c>
      <c r="I1396" t="s">
        <v>42</v>
      </c>
      <c r="J1396">
        <v>64.900000000000006</v>
      </c>
      <c r="K1396">
        <v>2902.9</v>
      </c>
      <c r="L1396">
        <v>3313000</v>
      </c>
      <c r="M1396" t="b">
        <v>0</v>
      </c>
      <c r="N1396" t="b">
        <v>0</v>
      </c>
      <c r="O1396">
        <v>16000</v>
      </c>
      <c r="P1396" t="b">
        <v>0</v>
      </c>
      <c r="Q1396" t="b">
        <v>0</v>
      </c>
      <c r="R1396" t="b">
        <v>0</v>
      </c>
      <c r="S1396" t="s">
        <v>96</v>
      </c>
      <c r="T1396" t="s">
        <v>102</v>
      </c>
    </row>
    <row r="1397" spans="1:21" x14ac:dyDescent="0.3">
      <c r="A1397" t="s">
        <v>1502</v>
      </c>
      <c r="B1397" s="1">
        <v>46142</v>
      </c>
      <c r="C1397" s="1">
        <v>46142</v>
      </c>
      <c r="D1397" s="1">
        <v>46146</v>
      </c>
      <c r="E1397" s="1">
        <v>46146</v>
      </c>
      <c r="F1397" t="s">
        <v>33</v>
      </c>
      <c r="G1397" t="s">
        <v>56</v>
      </c>
      <c r="H1397" t="s">
        <v>22</v>
      </c>
      <c r="I1397" t="s">
        <v>42</v>
      </c>
      <c r="J1397">
        <v>1573.9</v>
      </c>
      <c r="K1397">
        <v>11029.8</v>
      </c>
      <c r="L1397">
        <v>31361000</v>
      </c>
      <c r="M1397" t="b">
        <v>0</v>
      </c>
      <c r="N1397" t="b">
        <v>0</v>
      </c>
      <c r="O1397">
        <v>16000</v>
      </c>
      <c r="P1397" t="b">
        <v>0</v>
      </c>
      <c r="Q1397" t="b">
        <v>0</v>
      </c>
      <c r="R1397" t="b">
        <v>0</v>
      </c>
      <c r="S1397" t="s">
        <v>96</v>
      </c>
      <c r="T1397" t="s">
        <v>112</v>
      </c>
    </row>
    <row r="1398" spans="1:21" x14ac:dyDescent="0.3">
      <c r="A1398" t="s">
        <v>1503</v>
      </c>
      <c r="B1398" s="1">
        <v>46163</v>
      </c>
      <c r="C1398" s="1">
        <v>46164</v>
      </c>
      <c r="D1398" s="1">
        <v>46166</v>
      </c>
      <c r="E1398" s="1">
        <v>46166</v>
      </c>
      <c r="F1398" t="s">
        <v>31</v>
      </c>
      <c r="G1398" t="s">
        <v>57</v>
      </c>
      <c r="H1398" t="s">
        <v>24</v>
      </c>
      <c r="I1398" t="s">
        <v>43</v>
      </c>
      <c r="J1398">
        <v>132.9</v>
      </c>
      <c r="K1398">
        <v>3814.5</v>
      </c>
      <c r="L1398">
        <v>3622000</v>
      </c>
      <c r="M1398" t="b">
        <v>0</v>
      </c>
      <c r="N1398" t="b">
        <v>0</v>
      </c>
      <c r="O1398">
        <v>5000</v>
      </c>
      <c r="P1398" t="b">
        <v>0</v>
      </c>
      <c r="Q1398" t="b">
        <v>0</v>
      </c>
      <c r="R1398" t="b">
        <v>0</v>
      </c>
      <c r="S1398" t="s">
        <v>96</v>
      </c>
      <c r="T1398" t="s">
        <v>102</v>
      </c>
    </row>
    <row r="1399" spans="1:21" x14ac:dyDescent="0.3">
      <c r="A1399" t="s">
        <v>1504</v>
      </c>
      <c r="B1399" s="1">
        <v>46053</v>
      </c>
      <c r="C1399" s="1">
        <v>46054</v>
      </c>
      <c r="D1399" s="1">
        <v>46058</v>
      </c>
      <c r="E1399" s="1">
        <v>46057</v>
      </c>
      <c r="F1399" t="s">
        <v>31</v>
      </c>
      <c r="G1399" t="s">
        <v>56</v>
      </c>
      <c r="H1399" t="s">
        <v>107</v>
      </c>
      <c r="I1399" t="s">
        <v>43</v>
      </c>
      <c r="J1399">
        <v>939.7</v>
      </c>
      <c r="K1399">
        <v>4176.7</v>
      </c>
      <c r="L1399">
        <v>13480000</v>
      </c>
      <c r="M1399" t="b">
        <v>0</v>
      </c>
      <c r="N1399" t="b">
        <v>0</v>
      </c>
      <c r="O1399">
        <v>5000</v>
      </c>
      <c r="P1399" t="b">
        <v>0</v>
      </c>
      <c r="Q1399" t="b">
        <v>0</v>
      </c>
      <c r="R1399" t="b">
        <v>0</v>
      </c>
      <c r="S1399" t="s">
        <v>96</v>
      </c>
      <c r="T1399" t="s">
        <v>115</v>
      </c>
    </row>
    <row r="1400" spans="1:21" x14ac:dyDescent="0.3">
      <c r="A1400" t="s">
        <v>1505</v>
      </c>
      <c r="B1400" s="1">
        <v>46140</v>
      </c>
      <c r="C1400" s="1">
        <v>46141</v>
      </c>
      <c r="D1400" s="1">
        <v>46145</v>
      </c>
      <c r="E1400" s="1">
        <v>46146</v>
      </c>
      <c r="F1400" t="s">
        <v>33</v>
      </c>
      <c r="G1400" t="s">
        <v>56</v>
      </c>
      <c r="H1400" t="s">
        <v>20</v>
      </c>
      <c r="I1400" t="s">
        <v>45</v>
      </c>
      <c r="J1400">
        <v>1464.8</v>
      </c>
      <c r="K1400">
        <v>769.2</v>
      </c>
      <c r="L1400">
        <v>11534000</v>
      </c>
      <c r="M1400" t="b">
        <v>0</v>
      </c>
      <c r="N1400" t="b">
        <v>0</v>
      </c>
      <c r="O1400">
        <v>1000</v>
      </c>
      <c r="P1400" t="b">
        <v>0</v>
      </c>
      <c r="Q1400" t="b">
        <v>0</v>
      </c>
      <c r="R1400" t="b">
        <v>0</v>
      </c>
      <c r="S1400" t="s">
        <v>101</v>
      </c>
      <c r="T1400" t="s">
        <v>112</v>
      </c>
      <c r="U1400">
        <v>1</v>
      </c>
    </row>
    <row r="1401" spans="1:21" x14ac:dyDescent="0.3">
      <c r="A1401" t="s">
        <v>1506</v>
      </c>
      <c r="B1401" s="1">
        <v>46065</v>
      </c>
      <c r="C1401" s="1">
        <v>46065</v>
      </c>
      <c r="D1401" s="1">
        <v>46069</v>
      </c>
      <c r="E1401" s="1">
        <v>46070</v>
      </c>
      <c r="F1401" t="s">
        <v>34</v>
      </c>
      <c r="G1401" t="s">
        <v>62</v>
      </c>
      <c r="H1401" t="s">
        <v>22</v>
      </c>
      <c r="I1401" t="s">
        <v>43</v>
      </c>
      <c r="J1401">
        <v>743.4</v>
      </c>
      <c r="K1401">
        <v>4347.7</v>
      </c>
      <c r="L1401">
        <v>9591000</v>
      </c>
      <c r="M1401" t="b">
        <v>0</v>
      </c>
      <c r="N1401" t="b">
        <v>0</v>
      </c>
      <c r="O1401">
        <v>5000</v>
      </c>
      <c r="P1401" t="b">
        <v>0</v>
      </c>
      <c r="Q1401" t="b">
        <v>0</v>
      </c>
      <c r="R1401" t="b">
        <v>0</v>
      </c>
      <c r="S1401" t="s">
        <v>101</v>
      </c>
      <c r="T1401" t="s">
        <v>115</v>
      </c>
      <c r="U1401">
        <v>1</v>
      </c>
    </row>
    <row r="1402" spans="1:21" x14ac:dyDescent="0.3">
      <c r="A1402" t="s">
        <v>1507</v>
      </c>
      <c r="B1402" s="1">
        <v>46166</v>
      </c>
      <c r="C1402" s="1">
        <v>46166</v>
      </c>
      <c r="D1402" s="1">
        <v>46170</v>
      </c>
      <c r="E1402" s="1">
        <v>46169</v>
      </c>
      <c r="F1402" t="s">
        <v>33</v>
      </c>
      <c r="G1402" t="s">
        <v>55</v>
      </c>
      <c r="H1402" t="s">
        <v>20</v>
      </c>
      <c r="I1402" t="s">
        <v>45</v>
      </c>
      <c r="J1402">
        <v>626.20000000000005</v>
      </c>
      <c r="K1402">
        <v>872.5</v>
      </c>
      <c r="L1402">
        <v>5878000</v>
      </c>
      <c r="M1402" t="b">
        <v>0</v>
      </c>
      <c r="N1402" t="b">
        <v>0</v>
      </c>
      <c r="O1402">
        <v>1000</v>
      </c>
      <c r="P1402" t="b">
        <v>0</v>
      </c>
      <c r="Q1402" t="b">
        <v>0</v>
      </c>
      <c r="R1402" t="b">
        <v>0</v>
      </c>
      <c r="S1402" t="s">
        <v>96</v>
      </c>
      <c r="T1402" t="s">
        <v>102</v>
      </c>
    </row>
    <row r="1403" spans="1:21" x14ac:dyDescent="0.3">
      <c r="A1403" t="s">
        <v>1508</v>
      </c>
      <c r="B1403" s="1">
        <v>46036</v>
      </c>
      <c r="C1403" s="1">
        <v>46037</v>
      </c>
      <c r="D1403" s="1">
        <v>46039</v>
      </c>
      <c r="E1403" s="1">
        <v>46039</v>
      </c>
      <c r="F1403" t="s">
        <v>34</v>
      </c>
      <c r="G1403" t="s">
        <v>57</v>
      </c>
      <c r="H1403" t="s">
        <v>20</v>
      </c>
      <c r="I1403" t="s">
        <v>43</v>
      </c>
      <c r="J1403">
        <v>150.69999999999999</v>
      </c>
      <c r="K1403">
        <v>4199.7</v>
      </c>
      <c r="L1403">
        <v>4763000</v>
      </c>
      <c r="M1403" t="b">
        <v>0</v>
      </c>
      <c r="N1403" t="b">
        <v>0</v>
      </c>
      <c r="O1403">
        <v>5000</v>
      </c>
      <c r="P1403" t="b">
        <v>0</v>
      </c>
      <c r="Q1403" t="b">
        <v>0</v>
      </c>
      <c r="R1403" t="b">
        <v>0</v>
      </c>
      <c r="S1403" t="s">
        <v>96</v>
      </c>
      <c r="T1403" t="s">
        <v>104</v>
      </c>
    </row>
    <row r="1404" spans="1:21" x14ac:dyDescent="0.3">
      <c r="A1404" t="s">
        <v>1509</v>
      </c>
      <c r="B1404" s="1">
        <v>46033</v>
      </c>
      <c r="C1404" s="1">
        <v>46034</v>
      </c>
      <c r="D1404" s="1">
        <v>46038</v>
      </c>
      <c r="E1404" s="1">
        <v>46038</v>
      </c>
      <c r="F1404" t="s">
        <v>34</v>
      </c>
      <c r="G1404" t="s">
        <v>56</v>
      </c>
      <c r="H1404" t="s">
        <v>20</v>
      </c>
      <c r="I1404" t="s">
        <v>45</v>
      </c>
      <c r="J1404">
        <v>841.8</v>
      </c>
      <c r="L1404">
        <v>6465000</v>
      </c>
      <c r="M1404" t="b">
        <v>0</v>
      </c>
      <c r="N1404" t="b">
        <v>1</v>
      </c>
      <c r="O1404">
        <v>1000</v>
      </c>
      <c r="P1404" t="b">
        <v>0</v>
      </c>
      <c r="Q1404" t="b">
        <v>0</v>
      </c>
      <c r="R1404" t="b">
        <v>1</v>
      </c>
      <c r="S1404" t="s">
        <v>96</v>
      </c>
      <c r="T1404" t="s">
        <v>104</v>
      </c>
    </row>
    <row r="1405" spans="1:21" x14ac:dyDescent="0.3">
      <c r="A1405" t="s">
        <v>1510</v>
      </c>
      <c r="B1405" s="1">
        <v>46124</v>
      </c>
      <c r="C1405" s="1">
        <v>46125</v>
      </c>
      <c r="D1405" s="1">
        <v>46128</v>
      </c>
      <c r="E1405" s="1">
        <v>46128</v>
      </c>
      <c r="F1405" t="s">
        <v>34</v>
      </c>
      <c r="G1405" t="s">
        <v>53</v>
      </c>
      <c r="H1405" t="s">
        <v>20</v>
      </c>
      <c r="I1405" t="s">
        <v>42</v>
      </c>
      <c r="J1405">
        <v>300.89999999999998</v>
      </c>
      <c r="K1405">
        <v>13925.9</v>
      </c>
      <c r="L1405">
        <v>9717000</v>
      </c>
      <c r="M1405" t="b">
        <v>0</v>
      </c>
      <c r="N1405" t="b">
        <v>0</v>
      </c>
      <c r="O1405">
        <v>16000</v>
      </c>
      <c r="P1405" t="b">
        <v>0</v>
      </c>
      <c r="Q1405" t="b">
        <v>0</v>
      </c>
      <c r="R1405" t="b">
        <v>0</v>
      </c>
      <c r="S1405" t="s">
        <v>96</v>
      </c>
      <c r="T1405" t="s">
        <v>112</v>
      </c>
    </row>
    <row r="1406" spans="1:21" x14ac:dyDescent="0.3">
      <c r="A1406" t="s">
        <v>1511</v>
      </c>
      <c r="B1406" s="1">
        <v>46078</v>
      </c>
      <c r="C1406" s="1">
        <v>46079</v>
      </c>
      <c r="D1406" s="1">
        <v>46083</v>
      </c>
      <c r="F1406" t="s">
        <v>33</v>
      </c>
      <c r="G1406" t="s">
        <v>58</v>
      </c>
      <c r="H1406" t="s">
        <v>22</v>
      </c>
      <c r="I1406" t="s">
        <v>45</v>
      </c>
      <c r="J1406">
        <v>655.7</v>
      </c>
      <c r="K1406">
        <v>747.8</v>
      </c>
      <c r="L1406">
        <v>6578000</v>
      </c>
      <c r="M1406" t="b">
        <v>0</v>
      </c>
      <c r="N1406" t="b">
        <v>0</v>
      </c>
      <c r="O1406">
        <v>1000</v>
      </c>
      <c r="P1406" t="b">
        <v>0</v>
      </c>
      <c r="Q1406" t="b">
        <v>0</v>
      </c>
      <c r="R1406" t="b">
        <v>0</v>
      </c>
      <c r="S1406" t="s">
        <v>203</v>
      </c>
      <c r="T1406" t="s">
        <v>115</v>
      </c>
    </row>
    <row r="1407" spans="1:21" x14ac:dyDescent="0.3">
      <c r="A1407" t="s">
        <v>1512</v>
      </c>
      <c r="B1407" s="1">
        <v>46071</v>
      </c>
      <c r="C1407" s="1">
        <v>46072</v>
      </c>
      <c r="D1407" s="1">
        <v>46074</v>
      </c>
      <c r="E1407" s="1">
        <v>46074</v>
      </c>
      <c r="F1407" t="s">
        <v>34</v>
      </c>
      <c r="G1407" t="s">
        <v>59</v>
      </c>
      <c r="H1407" t="s">
        <v>21</v>
      </c>
      <c r="I1407" t="s">
        <v>44</v>
      </c>
      <c r="J1407">
        <v>294.60000000000002</v>
      </c>
      <c r="K1407">
        <v>1133.4000000000001</v>
      </c>
      <c r="L1407">
        <v>4017000</v>
      </c>
      <c r="M1407" t="b">
        <v>0</v>
      </c>
      <c r="N1407" t="b">
        <v>0</v>
      </c>
      <c r="O1407">
        <v>1500</v>
      </c>
      <c r="P1407" t="b">
        <v>0</v>
      </c>
      <c r="Q1407" t="b">
        <v>0</v>
      </c>
      <c r="R1407" t="b">
        <v>0</v>
      </c>
      <c r="S1407" t="s">
        <v>96</v>
      </c>
      <c r="T1407" t="s">
        <v>115</v>
      </c>
    </row>
    <row r="1408" spans="1:21" x14ac:dyDescent="0.3">
      <c r="A1408" t="s">
        <v>1513</v>
      </c>
      <c r="B1408" s="1">
        <v>46183</v>
      </c>
      <c r="C1408" s="1">
        <v>46184</v>
      </c>
      <c r="D1408" s="1">
        <v>46187</v>
      </c>
      <c r="E1408" s="1">
        <v>46188</v>
      </c>
      <c r="F1408" t="s">
        <v>33</v>
      </c>
      <c r="G1408" t="s">
        <v>53</v>
      </c>
      <c r="H1408" t="s">
        <v>22</v>
      </c>
      <c r="I1408" t="s">
        <v>45</v>
      </c>
      <c r="J1408">
        <v>596.1</v>
      </c>
      <c r="K1408">
        <v>600.1</v>
      </c>
      <c r="L1408">
        <v>5774000</v>
      </c>
      <c r="M1408" t="b">
        <v>0</v>
      </c>
      <c r="N1408" t="b">
        <v>0</v>
      </c>
      <c r="O1408">
        <v>1000</v>
      </c>
      <c r="P1408" t="b">
        <v>0</v>
      </c>
      <c r="Q1408" t="b">
        <v>0</v>
      </c>
      <c r="R1408" t="b">
        <v>0</v>
      </c>
      <c r="S1408" t="s">
        <v>101</v>
      </c>
      <c r="T1408" t="s">
        <v>99</v>
      </c>
      <c r="U1408">
        <v>1</v>
      </c>
    </row>
    <row r="1409" spans="1:21" x14ac:dyDescent="0.3">
      <c r="A1409" t="s">
        <v>1514</v>
      </c>
      <c r="B1409" s="1">
        <v>46195</v>
      </c>
      <c r="C1409" s="1">
        <v>46196</v>
      </c>
      <c r="D1409" s="1">
        <v>46198</v>
      </c>
      <c r="E1409" s="1">
        <v>46201</v>
      </c>
      <c r="F1409" t="s">
        <v>34</v>
      </c>
      <c r="G1409" t="s">
        <v>52</v>
      </c>
      <c r="H1409" t="s">
        <v>24</v>
      </c>
      <c r="I1409" t="s">
        <v>42</v>
      </c>
      <c r="J1409">
        <v>280.60000000000002</v>
      </c>
      <c r="K1409">
        <v>11789.7</v>
      </c>
      <c r="L1409">
        <v>8593000</v>
      </c>
      <c r="M1409" t="b">
        <v>0</v>
      </c>
      <c r="N1409" t="b">
        <v>0</v>
      </c>
      <c r="O1409">
        <v>16000</v>
      </c>
      <c r="P1409" t="b">
        <v>0</v>
      </c>
      <c r="Q1409" t="b">
        <v>0</v>
      </c>
      <c r="R1409" t="b">
        <v>0</v>
      </c>
      <c r="S1409" t="s">
        <v>101</v>
      </c>
      <c r="T1409" t="s">
        <v>99</v>
      </c>
      <c r="U1409">
        <v>3</v>
      </c>
    </row>
    <row r="1410" spans="1:21" x14ac:dyDescent="0.3">
      <c r="A1410" t="s">
        <v>1515</v>
      </c>
      <c r="B1410" s="1">
        <v>46071</v>
      </c>
      <c r="C1410" s="1">
        <v>46073</v>
      </c>
      <c r="D1410" s="1">
        <v>46076</v>
      </c>
      <c r="E1410" s="1">
        <v>46078</v>
      </c>
      <c r="F1410" t="s">
        <v>34</v>
      </c>
      <c r="G1410" t="s">
        <v>54</v>
      </c>
      <c r="H1410" t="s">
        <v>23</v>
      </c>
      <c r="I1410" t="s">
        <v>42</v>
      </c>
      <c r="J1410">
        <v>443.5</v>
      </c>
      <c r="K1410">
        <v>14788</v>
      </c>
      <c r="L1410">
        <v>13147000</v>
      </c>
      <c r="M1410" t="b">
        <v>0</v>
      </c>
      <c r="N1410" t="b">
        <v>0</v>
      </c>
      <c r="O1410">
        <v>16000</v>
      </c>
      <c r="P1410" t="b">
        <v>0</v>
      </c>
      <c r="Q1410" t="b">
        <v>0</v>
      </c>
      <c r="R1410" t="b">
        <v>0</v>
      </c>
      <c r="S1410" t="s">
        <v>101</v>
      </c>
      <c r="T1410" t="s">
        <v>115</v>
      </c>
      <c r="U1410">
        <v>2</v>
      </c>
    </row>
    <row r="1411" spans="1:21" x14ac:dyDescent="0.3">
      <c r="A1411" t="s">
        <v>1516</v>
      </c>
      <c r="B1411" s="1">
        <v>46078</v>
      </c>
      <c r="C1411" s="1">
        <v>46080</v>
      </c>
      <c r="D1411" s="1">
        <v>46081</v>
      </c>
      <c r="E1411" s="1">
        <v>46081</v>
      </c>
      <c r="F1411" t="s">
        <v>31</v>
      </c>
      <c r="G1411" t="s">
        <v>55</v>
      </c>
      <c r="H1411" t="s">
        <v>20</v>
      </c>
      <c r="I1411" t="s">
        <v>43</v>
      </c>
      <c r="J1411">
        <v>17.8</v>
      </c>
      <c r="K1411">
        <v>1937.9</v>
      </c>
      <c r="L1411">
        <v>1795000</v>
      </c>
      <c r="M1411" t="b">
        <v>0</v>
      </c>
      <c r="N1411" t="b">
        <v>0</v>
      </c>
      <c r="O1411">
        <v>5000</v>
      </c>
      <c r="P1411" t="b">
        <v>0</v>
      </c>
      <c r="Q1411" t="b">
        <v>0</v>
      </c>
      <c r="R1411" t="b">
        <v>0</v>
      </c>
      <c r="S1411" t="s">
        <v>96</v>
      </c>
      <c r="T1411" t="s">
        <v>115</v>
      </c>
    </row>
    <row r="1412" spans="1:21" x14ac:dyDescent="0.3">
      <c r="A1412" t="s">
        <v>1517</v>
      </c>
      <c r="B1412" s="1">
        <v>46168</v>
      </c>
      <c r="C1412" s="1">
        <v>46168</v>
      </c>
      <c r="D1412" s="1">
        <v>46170</v>
      </c>
      <c r="E1412" s="1">
        <v>46170</v>
      </c>
      <c r="F1412" t="s">
        <v>31</v>
      </c>
      <c r="G1412" t="s">
        <v>58</v>
      </c>
      <c r="H1412" t="s">
        <v>20</v>
      </c>
      <c r="I1412" t="s">
        <v>43</v>
      </c>
      <c r="J1412">
        <v>186</v>
      </c>
      <c r="K1412">
        <v>4234.3999999999996</v>
      </c>
      <c r="L1412">
        <v>5159000</v>
      </c>
      <c r="M1412" t="b">
        <v>0</v>
      </c>
      <c r="N1412" t="b">
        <v>0</v>
      </c>
      <c r="O1412">
        <v>5000</v>
      </c>
      <c r="P1412" t="b">
        <v>0</v>
      </c>
      <c r="Q1412" t="b">
        <v>0</v>
      </c>
      <c r="R1412" t="b">
        <v>0</v>
      </c>
      <c r="S1412" t="s">
        <v>96</v>
      </c>
      <c r="T1412" t="s">
        <v>102</v>
      </c>
    </row>
    <row r="1413" spans="1:21" x14ac:dyDescent="0.3">
      <c r="A1413" t="s">
        <v>1518</v>
      </c>
      <c r="B1413" s="1">
        <v>46059</v>
      </c>
      <c r="C1413" s="1">
        <v>46060</v>
      </c>
      <c r="D1413" s="1">
        <v>46061</v>
      </c>
      <c r="E1413" s="1">
        <v>46062</v>
      </c>
      <c r="F1413" t="s">
        <v>34</v>
      </c>
      <c r="G1413" t="s">
        <v>61</v>
      </c>
      <c r="H1413" t="s">
        <v>23</v>
      </c>
      <c r="I1413" t="s">
        <v>43</v>
      </c>
      <c r="J1413">
        <v>22.1</v>
      </c>
      <c r="K1413">
        <v>2169.5</v>
      </c>
      <c r="L1413">
        <v>1794000</v>
      </c>
      <c r="M1413" t="b">
        <v>0</v>
      </c>
      <c r="N1413" t="b">
        <v>0</v>
      </c>
      <c r="O1413">
        <v>5000</v>
      </c>
      <c r="P1413" t="b">
        <v>0</v>
      </c>
      <c r="Q1413" t="b">
        <v>0</v>
      </c>
      <c r="R1413" t="b">
        <v>0</v>
      </c>
      <c r="S1413" t="s">
        <v>101</v>
      </c>
      <c r="T1413" t="s">
        <v>115</v>
      </c>
      <c r="U1413">
        <v>1</v>
      </c>
    </row>
    <row r="1414" spans="1:21" x14ac:dyDescent="0.3">
      <c r="A1414" t="s">
        <v>1519</v>
      </c>
      <c r="B1414" s="1">
        <v>46032</v>
      </c>
      <c r="C1414" s="1">
        <v>46033</v>
      </c>
      <c r="D1414" s="1">
        <v>46036</v>
      </c>
      <c r="E1414" s="1">
        <v>46036</v>
      </c>
      <c r="F1414" t="s">
        <v>33</v>
      </c>
      <c r="G1414" t="s">
        <v>53</v>
      </c>
      <c r="H1414" t="s">
        <v>20</v>
      </c>
      <c r="I1414" t="s">
        <v>44</v>
      </c>
      <c r="J1414">
        <v>598.6</v>
      </c>
      <c r="K1414">
        <v>1140.9000000000001</v>
      </c>
      <c r="L1414">
        <v>6546000</v>
      </c>
      <c r="M1414" t="b">
        <v>0</v>
      </c>
      <c r="N1414" t="b">
        <v>0</v>
      </c>
      <c r="O1414">
        <v>1500</v>
      </c>
      <c r="P1414" t="b">
        <v>0</v>
      </c>
      <c r="Q1414" t="b">
        <v>0</v>
      </c>
      <c r="R1414" t="b">
        <v>0</v>
      </c>
      <c r="S1414" t="s">
        <v>96</v>
      </c>
      <c r="T1414" t="s">
        <v>104</v>
      </c>
    </row>
    <row r="1415" spans="1:21" x14ac:dyDescent="0.3">
      <c r="A1415" t="s">
        <v>1520</v>
      </c>
      <c r="B1415" s="1">
        <v>46183</v>
      </c>
      <c r="C1415" s="1">
        <v>46184</v>
      </c>
      <c r="D1415" s="1">
        <v>46188</v>
      </c>
      <c r="E1415" s="1">
        <v>46188</v>
      </c>
      <c r="F1415" t="s">
        <v>31</v>
      </c>
      <c r="G1415" t="s">
        <v>62</v>
      </c>
      <c r="H1415" t="s">
        <v>21</v>
      </c>
      <c r="I1415" t="s">
        <v>43</v>
      </c>
      <c r="J1415">
        <v>758.8</v>
      </c>
      <c r="K1415">
        <v>1486.9</v>
      </c>
      <c r="L1415">
        <v>9688000</v>
      </c>
      <c r="M1415" t="b">
        <v>0</v>
      </c>
      <c r="N1415" t="b">
        <v>0</v>
      </c>
      <c r="O1415">
        <v>5000</v>
      </c>
      <c r="P1415" t="b">
        <v>0</v>
      </c>
      <c r="Q1415" t="b">
        <v>0</v>
      </c>
      <c r="R1415" t="b">
        <v>0</v>
      </c>
      <c r="S1415" t="s">
        <v>96</v>
      </c>
      <c r="T1415" t="s">
        <v>99</v>
      </c>
    </row>
    <row r="1416" spans="1:21" x14ac:dyDescent="0.3">
      <c r="A1416" t="s">
        <v>1521</v>
      </c>
      <c r="B1416" s="1">
        <v>46099</v>
      </c>
      <c r="C1416" s="1">
        <v>46100</v>
      </c>
      <c r="D1416" s="1">
        <v>46103</v>
      </c>
      <c r="E1416" s="1">
        <v>46103</v>
      </c>
      <c r="F1416" t="s">
        <v>34</v>
      </c>
      <c r="G1416" t="s">
        <v>54</v>
      </c>
      <c r="H1416" t="s">
        <v>21</v>
      </c>
      <c r="I1416" t="s">
        <v>45</v>
      </c>
      <c r="J1416">
        <v>440.7</v>
      </c>
      <c r="K1416">
        <v>723.5</v>
      </c>
      <c r="L1416">
        <v>5164000</v>
      </c>
      <c r="M1416" t="b">
        <v>0</v>
      </c>
      <c r="N1416" t="b">
        <v>0</v>
      </c>
      <c r="O1416">
        <v>1000</v>
      </c>
      <c r="P1416" t="b">
        <v>0</v>
      </c>
      <c r="Q1416" t="b">
        <v>0</v>
      </c>
      <c r="R1416" t="b">
        <v>0</v>
      </c>
      <c r="S1416" t="s">
        <v>96</v>
      </c>
      <c r="T1416" t="s">
        <v>118</v>
      </c>
    </row>
    <row r="1417" spans="1:21" x14ac:dyDescent="0.3">
      <c r="A1417" t="s">
        <v>1522</v>
      </c>
      <c r="B1417" s="1">
        <v>46128</v>
      </c>
      <c r="C1417" s="1">
        <v>46129</v>
      </c>
      <c r="D1417" s="1">
        <v>46133</v>
      </c>
      <c r="E1417" s="1">
        <v>46133</v>
      </c>
      <c r="F1417" t="s">
        <v>31</v>
      </c>
      <c r="G1417" t="s">
        <v>56</v>
      </c>
      <c r="H1417" t="s">
        <v>23</v>
      </c>
      <c r="I1417" t="s">
        <v>42</v>
      </c>
      <c r="J1417">
        <v>983.4</v>
      </c>
      <c r="K1417">
        <v>7806.2</v>
      </c>
      <c r="L1417">
        <v>22470000</v>
      </c>
      <c r="M1417" t="b">
        <v>0</v>
      </c>
      <c r="N1417" t="b">
        <v>0</v>
      </c>
      <c r="O1417">
        <v>16000</v>
      </c>
      <c r="P1417" t="b">
        <v>0</v>
      </c>
      <c r="Q1417" t="b">
        <v>0</v>
      </c>
      <c r="R1417" t="b">
        <v>0</v>
      </c>
      <c r="S1417" t="s">
        <v>96</v>
      </c>
      <c r="T1417" t="s">
        <v>112</v>
      </c>
    </row>
    <row r="1418" spans="1:21" x14ac:dyDescent="0.3">
      <c r="A1418" t="s">
        <v>1523</v>
      </c>
      <c r="B1418" s="1">
        <v>46160</v>
      </c>
      <c r="C1418" s="1">
        <v>46161</v>
      </c>
      <c r="D1418" s="1">
        <v>46164</v>
      </c>
      <c r="E1418" s="1">
        <v>46164</v>
      </c>
      <c r="F1418" t="s">
        <v>33</v>
      </c>
      <c r="G1418" t="s">
        <v>59</v>
      </c>
      <c r="H1418" t="s">
        <v>24</v>
      </c>
      <c r="I1418" t="s">
        <v>44</v>
      </c>
      <c r="J1418">
        <v>504.8</v>
      </c>
      <c r="K1418">
        <v>634.29999999999995</v>
      </c>
      <c r="L1418">
        <v>4877000</v>
      </c>
      <c r="M1418" t="b">
        <v>0</v>
      </c>
      <c r="N1418" t="b">
        <v>0</v>
      </c>
      <c r="O1418">
        <v>1500</v>
      </c>
      <c r="P1418" t="b">
        <v>0</v>
      </c>
      <c r="Q1418" t="b">
        <v>0</v>
      </c>
      <c r="R1418" t="b">
        <v>0</v>
      </c>
      <c r="S1418" t="s">
        <v>96</v>
      </c>
      <c r="T1418" t="s">
        <v>102</v>
      </c>
    </row>
    <row r="1419" spans="1:21" x14ac:dyDescent="0.3">
      <c r="A1419" t="s">
        <v>1524</v>
      </c>
      <c r="B1419" s="1">
        <v>46142</v>
      </c>
      <c r="C1419" s="1">
        <v>46143</v>
      </c>
      <c r="D1419" s="1">
        <v>46146</v>
      </c>
      <c r="E1419" s="1">
        <v>46146</v>
      </c>
      <c r="F1419" t="s">
        <v>33</v>
      </c>
      <c r="G1419" t="s">
        <v>59</v>
      </c>
      <c r="H1419" t="s">
        <v>21</v>
      </c>
      <c r="I1419" t="s">
        <v>44</v>
      </c>
      <c r="J1419">
        <v>513.6</v>
      </c>
      <c r="K1419">
        <v>872.9</v>
      </c>
      <c r="L1419">
        <v>5237000</v>
      </c>
      <c r="M1419" t="b">
        <v>0</v>
      </c>
      <c r="N1419" t="b">
        <v>0</v>
      </c>
      <c r="O1419">
        <v>1500</v>
      </c>
      <c r="P1419" t="b">
        <v>0</v>
      </c>
      <c r="Q1419" t="b">
        <v>0</v>
      </c>
      <c r="R1419" t="b">
        <v>0</v>
      </c>
      <c r="S1419" t="s">
        <v>96</v>
      </c>
      <c r="T1419" t="s">
        <v>102</v>
      </c>
    </row>
    <row r="1420" spans="1:21" x14ac:dyDescent="0.3">
      <c r="A1420" t="s">
        <v>1525</v>
      </c>
      <c r="B1420" s="1">
        <v>46134</v>
      </c>
      <c r="C1420" s="1">
        <v>46135</v>
      </c>
      <c r="D1420" s="1">
        <v>46138</v>
      </c>
      <c r="E1420" s="1">
        <v>46139</v>
      </c>
      <c r="F1420" t="s">
        <v>32</v>
      </c>
      <c r="G1420" t="s">
        <v>54</v>
      </c>
      <c r="H1420" t="s">
        <v>24</v>
      </c>
      <c r="I1420" t="s">
        <v>44</v>
      </c>
      <c r="J1420">
        <v>563.1</v>
      </c>
      <c r="K1420">
        <v>459.2</v>
      </c>
      <c r="L1420">
        <v>5805000</v>
      </c>
      <c r="M1420" t="b">
        <v>0</v>
      </c>
      <c r="N1420" t="b">
        <v>0</v>
      </c>
      <c r="O1420">
        <v>1500</v>
      </c>
      <c r="P1420" t="b">
        <v>0</v>
      </c>
      <c r="Q1420" t="b">
        <v>0</v>
      </c>
      <c r="R1420" t="b">
        <v>0</v>
      </c>
      <c r="S1420" t="s">
        <v>101</v>
      </c>
      <c r="T1420" t="s">
        <v>112</v>
      </c>
      <c r="U1420">
        <v>1</v>
      </c>
    </row>
    <row r="1421" spans="1:21" x14ac:dyDescent="0.3">
      <c r="A1421" t="s">
        <v>1526</v>
      </c>
      <c r="B1421" s="1">
        <v>46173</v>
      </c>
      <c r="C1421" s="1">
        <v>46174</v>
      </c>
      <c r="D1421" s="1">
        <v>46176</v>
      </c>
      <c r="E1421" s="1">
        <v>46176</v>
      </c>
      <c r="F1421" t="s">
        <v>32</v>
      </c>
      <c r="G1421" t="s">
        <v>55</v>
      </c>
      <c r="H1421" t="s">
        <v>24</v>
      </c>
      <c r="I1421" t="s">
        <v>43</v>
      </c>
      <c r="J1421">
        <v>132.5</v>
      </c>
      <c r="K1421">
        <v>1720.5</v>
      </c>
      <c r="L1421">
        <v>12945000</v>
      </c>
      <c r="M1421" t="b">
        <v>0</v>
      </c>
      <c r="N1421" t="b">
        <v>0</v>
      </c>
      <c r="O1421">
        <v>5000</v>
      </c>
      <c r="P1421" t="b">
        <v>0</v>
      </c>
      <c r="Q1421" t="b">
        <v>0</v>
      </c>
      <c r="R1421" t="b">
        <v>0</v>
      </c>
      <c r="S1421" t="s">
        <v>96</v>
      </c>
      <c r="T1421" t="s">
        <v>99</v>
      </c>
    </row>
    <row r="1422" spans="1:21" x14ac:dyDescent="0.3">
      <c r="A1422" t="s">
        <v>1527</v>
      </c>
      <c r="B1422" s="1">
        <v>46145</v>
      </c>
      <c r="C1422" s="1">
        <v>46147</v>
      </c>
      <c r="D1422" s="1">
        <v>46151</v>
      </c>
      <c r="E1422" s="1">
        <v>46152</v>
      </c>
      <c r="F1422" t="s">
        <v>34</v>
      </c>
      <c r="G1422" t="s">
        <v>60</v>
      </c>
      <c r="H1422" t="s">
        <v>24</v>
      </c>
      <c r="I1422" t="s">
        <v>42</v>
      </c>
      <c r="J1422">
        <v>647.70000000000005</v>
      </c>
      <c r="K1422">
        <v>14010.4</v>
      </c>
      <c r="L1422">
        <v>16968000</v>
      </c>
      <c r="M1422" t="b">
        <v>0</v>
      </c>
      <c r="N1422" t="b">
        <v>0</v>
      </c>
      <c r="O1422">
        <v>16000</v>
      </c>
      <c r="P1422" t="b">
        <v>0</v>
      </c>
      <c r="Q1422" t="b">
        <v>0</v>
      </c>
      <c r="R1422" t="b">
        <v>0</v>
      </c>
      <c r="S1422" t="s">
        <v>101</v>
      </c>
      <c r="T1422" t="s">
        <v>102</v>
      </c>
      <c r="U1422">
        <v>1</v>
      </c>
    </row>
    <row r="1423" spans="1:21" x14ac:dyDescent="0.3">
      <c r="A1423" t="s">
        <v>1528</v>
      </c>
      <c r="B1423" s="1">
        <v>46081</v>
      </c>
      <c r="C1423" s="1">
        <v>46082</v>
      </c>
      <c r="D1423" s="1">
        <v>46083</v>
      </c>
      <c r="E1423" s="1">
        <v>46084</v>
      </c>
      <c r="F1423" t="s">
        <v>34</v>
      </c>
      <c r="G1423" t="s">
        <v>61</v>
      </c>
      <c r="H1423" t="s">
        <v>23</v>
      </c>
      <c r="I1423" t="s">
        <v>42</v>
      </c>
      <c r="J1423">
        <v>22.6</v>
      </c>
      <c r="K1423">
        <v>14677.7</v>
      </c>
      <c r="L1423">
        <v>6116000</v>
      </c>
      <c r="M1423" t="b">
        <v>0</v>
      </c>
      <c r="N1423" t="b">
        <v>0</v>
      </c>
      <c r="O1423">
        <v>16000</v>
      </c>
      <c r="P1423" t="b">
        <v>0</v>
      </c>
      <c r="Q1423" t="b">
        <v>0</v>
      </c>
      <c r="R1423" t="b">
        <v>0</v>
      </c>
      <c r="S1423" t="s">
        <v>101</v>
      </c>
      <c r="T1423" t="s">
        <v>118</v>
      </c>
      <c r="U1423">
        <v>1</v>
      </c>
    </row>
    <row r="1424" spans="1:21" x14ac:dyDescent="0.3">
      <c r="A1424" t="s">
        <v>1529</v>
      </c>
      <c r="B1424" s="1">
        <v>46075</v>
      </c>
      <c r="C1424" s="1">
        <v>46076</v>
      </c>
      <c r="D1424" s="1">
        <v>46077</v>
      </c>
      <c r="E1424" s="1">
        <v>46077</v>
      </c>
      <c r="F1424" t="s">
        <v>34</v>
      </c>
      <c r="G1424" t="s">
        <v>55</v>
      </c>
      <c r="H1424" t="s">
        <v>20</v>
      </c>
      <c r="I1424" t="s">
        <v>43</v>
      </c>
      <c r="J1424">
        <v>55.7</v>
      </c>
      <c r="K1424">
        <v>881.2</v>
      </c>
      <c r="L1424">
        <v>1509000</v>
      </c>
      <c r="M1424" t="b">
        <v>0</v>
      </c>
      <c r="N1424" t="b">
        <v>0</v>
      </c>
      <c r="O1424">
        <v>5000</v>
      </c>
      <c r="P1424" t="b">
        <v>0</v>
      </c>
      <c r="Q1424" t="b">
        <v>0</v>
      </c>
      <c r="R1424" t="b">
        <v>0</v>
      </c>
      <c r="S1424" t="s">
        <v>96</v>
      </c>
      <c r="T1424" t="s">
        <v>115</v>
      </c>
    </row>
    <row r="1425" spans="1:21" x14ac:dyDescent="0.3">
      <c r="A1425" t="s">
        <v>1530</v>
      </c>
      <c r="B1425" s="1">
        <v>46113</v>
      </c>
      <c r="C1425" s="1">
        <v>46114</v>
      </c>
      <c r="D1425" s="1">
        <v>46118</v>
      </c>
      <c r="E1425" s="1">
        <v>46118</v>
      </c>
      <c r="F1425" t="s">
        <v>34</v>
      </c>
      <c r="G1425" t="s">
        <v>56</v>
      </c>
      <c r="H1425" t="s">
        <v>21</v>
      </c>
      <c r="I1425" t="s">
        <v>44</v>
      </c>
      <c r="J1425">
        <v>945.7</v>
      </c>
      <c r="K1425">
        <v>654.4</v>
      </c>
      <c r="L1425">
        <v>9681000</v>
      </c>
      <c r="M1425" t="b">
        <v>0</v>
      </c>
      <c r="N1425" t="b">
        <v>0</v>
      </c>
      <c r="O1425">
        <v>1500</v>
      </c>
      <c r="P1425" t="b">
        <v>0</v>
      </c>
      <c r="Q1425" t="b">
        <v>0</v>
      </c>
      <c r="R1425" t="b">
        <v>0</v>
      </c>
      <c r="S1425" t="s">
        <v>96</v>
      </c>
      <c r="T1425" t="s">
        <v>112</v>
      </c>
    </row>
    <row r="1426" spans="1:21" x14ac:dyDescent="0.3">
      <c r="A1426" t="s">
        <v>1531</v>
      </c>
      <c r="B1426" s="1">
        <v>46106</v>
      </c>
      <c r="C1426" s="1">
        <v>46107</v>
      </c>
      <c r="D1426" s="1">
        <v>46111</v>
      </c>
      <c r="E1426" s="1">
        <v>46112</v>
      </c>
      <c r="F1426" t="s">
        <v>34</v>
      </c>
      <c r="G1426" t="s">
        <v>56</v>
      </c>
      <c r="H1426" t="s">
        <v>23</v>
      </c>
      <c r="I1426" t="s">
        <v>43</v>
      </c>
      <c r="J1426">
        <v>921</v>
      </c>
      <c r="K1426">
        <v>828.5</v>
      </c>
      <c r="L1426">
        <v>12133000</v>
      </c>
      <c r="M1426" t="b">
        <v>0</v>
      </c>
      <c r="N1426" t="b">
        <v>0</v>
      </c>
      <c r="O1426">
        <v>5000</v>
      </c>
      <c r="P1426" t="b">
        <v>0</v>
      </c>
      <c r="Q1426" t="b">
        <v>0</v>
      </c>
      <c r="R1426" t="b">
        <v>0</v>
      </c>
      <c r="S1426" t="s">
        <v>101</v>
      </c>
      <c r="T1426" t="s">
        <v>118</v>
      </c>
      <c r="U1426">
        <v>1</v>
      </c>
    </row>
    <row r="1427" spans="1:21" x14ac:dyDescent="0.3">
      <c r="A1427" t="s">
        <v>1532</v>
      </c>
      <c r="B1427" s="1">
        <v>46078</v>
      </c>
      <c r="C1427" s="1">
        <v>46078</v>
      </c>
      <c r="D1427" s="1">
        <v>46079</v>
      </c>
      <c r="E1427" s="1">
        <v>46079</v>
      </c>
      <c r="F1427" t="s">
        <v>31</v>
      </c>
      <c r="G1427" t="s">
        <v>55</v>
      </c>
      <c r="H1427" t="s">
        <v>20</v>
      </c>
      <c r="I1427" t="s">
        <v>42</v>
      </c>
      <c r="J1427">
        <v>18.899999999999999</v>
      </c>
      <c r="K1427">
        <v>5033.7</v>
      </c>
      <c r="L1427">
        <v>2664000</v>
      </c>
      <c r="M1427" t="b">
        <v>0</v>
      </c>
      <c r="N1427" t="b">
        <v>0</v>
      </c>
      <c r="O1427">
        <v>16000</v>
      </c>
      <c r="P1427" t="b">
        <v>0</v>
      </c>
      <c r="Q1427" t="b">
        <v>0</v>
      </c>
      <c r="R1427" t="b">
        <v>0</v>
      </c>
      <c r="S1427" t="s">
        <v>96</v>
      </c>
      <c r="T1427" t="s">
        <v>115</v>
      </c>
    </row>
    <row r="1428" spans="1:21" x14ac:dyDescent="0.3">
      <c r="A1428" t="s">
        <v>1533</v>
      </c>
      <c r="B1428" s="1">
        <v>46066</v>
      </c>
      <c r="C1428" s="1">
        <v>46068</v>
      </c>
      <c r="D1428" s="1">
        <v>46071</v>
      </c>
      <c r="E1428" s="1">
        <v>46074</v>
      </c>
      <c r="F1428" t="s">
        <v>34</v>
      </c>
      <c r="G1428" t="s">
        <v>54</v>
      </c>
      <c r="H1428" t="s">
        <v>24</v>
      </c>
      <c r="I1428" t="s">
        <v>44</v>
      </c>
      <c r="J1428">
        <v>439.9</v>
      </c>
      <c r="K1428">
        <v>657.5</v>
      </c>
      <c r="L1428">
        <v>4643000</v>
      </c>
      <c r="M1428" t="b">
        <v>0</v>
      </c>
      <c r="N1428" t="b">
        <v>0</v>
      </c>
      <c r="O1428">
        <v>1500</v>
      </c>
      <c r="P1428" t="b">
        <v>0</v>
      </c>
      <c r="Q1428" t="b">
        <v>0</v>
      </c>
      <c r="R1428" t="b">
        <v>0</v>
      </c>
      <c r="S1428" t="s">
        <v>101</v>
      </c>
      <c r="T1428" t="s">
        <v>115</v>
      </c>
      <c r="U1428">
        <v>3</v>
      </c>
    </row>
    <row r="1429" spans="1:21" x14ac:dyDescent="0.3">
      <c r="A1429" t="s">
        <v>1534</v>
      </c>
      <c r="B1429" s="1">
        <v>46090</v>
      </c>
      <c r="C1429" s="1">
        <v>46091</v>
      </c>
      <c r="D1429" s="1">
        <v>46094</v>
      </c>
      <c r="E1429" s="1">
        <v>46094</v>
      </c>
      <c r="F1429" t="s">
        <v>32</v>
      </c>
      <c r="G1429" t="s">
        <v>63</v>
      </c>
      <c r="H1429" t="s">
        <v>20</v>
      </c>
      <c r="I1429" t="s">
        <v>43</v>
      </c>
      <c r="J1429">
        <v>179.2</v>
      </c>
      <c r="K1429">
        <v>2244.1999999999998</v>
      </c>
      <c r="L1429">
        <v>3778000</v>
      </c>
      <c r="M1429" t="b">
        <v>0</v>
      </c>
      <c r="N1429" t="b">
        <v>0</v>
      </c>
      <c r="O1429">
        <v>5000</v>
      </c>
      <c r="P1429" t="b">
        <v>0</v>
      </c>
      <c r="Q1429" t="b">
        <v>0</v>
      </c>
      <c r="R1429" t="b">
        <v>0</v>
      </c>
      <c r="S1429" t="s">
        <v>96</v>
      </c>
      <c r="T1429" t="s">
        <v>118</v>
      </c>
    </row>
    <row r="1430" spans="1:21" x14ac:dyDescent="0.3">
      <c r="A1430" t="s">
        <v>1535</v>
      </c>
      <c r="B1430" s="1">
        <v>46112</v>
      </c>
      <c r="C1430" s="1">
        <v>46113</v>
      </c>
      <c r="D1430" s="1">
        <v>46116</v>
      </c>
      <c r="E1430" s="1">
        <v>46117</v>
      </c>
      <c r="F1430" t="s">
        <v>34</v>
      </c>
      <c r="G1430" t="s">
        <v>54</v>
      </c>
      <c r="H1430" t="s">
        <v>20</v>
      </c>
      <c r="I1430" t="s">
        <v>44</v>
      </c>
      <c r="J1430">
        <v>483.9</v>
      </c>
      <c r="K1430">
        <v>577.79999999999995</v>
      </c>
      <c r="L1430">
        <v>5115000</v>
      </c>
      <c r="M1430" t="b">
        <v>0</v>
      </c>
      <c r="N1430" t="b">
        <v>0</v>
      </c>
      <c r="O1430">
        <v>1500</v>
      </c>
      <c r="P1430" t="b">
        <v>0</v>
      </c>
      <c r="Q1430" t="b">
        <v>0</v>
      </c>
      <c r="R1430" t="b">
        <v>0</v>
      </c>
      <c r="S1430" t="s">
        <v>101</v>
      </c>
      <c r="T1430" t="s">
        <v>112</v>
      </c>
      <c r="U1430">
        <v>1</v>
      </c>
    </row>
    <row r="1431" spans="1:21" x14ac:dyDescent="0.3">
      <c r="A1431" t="s">
        <v>1536</v>
      </c>
      <c r="B1431" s="1">
        <v>46166</v>
      </c>
      <c r="C1431" s="1">
        <v>46167</v>
      </c>
      <c r="D1431" s="1">
        <v>46169</v>
      </c>
      <c r="E1431" s="1">
        <v>46170</v>
      </c>
      <c r="F1431" t="s">
        <v>33</v>
      </c>
      <c r="G1431" t="s">
        <v>62</v>
      </c>
      <c r="H1431" t="s">
        <v>21</v>
      </c>
      <c r="I1431" t="s">
        <v>43</v>
      </c>
      <c r="J1431">
        <v>144.4</v>
      </c>
      <c r="K1431">
        <v>3312.8</v>
      </c>
      <c r="L1431">
        <v>4424000</v>
      </c>
      <c r="M1431" t="b">
        <v>0</v>
      </c>
      <c r="N1431" t="b">
        <v>0</v>
      </c>
      <c r="O1431">
        <v>5000</v>
      </c>
      <c r="P1431" t="b">
        <v>0</v>
      </c>
      <c r="Q1431" t="b">
        <v>0</v>
      </c>
      <c r="R1431" t="b">
        <v>0</v>
      </c>
      <c r="S1431" t="s">
        <v>101</v>
      </c>
      <c r="T1431" t="s">
        <v>102</v>
      </c>
      <c r="U1431">
        <v>1</v>
      </c>
    </row>
    <row r="1432" spans="1:21" x14ac:dyDescent="0.3">
      <c r="A1432" t="s">
        <v>1537</v>
      </c>
      <c r="B1432" s="1">
        <v>46096</v>
      </c>
      <c r="C1432" s="1">
        <v>46097</v>
      </c>
      <c r="D1432" s="1">
        <v>46099</v>
      </c>
      <c r="E1432" s="1">
        <v>46100</v>
      </c>
      <c r="F1432" t="s">
        <v>31</v>
      </c>
      <c r="G1432" t="s">
        <v>52</v>
      </c>
      <c r="H1432" t="s">
        <v>24</v>
      </c>
      <c r="I1432" t="s">
        <v>43</v>
      </c>
      <c r="J1432">
        <v>296.5</v>
      </c>
      <c r="K1432">
        <v>4169.3</v>
      </c>
      <c r="L1432">
        <v>6353000</v>
      </c>
      <c r="M1432" t="b">
        <v>0</v>
      </c>
      <c r="N1432" t="b">
        <v>0</v>
      </c>
      <c r="O1432">
        <v>5000</v>
      </c>
      <c r="P1432" t="b">
        <v>0</v>
      </c>
      <c r="Q1432" t="b">
        <v>0</v>
      </c>
      <c r="R1432" t="b">
        <v>0</v>
      </c>
      <c r="S1432" t="s">
        <v>101</v>
      </c>
      <c r="T1432" t="s">
        <v>118</v>
      </c>
      <c r="U1432">
        <v>1</v>
      </c>
    </row>
    <row r="1433" spans="1:21" x14ac:dyDescent="0.3">
      <c r="A1433" t="s">
        <v>1538</v>
      </c>
      <c r="B1433" s="1">
        <v>46137</v>
      </c>
      <c r="C1433" s="1">
        <v>46138</v>
      </c>
      <c r="D1433" s="1">
        <v>46140</v>
      </c>
      <c r="E1433" s="1">
        <v>46140</v>
      </c>
      <c r="F1433" t="s">
        <v>34</v>
      </c>
      <c r="G1433" t="s">
        <v>58</v>
      </c>
      <c r="H1433" t="s">
        <v>23</v>
      </c>
      <c r="I1433" t="s">
        <v>42</v>
      </c>
      <c r="J1433">
        <v>144.80000000000001</v>
      </c>
      <c r="K1433">
        <v>13356.3</v>
      </c>
      <c r="L1433">
        <v>7128000</v>
      </c>
      <c r="M1433" t="b">
        <v>0</v>
      </c>
      <c r="N1433" t="b">
        <v>0</v>
      </c>
      <c r="O1433">
        <v>16000</v>
      </c>
      <c r="P1433" t="b">
        <v>0</v>
      </c>
      <c r="Q1433" t="b">
        <v>0</v>
      </c>
      <c r="R1433" t="b">
        <v>0</v>
      </c>
      <c r="S1433" t="s">
        <v>96</v>
      </c>
      <c r="T1433" t="s">
        <v>112</v>
      </c>
    </row>
    <row r="1434" spans="1:21" x14ac:dyDescent="0.3">
      <c r="A1434" t="s">
        <v>1539</v>
      </c>
      <c r="B1434" s="1">
        <v>46077</v>
      </c>
      <c r="C1434" s="1">
        <v>46077</v>
      </c>
      <c r="D1434" s="1">
        <v>46080</v>
      </c>
      <c r="E1434" s="1">
        <v>46080</v>
      </c>
      <c r="F1434" t="s">
        <v>34</v>
      </c>
      <c r="G1434" t="s">
        <v>53</v>
      </c>
      <c r="H1434" t="s">
        <v>24</v>
      </c>
      <c r="I1434" t="s">
        <v>44</v>
      </c>
      <c r="J1434">
        <v>313.5</v>
      </c>
      <c r="K1434">
        <v>850.8</v>
      </c>
      <c r="L1434">
        <v>4007000</v>
      </c>
      <c r="M1434" t="b">
        <v>0</v>
      </c>
      <c r="N1434" t="b">
        <v>0</v>
      </c>
      <c r="O1434">
        <v>1500</v>
      </c>
      <c r="P1434" t="b">
        <v>0</v>
      </c>
      <c r="Q1434" t="b">
        <v>0</v>
      </c>
      <c r="R1434" t="b">
        <v>0</v>
      </c>
      <c r="S1434" t="s">
        <v>96</v>
      </c>
      <c r="T1434" t="s">
        <v>115</v>
      </c>
    </row>
    <row r="1435" spans="1:21" x14ac:dyDescent="0.3">
      <c r="A1435" t="s">
        <v>1540</v>
      </c>
      <c r="B1435" s="1">
        <v>46063</v>
      </c>
      <c r="C1435" s="1">
        <v>46064</v>
      </c>
      <c r="D1435" s="1">
        <v>46068</v>
      </c>
      <c r="E1435" s="1">
        <v>46069</v>
      </c>
      <c r="F1435" t="s">
        <v>33</v>
      </c>
      <c r="G1435" t="s">
        <v>54</v>
      </c>
      <c r="H1435" t="s">
        <v>23</v>
      </c>
      <c r="I1435" t="s">
        <v>43</v>
      </c>
      <c r="J1435">
        <v>889</v>
      </c>
      <c r="K1435">
        <v>2295</v>
      </c>
      <c r="L1435">
        <v>13228000</v>
      </c>
      <c r="M1435" t="b">
        <v>0</v>
      </c>
      <c r="N1435" t="b">
        <v>0</v>
      </c>
      <c r="O1435">
        <v>5000</v>
      </c>
      <c r="P1435" t="b">
        <v>0</v>
      </c>
      <c r="Q1435" t="b">
        <v>0</v>
      </c>
      <c r="R1435" t="b">
        <v>0</v>
      </c>
      <c r="S1435" t="s">
        <v>101</v>
      </c>
      <c r="T1435" t="s">
        <v>115</v>
      </c>
      <c r="U1435">
        <v>1</v>
      </c>
    </row>
    <row r="1436" spans="1:21" x14ac:dyDescent="0.3">
      <c r="A1436" t="s">
        <v>1541</v>
      </c>
      <c r="B1436" s="1">
        <v>46040</v>
      </c>
      <c r="C1436" s="1">
        <v>46042</v>
      </c>
      <c r="D1436" s="1">
        <v>46046</v>
      </c>
      <c r="E1436" s="1">
        <v>46046</v>
      </c>
      <c r="F1436" t="s">
        <v>34</v>
      </c>
      <c r="G1436" t="s">
        <v>60</v>
      </c>
      <c r="H1436" t="s">
        <v>22</v>
      </c>
      <c r="I1436" t="s">
        <v>42</v>
      </c>
      <c r="J1436">
        <v>623.9</v>
      </c>
      <c r="K1436">
        <v>11232</v>
      </c>
      <c r="L1436">
        <v>15635000</v>
      </c>
      <c r="M1436" t="b">
        <v>0</v>
      </c>
      <c r="N1436" t="b">
        <v>0</v>
      </c>
      <c r="O1436">
        <v>16000</v>
      </c>
      <c r="P1436" t="b">
        <v>0</v>
      </c>
      <c r="Q1436" t="b">
        <v>0</v>
      </c>
      <c r="R1436" t="b">
        <v>0</v>
      </c>
      <c r="S1436" t="s">
        <v>96</v>
      </c>
      <c r="T1436" t="s">
        <v>104</v>
      </c>
    </row>
    <row r="1437" spans="1:21" x14ac:dyDescent="0.3">
      <c r="A1437" t="s">
        <v>1542</v>
      </c>
      <c r="B1437" s="1">
        <v>46203</v>
      </c>
      <c r="C1437" s="1">
        <v>46203</v>
      </c>
      <c r="D1437" s="1">
        <v>46207</v>
      </c>
      <c r="E1437" s="1">
        <v>46207</v>
      </c>
      <c r="F1437" t="s">
        <v>34</v>
      </c>
      <c r="G1437" t="s">
        <v>56</v>
      </c>
      <c r="H1437" t="s">
        <v>21</v>
      </c>
      <c r="I1437" t="s">
        <v>44</v>
      </c>
      <c r="J1437">
        <v>894.6</v>
      </c>
      <c r="K1437">
        <v>907.2</v>
      </c>
      <c r="L1437">
        <v>10509000</v>
      </c>
      <c r="M1437" t="b">
        <v>0</v>
      </c>
      <c r="N1437" t="b">
        <v>0</v>
      </c>
      <c r="O1437">
        <v>1500</v>
      </c>
      <c r="P1437" t="b">
        <v>0</v>
      </c>
      <c r="Q1437" t="b">
        <v>0</v>
      </c>
      <c r="R1437" t="b">
        <v>0</v>
      </c>
      <c r="S1437" t="s">
        <v>96</v>
      </c>
      <c r="T1437" t="s">
        <v>99</v>
      </c>
    </row>
    <row r="1438" spans="1:21" x14ac:dyDescent="0.3">
      <c r="A1438" t="s">
        <v>1543</v>
      </c>
      <c r="B1438" s="1">
        <v>46196</v>
      </c>
      <c r="C1438" s="1">
        <v>46197</v>
      </c>
      <c r="D1438" s="1">
        <v>46199</v>
      </c>
      <c r="E1438" s="1">
        <v>46200</v>
      </c>
      <c r="F1438" t="s">
        <v>31</v>
      </c>
      <c r="G1438" t="s">
        <v>57</v>
      </c>
      <c r="H1438" t="s">
        <v>23</v>
      </c>
      <c r="I1438" t="s">
        <v>44</v>
      </c>
      <c r="J1438">
        <v>128.69999999999999</v>
      </c>
      <c r="K1438">
        <v>244</v>
      </c>
      <c r="L1438">
        <v>1580000</v>
      </c>
      <c r="M1438" t="b">
        <v>0</v>
      </c>
      <c r="N1438" t="b">
        <v>0</v>
      </c>
      <c r="O1438">
        <v>1500</v>
      </c>
      <c r="P1438" t="b">
        <v>0</v>
      </c>
      <c r="Q1438" t="b">
        <v>0</v>
      </c>
      <c r="R1438" t="b">
        <v>0</v>
      </c>
      <c r="S1438" t="s">
        <v>101</v>
      </c>
      <c r="T1438" t="s">
        <v>99</v>
      </c>
      <c r="U1438">
        <v>1</v>
      </c>
    </row>
    <row r="1439" spans="1:21" x14ac:dyDescent="0.3">
      <c r="A1439" t="s">
        <v>1544</v>
      </c>
      <c r="B1439" s="1">
        <v>46137</v>
      </c>
      <c r="C1439" s="1">
        <v>46138</v>
      </c>
      <c r="D1439" s="1">
        <v>46139</v>
      </c>
      <c r="E1439" s="1">
        <v>46139</v>
      </c>
      <c r="F1439" t="s">
        <v>31</v>
      </c>
      <c r="G1439" t="s">
        <v>61</v>
      </c>
      <c r="H1439" t="s">
        <v>23</v>
      </c>
      <c r="I1439" t="s">
        <v>42</v>
      </c>
      <c r="J1439">
        <v>44</v>
      </c>
      <c r="K1439">
        <v>4195.5</v>
      </c>
      <c r="L1439">
        <v>3294000</v>
      </c>
      <c r="M1439" t="b">
        <v>0</v>
      </c>
      <c r="N1439" t="b">
        <v>0</v>
      </c>
      <c r="O1439">
        <v>16000</v>
      </c>
      <c r="P1439" t="b">
        <v>0</v>
      </c>
      <c r="Q1439" t="b">
        <v>0</v>
      </c>
      <c r="R1439" t="b">
        <v>0</v>
      </c>
      <c r="S1439" t="s">
        <v>96</v>
      </c>
      <c r="T1439" t="s">
        <v>112</v>
      </c>
    </row>
    <row r="1440" spans="1:21" x14ac:dyDescent="0.3">
      <c r="A1440" t="s">
        <v>1545</v>
      </c>
      <c r="B1440" s="1">
        <v>46067</v>
      </c>
      <c r="C1440" s="1">
        <v>46067</v>
      </c>
      <c r="D1440" s="1">
        <v>46069</v>
      </c>
      <c r="E1440" s="1">
        <v>46069</v>
      </c>
      <c r="F1440" t="s">
        <v>34</v>
      </c>
      <c r="G1440" t="s">
        <v>58</v>
      </c>
      <c r="H1440" t="s">
        <v>21</v>
      </c>
      <c r="I1440" t="s">
        <v>44</v>
      </c>
      <c r="J1440">
        <v>151.6</v>
      </c>
      <c r="K1440">
        <v>533.79999999999995</v>
      </c>
      <c r="L1440">
        <v>2037000</v>
      </c>
      <c r="M1440" t="b">
        <v>0</v>
      </c>
      <c r="N1440" t="b">
        <v>0</v>
      </c>
      <c r="O1440">
        <v>1500</v>
      </c>
      <c r="P1440" t="b">
        <v>0</v>
      </c>
      <c r="Q1440" t="b">
        <v>0</v>
      </c>
      <c r="R1440" t="b">
        <v>0</v>
      </c>
      <c r="S1440" t="s">
        <v>96</v>
      </c>
      <c r="T1440" t="s">
        <v>115</v>
      </c>
    </row>
    <row r="1441" spans="1:21" x14ac:dyDescent="0.3">
      <c r="A1441" t="s">
        <v>1546</v>
      </c>
      <c r="B1441" s="1">
        <v>46079</v>
      </c>
      <c r="C1441" s="1">
        <v>46080</v>
      </c>
      <c r="D1441" s="1">
        <v>46081</v>
      </c>
      <c r="E1441" s="1">
        <v>46084</v>
      </c>
      <c r="F1441" t="s">
        <v>31</v>
      </c>
      <c r="G1441" t="s">
        <v>55</v>
      </c>
      <c r="H1441" t="s">
        <v>24</v>
      </c>
      <c r="I1441" t="s">
        <v>43</v>
      </c>
      <c r="J1441">
        <v>31.3</v>
      </c>
      <c r="K1441">
        <v>2438.9</v>
      </c>
      <c r="L1441">
        <v>2033000</v>
      </c>
      <c r="M1441" t="b">
        <v>0</v>
      </c>
      <c r="N1441" t="b">
        <v>0</v>
      </c>
      <c r="O1441">
        <v>5000</v>
      </c>
      <c r="P1441" t="b">
        <v>0</v>
      </c>
      <c r="Q1441" t="b">
        <v>0</v>
      </c>
      <c r="R1441" t="b">
        <v>0</v>
      </c>
      <c r="S1441" t="s">
        <v>101</v>
      </c>
      <c r="T1441" t="s">
        <v>115</v>
      </c>
      <c r="U1441">
        <v>3</v>
      </c>
    </row>
    <row r="1442" spans="1:21" x14ac:dyDescent="0.3">
      <c r="A1442" t="s">
        <v>1547</v>
      </c>
      <c r="B1442" s="1">
        <v>46057</v>
      </c>
      <c r="C1442" s="1">
        <v>46058</v>
      </c>
      <c r="D1442" s="1">
        <v>46059</v>
      </c>
      <c r="E1442" s="1">
        <v>46059</v>
      </c>
      <c r="F1442" t="s">
        <v>34</v>
      </c>
      <c r="G1442" t="s">
        <v>55</v>
      </c>
      <c r="H1442" t="s">
        <v>22</v>
      </c>
      <c r="I1442" t="s">
        <v>43</v>
      </c>
      <c r="J1442">
        <v>56</v>
      </c>
      <c r="K1442">
        <v>1756.8</v>
      </c>
      <c r="L1442">
        <v>2021000</v>
      </c>
      <c r="M1442" t="b">
        <v>0</v>
      </c>
      <c r="N1442" t="b">
        <v>0</v>
      </c>
      <c r="O1442">
        <v>5000</v>
      </c>
      <c r="P1442" t="b">
        <v>0</v>
      </c>
      <c r="Q1442" t="b">
        <v>0</v>
      </c>
      <c r="R1442" t="b">
        <v>0</v>
      </c>
      <c r="S1442" t="s">
        <v>96</v>
      </c>
      <c r="T1442" t="s">
        <v>115</v>
      </c>
    </row>
    <row r="1443" spans="1:21" x14ac:dyDescent="0.3">
      <c r="A1443" t="s">
        <v>1548</v>
      </c>
      <c r="B1443" s="1">
        <v>46090</v>
      </c>
      <c r="C1443" s="1">
        <v>46090</v>
      </c>
      <c r="D1443" s="1">
        <v>46091</v>
      </c>
      <c r="E1443" s="1">
        <v>46093</v>
      </c>
      <c r="F1443" t="s">
        <v>34</v>
      </c>
      <c r="G1443" t="s">
        <v>55</v>
      </c>
      <c r="H1443" t="s">
        <v>24</v>
      </c>
      <c r="I1443" t="s">
        <v>42</v>
      </c>
      <c r="J1443">
        <v>50.2</v>
      </c>
      <c r="K1443">
        <v>10604.4</v>
      </c>
      <c r="L1443">
        <v>4527000</v>
      </c>
      <c r="M1443" t="b">
        <v>0</v>
      </c>
      <c r="N1443" t="b">
        <v>0</v>
      </c>
      <c r="O1443">
        <v>16000</v>
      </c>
      <c r="P1443" t="b">
        <v>0</v>
      </c>
      <c r="Q1443" t="b">
        <v>0</v>
      </c>
      <c r="R1443" t="b">
        <v>0</v>
      </c>
      <c r="S1443" t="s">
        <v>101</v>
      </c>
      <c r="T1443" t="s">
        <v>118</v>
      </c>
      <c r="U1443">
        <v>2</v>
      </c>
    </row>
    <row r="1444" spans="1:21" x14ac:dyDescent="0.3">
      <c r="A1444" t="s">
        <v>1549</v>
      </c>
      <c r="B1444" s="1">
        <v>46076</v>
      </c>
      <c r="C1444" s="1">
        <v>46077</v>
      </c>
      <c r="D1444" s="1">
        <v>46079</v>
      </c>
      <c r="E1444" s="1">
        <v>46079</v>
      </c>
      <c r="F1444" t="s">
        <v>34</v>
      </c>
      <c r="G1444" t="s">
        <v>57</v>
      </c>
      <c r="H1444" t="s">
        <v>24</v>
      </c>
      <c r="I1444" t="s">
        <v>42</v>
      </c>
      <c r="J1444">
        <v>152.5</v>
      </c>
      <c r="K1444">
        <v>3610.1</v>
      </c>
      <c r="L1444">
        <v>4757000</v>
      </c>
      <c r="M1444" t="b">
        <v>0</v>
      </c>
      <c r="N1444" t="b">
        <v>0</v>
      </c>
      <c r="O1444">
        <v>16000</v>
      </c>
      <c r="P1444" t="b">
        <v>0</v>
      </c>
      <c r="Q1444" t="b">
        <v>0</v>
      </c>
      <c r="R1444" t="b">
        <v>0</v>
      </c>
      <c r="S1444" t="s">
        <v>96</v>
      </c>
      <c r="T1444" t="s">
        <v>115</v>
      </c>
    </row>
    <row r="1445" spans="1:21" x14ac:dyDescent="0.3">
      <c r="A1445" t="s">
        <v>1550</v>
      </c>
      <c r="B1445" s="1">
        <v>46042</v>
      </c>
      <c r="C1445" s="1">
        <v>46043</v>
      </c>
      <c r="D1445" s="1">
        <v>46045</v>
      </c>
      <c r="E1445" s="1">
        <v>46045</v>
      </c>
      <c r="F1445" t="s">
        <v>32</v>
      </c>
      <c r="G1445" t="s">
        <v>53</v>
      </c>
      <c r="H1445" t="s">
        <v>21</v>
      </c>
      <c r="I1445" t="s">
        <v>43</v>
      </c>
      <c r="J1445">
        <v>245.1</v>
      </c>
      <c r="K1445">
        <v>4212.2</v>
      </c>
      <c r="L1445">
        <v>5762000</v>
      </c>
      <c r="M1445" t="b">
        <v>0</v>
      </c>
      <c r="N1445" t="b">
        <v>0</v>
      </c>
      <c r="O1445">
        <v>5000</v>
      </c>
      <c r="P1445" t="b">
        <v>0</v>
      </c>
      <c r="Q1445" t="b">
        <v>0</v>
      </c>
      <c r="R1445" t="b">
        <v>0</v>
      </c>
      <c r="S1445" t="s">
        <v>96</v>
      </c>
      <c r="T1445" t="s">
        <v>104</v>
      </c>
    </row>
    <row r="1446" spans="1:21" x14ac:dyDescent="0.3">
      <c r="A1446" t="s">
        <v>1551</v>
      </c>
      <c r="B1446" s="1">
        <v>46099</v>
      </c>
      <c r="C1446" s="1">
        <v>46100</v>
      </c>
      <c r="D1446" s="1">
        <v>46103</v>
      </c>
      <c r="E1446" s="1">
        <v>46105</v>
      </c>
      <c r="F1446" t="s">
        <v>32</v>
      </c>
      <c r="G1446" t="s">
        <v>54</v>
      </c>
      <c r="H1446" t="s">
        <v>24</v>
      </c>
      <c r="I1446" t="s">
        <v>43</v>
      </c>
      <c r="J1446">
        <v>507.7</v>
      </c>
      <c r="K1446">
        <v>3404</v>
      </c>
      <c r="L1446">
        <v>8586000</v>
      </c>
      <c r="M1446" t="b">
        <v>0</v>
      </c>
      <c r="N1446" t="b">
        <v>0</v>
      </c>
      <c r="O1446">
        <v>5000</v>
      </c>
      <c r="P1446" t="b">
        <v>0</v>
      </c>
      <c r="Q1446" t="b">
        <v>0</v>
      </c>
      <c r="R1446" t="b">
        <v>0</v>
      </c>
      <c r="S1446" t="s">
        <v>101</v>
      </c>
      <c r="T1446" t="s">
        <v>118</v>
      </c>
      <c r="U1446">
        <v>2</v>
      </c>
    </row>
    <row r="1447" spans="1:21" x14ac:dyDescent="0.3">
      <c r="A1447" t="s">
        <v>1552</v>
      </c>
      <c r="B1447" s="1">
        <v>46107</v>
      </c>
      <c r="C1447" s="1">
        <v>46108</v>
      </c>
      <c r="D1447" s="1">
        <v>46112</v>
      </c>
      <c r="E1447" s="1">
        <v>46112</v>
      </c>
      <c r="F1447" t="s">
        <v>31</v>
      </c>
      <c r="G1447" t="s">
        <v>56</v>
      </c>
      <c r="H1447" t="s">
        <v>23</v>
      </c>
      <c r="I1447" t="s">
        <v>44</v>
      </c>
      <c r="J1447">
        <v>993.3</v>
      </c>
      <c r="K1447">
        <v>1224.9000000000001</v>
      </c>
      <c r="L1447">
        <v>8955000</v>
      </c>
      <c r="M1447" t="b">
        <v>0</v>
      </c>
      <c r="N1447" t="b">
        <v>0</v>
      </c>
      <c r="O1447">
        <v>1500</v>
      </c>
      <c r="P1447" t="b">
        <v>0</v>
      </c>
      <c r="Q1447" t="b">
        <v>0</v>
      </c>
      <c r="R1447" t="b">
        <v>0</v>
      </c>
      <c r="S1447" t="s">
        <v>96</v>
      </c>
      <c r="T1447" t="s">
        <v>118</v>
      </c>
    </row>
    <row r="1448" spans="1:21" x14ac:dyDescent="0.3">
      <c r="A1448" t="s">
        <v>1553</v>
      </c>
      <c r="B1448" s="1">
        <v>46133</v>
      </c>
      <c r="C1448" s="1">
        <v>46133</v>
      </c>
      <c r="D1448" s="1">
        <v>46137</v>
      </c>
      <c r="E1448" s="1">
        <v>46137</v>
      </c>
      <c r="F1448" t="s">
        <v>33</v>
      </c>
      <c r="G1448" t="s">
        <v>55</v>
      </c>
      <c r="H1448" t="s">
        <v>22</v>
      </c>
      <c r="I1448" t="s">
        <v>42</v>
      </c>
      <c r="J1448">
        <v>629</v>
      </c>
      <c r="K1448">
        <v>11641.7</v>
      </c>
      <c r="L1448">
        <v>15622000</v>
      </c>
      <c r="M1448" t="b">
        <v>0</v>
      </c>
      <c r="N1448" t="b">
        <v>0</v>
      </c>
      <c r="O1448">
        <v>16000</v>
      </c>
      <c r="P1448" t="b">
        <v>0</v>
      </c>
      <c r="Q1448" t="b">
        <v>0</v>
      </c>
      <c r="R1448" t="b">
        <v>0</v>
      </c>
      <c r="S1448" t="s">
        <v>96</v>
      </c>
      <c r="T1448" t="s">
        <v>112</v>
      </c>
    </row>
    <row r="1449" spans="1:21" x14ac:dyDescent="0.3">
      <c r="A1449" t="s">
        <v>1554</v>
      </c>
      <c r="B1449" s="1">
        <v>46043</v>
      </c>
      <c r="C1449" s="1">
        <v>46044</v>
      </c>
      <c r="D1449" s="1">
        <v>46046</v>
      </c>
      <c r="E1449" s="1">
        <v>46046</v>
      </c>
      <c r="F1449" t="s">
        <v>32</v>
      </c>
      <c r="G1449" t="s">
        <v>53</v>
      </c>
      <c r="H1449" t="s">
        <v>20</v>
      </c>
      <c r="I1449" t="s">
        <v>43</v>
      </c>
      <c r="J1449">
        <v>291.10000000000002</v>
      </c>
      <c r="K1449">
        <v>2524.5500000000002</v>
      </c>
      <c r="L1449">
        <v>4515000</v>
      </c>
      <c r="M1449" t="b">
        <v>0</v>
      </c>
      <c r="N1449" t="b">
        <v>0</v>
      </c>
      <c r="O1449">
        <v>5000</v>
      </c>
      <c r="P1449" t="b">
        <v>0</v>
      </c>
      <c r="Q1449" t="b">
        <v>0</v>
      </c>
      <c r="R1449" t="b">
        <v>0</v>
      </c>
      <c r="S1449" t="s">
        <v>96</v>
      </c>
      <c r="T1449" t="s">
        <v>104</v>
      </c>
    </row>
    <row r="1450" spans="1:21" x14ac:dyDescent="0.3">
      <c r="A1450" t="s">
        <v>1555</v>
      </c>
      <c r="B1450" s="1">
        <v>46045</v>
      </c>
      <c r="C1450" s="1">
        <v>46046</v>
      </c>
      <c r="D1450" s="1">
        <v>46049</v>
      </c>
      <c r="E1450" s="1">
        <v>46050</v>
      </c>
      <c r="F1450" t="s">
        <v>33</v>
      </c>
      <c r="G1450" t="s">
        <v>57</v>
      </c>
      <c r="H1450" t="s">
        <v>24</v>
      </c>
      <c r="I1450" t="s">
        <v>44</v>
      </c>
      <c r="J1450">
        <v>506</v>
      </c>
      <c r="K1450">
        <v>1286.7</v>
      </c>
      <c r="L1450">
        <v>4935000</v>
      </c>
      <c r="M1450" t="b">
        <v>0</v>
      </c>
      <c r="N1450" t="b">
        <v>0</v>
      </c>
      <c r="O1450">
        <v>1500</v>
      </c>
      <c r="P1450" t="b">
        <v>0</v>
      </c>
      <c r="Q1450" t="b">
        <v>0</v>
      </c>
      <c r="R1450" t="b">
        <v>0</v>
      </c>
      <c r="S1450" t="s">
        <v>101</v>
      </c>
      <c r="T1450" t="s">
        <v>104</v>
      </c>
      <c r="U1450">
        <v>1</v>
      </c>
    </row>
    <row r="1451" spans="1:21" x14ac:dyDescent="0.3">
      <c r="A1451" t="s">
        <v>1556</v>
      </c>
      <c r="B1451" s="1">
        <v>46164</v>
      </c>
      <c r="C1451" s="1">
        <v>46165</v>
      </c>
      <c r="D1451" s="1">
        <v>46166</v>
      </c>
      <c r="E1451" s="1">
        <v>46166</v>
      </c>
      <c r="F1451" t="s">
        <v>32</v>
      </c>
      <c r="G1451" t="s">
        <v>57</v>
      </c>
      <c r="H1451" t="s">
        <v>21</v>
      </c>
      <c r="I1451" t="s">
        <v>43</v>
      </c>
      <c r="K1451">
        <v>3193.7</v>
      </c>
      <c r="L1451">
        <v>1486000</v>
      </c>
      <c r="M1451" t="b">
        <v>0</v>
      </c>
      <c r="N1451" t="b">
        <v>1</v>
      </c>
      <c r="O1451">
        <v>5000</v>
      </c>
      <c r="P1451" t="b">
        <v>0</v>
      </c>
      <c r="Q1451" t="b">
        <v>0</v>
      </c>
      <c r="R1451" t="b">
        <v>1</v>
      </c>
      <c r="S1451" t="s">
        <v>96</v>
      </c>
      <c r="T1451" t="s">
        <v>102</v>
      </c>
    </row>
    <row r="1452" spans="1:21" x14ac:dyDescent="0.3">
      <c r="A1452" t="s">
        <v>1557</v>
      </c>
      <c r="B1452" s="1">
        <v>46141</v>
      </c>
      <c r="C1452" s="1">
        <v>46143</v>
      </c>
      <c r="D1452" s="1">
        <v>46145</v>
      </c>
      <c r="F1452" t="s">
        <v>31</v>
      </c>
      <c r="G1452" t="s">
        <v>53</v>
      </c>
      <c r="H1452" t="s">
        <v>20</v>
      </c>
      <c r="I1452" t="s">
        <v>44</v>
      </c>
      <c r="J1452">
        <v>300</v>
      </c>
      <c r="K1452">
        <v>381.4</v>
      </c>
      <c r="L1452">
        <v>3255000</v>
      </c>
      <c r="M1452" t="b">
        <v>0</v>
      </c>
      <c r="N1452" t="b">
        <v>0</v>
      </c>
      <c r="O1452">
        <v>1500</v>
      </c>
      <c r="P1452" t="b">
        <v>0</v>
      </c>
      <c r="Q1452" t="b">
        <v>0</v>
      </c>
      <c r="R1452" t="b">
        <v>0</v>
      </c>
      <c r="S1452" t="s">
        <v>203</v>
      </c>
      <c r="T1452" t="s">
        <v>102</v>
      </c>
    </row>
    <row r="1453" spans="1:21" x14ac:dyDescent="0.3">
      <c r="A1453" t="s">
        <v>1558</v>
      </c>
      <c r="B1453" s="1">
        <v>46116</v>
      </c>
      <c r="C1453" s="1">
        <v>46116</v>
      </c>
      <c r="D1453" s="1">
        <v>46120</v>
      </c>
      <c r="E1453" s="1">
        <v>46120</v>
      </c>
      <c r="F1453" t="s">
        <v>33</v>
      </c>
      <c r="G1453" t="s">
        <v>54</v>
      </c>
      <c r="H1453" t="s">
        <v>20</v>
      </c>
      <c r="I1453" t="s">
        <v>43</v>
      </c>
      <c r="J1453">
        <v>894</v>
      </c>
      <c r="K1453">
        <v>1670.2</v>
      </c>
      <c r="L1453">
        <v>13608000</v>
      </c>
      <c r="M1453" t="b">
        <v>0</v>
      </c>
      <c r="N1453" t="b">
        <v>0</v>
      </c>
      <c r="O1453">
        <v>5000</v>
      </c>
      <c r="P1453" t="b">
        <v>0</v>
      </c>
      <c r="Q1453" t="b">
        <v>0</v>
      </c>
      <c r="R1453" t="b">
        <v>0</v>
      </c>
      <c r="S1453" t="s">
        <v>96</v>
      </c>
      <c r="T1453" t="s">
        <v>112</v>
      </c>
    </row>
    <row r="1454" spans="1:21" x14ac:dyDescent="0.3">
      <c r="A1454" t="s">
        <v>1559</v>
      </c>
      <c r="B1454" s="1">
        <v>46091</v>
      </c>
      <c r="C1454" s="1">
        <v>46092</v>
      </c>
      <c r="D1454" s="1">
        <v>46095</v>
      </c>
      <c r="E1454" s="1">
        <v>46095</v>
      </c>
      <c r="F1454" t="s">
        <v>33</v>
      </c>
      <c r="G1454" t="s">
        <v>63</v>
      </c>
      <c r="H1454" t="s">
        <v>21</v>
      </c>
      <c r="I1454" t="s">
        <v>43</v>
      </c>
      <c r="J1454">
        <v>307.89999999999998</v>
      </c>
      <c r="K1454">
        <v>784</v>
      </c>
      <c r="L1454">
        <v>4526000</v>
      </c>
      <c r="M1454" t="b">
        <v>0</v>
      </c>
      <c r="N1454" t="b">
        <v>0</v>
      </c>
      <c r="O1454">
        <v>5000</v>
      </c>
      <c r="P1454" t="b">
        <v>0</v>
      </c>
      <c r="Q1454" t="b">
        <v>0</v>
      </c>
      <c r="R1454" t="b">
        <v>0</v>
      </c>
      <c r="S1454" t="s">
        <v>96</v>
      </c>
      <c r="T1454" t="s">
        <v>118</v>
      </c>
    </row>
    <row r="1455" spans="1:21" x14ac:dyDescent="0.3">
      <c r="A1455" t="s">
        <v>1560</v>
      </c>
      <c r="B1455" s="1">
        <v>46099</v>
      </c>
      <c r="C1455" s="1">
        <v>46100</v>
      </c>
      <c r="D1455" s="1">
        <v>46103</v>
      </c>
      <c r="E1455" s="1">
        <v>46103</v>
      </c>
      <c r="F1455" t="s">
        <v>32</v>
      </c>
      <c r="G1455" t="s">
        <v>54</v>
      </c>
      <c r="H1455" t="s">
        <v>21</v>
      </c>
      <c r="I1455" t="s">
        <v>42</v>
      </c>
      <c r="J1455">
        <v>537.9</v>
      </c>
      <c r="K1455">
        <v>13413</v>
      </c>
      <c r="L1455">
        <v>13444000</v>
      </c>
      <c r="M1455" t="b">
        <v>0</v>
      </c>
      <c r="N1455" t="b">
        <v>0</v>
      </c>
      <c r="O1455">
        <v>16000</v>
      </c>
      <c r="P1455" t="b">
        <v>0</v>
      </c>
      <c r="Q1455" t="b">
        <v>0</v>
      </c>
      <c r="R1455" t="b">
        <v>0</v>
      </c>
      <c r="S1455" t="s">
        <v>96</v>
      </c>
      <c r="T1455" t="s">
        <v>118</v>
      </c>
    </row>
    <row r="1456" spans="1:21" x14ac:dyDescent="0.3">
      <c r="A1456" t="s">
        <v>1561</v>
      </c>
      <c r="B1456" s="1">
        <v>46125</v>
      </c>
      <c r="C1456" s="1">
        <v>46126</v>
      </c>
      <c r="D1456" s="1">
        <v>46129</v>
      </c>
      <c r="E1456" s="1">
        <v>46131</v>
      </c>
      <c r="F1456" t="s">
        <v>32</v>
      </c>
      <c r="G1456" t="s">
        <v>52</v>
      </c>
      <c r="H1456" t="s">
        <v>20</v>
      </c>
      <c r="I1456" t="s">
        <v>45</v>
      </c>
      <c r="J1456">
        <v>320.8</v>
      </c>
      <c r="K1456">
        <v>667.8</v>
      </c>
      <c r="L1456">
        <v>4070000</v>
      </c>
      <c r="M1456" t="b">
        <v>0</v>
      </c>
      <c r="N1456" t="b">
        <v>0</v>
      </c>
      <c r="O1456">
        <v>1000</v>
      </c>
      <c r="P1456" t="b">
        <v>0</v>
      </c>
      <c r="Q1456" t="b">
        <v>0</v>
      </c>
      <c r="R1456" t="b">
        <v>0</v>
      </c>
      <c r="S1456" t="s">
        <v>101</v>
      </c>
      <c r="T1456" t="s">
        <v>112</v>
      </c>
      <c r="U1456">
        <v>2</v>
      </c>
    </row>
    <row r="1457" spans="1:21" x14ac:dyDescent="0.3">
      <c r="A1457" t="s">
        <v>1562</v>
      </c>
      <c r="B1457" s="1">
        <v>46059</v>
      </c>
      <c r="C1457" s="1">
        <v>46060</v>
      </c>
      <c r="D1457" s="1">
        <v>46062</v>
      </c>
      <c r="E1457" s="1">
        <v>46062</v>
      </c>
      <c r="F1457" t="s">
        <v>32</v>
      </c>
      <c r="G1457" t="s">
        <v>53</v>
      </c>
      <c r="H1457" t="s">
        <v>20</v>
      </c>
      <c r="I1457" t="s">
        <v>44</v>
      </c>
      <c r="J1457">
        <v>242.1</v>
      </c>
      <c r="K1457">
        <v>159.9</v>
      </c>
      <c r="L1457">
        <v>3266000</v>
      </c>
      <c r="M1457" t="b">
        <v>0</v>
      </c>
      <c r="N1457" t="b">
        <v>0</v>
      </c>
      <c r="O1457">
        <v>1500</v>
      </c>
      <c r="P1457" t="b">
        <v>0</v>
      </c>
      <c r="Q1457" t="b">
        <v>0</v>
      </c>
      <c r="R1457" t="b">
        <v>0</v>
      </c>
      <c r="S1457" t="s">
        <v>96</v>
      </c>
      <c r="T1457" t="s">
        <v>115</v>
      </c>
    </row>
    <row r="1458" spans="1:21" x14ac:dyDescent="0.3">
      <c r="A1458" t="s">
        <v>1563</v>
      </c>
      <c r="B1458" s="1">
        <v>46067</v>
      </c>
      <c r="C1458" s="1">
        <v>46068</v>
      </c>
      <c r="D1458" s="1">
        <v>46071</v>
      </c>
      <c r="E1458" s="1">
        <v>46071</v>
      </c>
      <c r="F1458" t="s">
        <v>34</v>
      </c>
      <c r="G1458" t="s">
        <v>59</v>
      </c>
      <c r="H1458" t="s">
        <v>22</v>
      </c>
      <c r="I1458" t="s">
        <v>44</v>
      </c>
      <c r="J1458">
        <v>310.8</v>
      </c>
      <c r="K1458">
        <v>267.60000000000002</v>
      </c>
      <c r="L1458">
        <v>29080000</v>
      </c>
      <c r="M1458" t="b">
        <v>0</v>
      </c>
      <c r="N1458" t="b">
        <v>0</v>
      </c>
      <c r="O1458">
        <v>1500</v>
      </c>
      <c r="P1458" t="b">
        <v>0</v>
      </c>
      <c r="Q1458" t="b">
        <v>0</v>
      </c>
      <c r="R1458" t="b">
        <v>0</v>
      </c>
      <c r="S1458" t="s">
        <v>96</v>
      </c>
      <c r="T1458" t="s">
        <v>115</v>
      </c>
    </row>
    <row r="1459" spans="1:21" x14ac:dyDescent="0.3">
      <c r="A1459" t="s">
        <v>1564</v>
      </c>
      <c r="B1459" s="1">
        <v>46135</v>
      </c>
      <c r="C1459" s="1">
        <v>46136</v>
      </c>
      <c r="D1459" s="1">
        <v>46139</v>
      </c>
      <c r="E1459" s="1">
        <v>46139</v>
      </c>
      <c r="F1459" t="s">
        <v>33</v>
      </c>
      <c r="G1459" t="s">
        <v>59</v>
      </c>
      <c r="H1459" t="s">
        <v>20</v>
      </c>
      <c r="I1459" t="s">
        <v>43</v>
      </c>
      <c r="J1459">
        <v>466.3</v>
      </c>
      <c r="K1459">
        <v>1754.5</v>
      </c>
      <c r="L1459">
        <v>6573000</v>
      </c>
      <c r="M1459" t="b">
        <v>0</v>
      </c>
      <c r="N1459" t="b">
        <v>0</v>
      </c>
      <c r="O1459">
        <v>5000</v>
      </c>
      <c r="P1459" t="b">
        <v>0</v>
      </c>
      <c r="Q1459" t="b">
        <v>0</v>
      </c>
      <c r="R1459" t="b">
        <v>0</v>
      </c>
      <c r="S1459" t="s">
        <v>96</v>
      </c>
      <c r="T1459" t="s">
        <v>112</v>
      </c>
    </row>
    <row r="1460" spans="1:21" x14ac:dyDescent="0.3">
      <c r="A1460" t="s">
        <v>1565</v>
      </c>
      <c r="B1460" s="1">
        <v>46079</v>
      </c>
      <c r="C1460" s="1">
        <v>46080</v>
      </c>
      <c r="D1460" s="1">
        <v>46083</v>
      </c>
      <c r="E1460" s="1">
        <v>46083</v>
      </c>
      <c r="F1460" t="s">
        <v>34</v>
      </c>
      <c r="G1460" t="s">
        <v>63</v>
      </c>
      <c r="H1460" t="s">
        <v>24</v>
      </c>
      <c r="I1460" t="s">
        <v>43</v>
      </c>
      <c r="J1460">
        <v>312.8</v>
      </c>
      <c r="K1460">
        <v>4334</v>
      </c>
      <c r="L1460">
        <v>5888000</v>
      </c>
      <c r="M1460" t="b">
        <v>0</v>
      </c>
      <c r="N1460" t="b">
        <v>0</v>
      </c>
      <c r="O1460">
        <v>5000</v>
      </c>
      <c r="P1460" t="b">
        <v>0</v>
      </c>
      <c r="Q1460" t="b">
        <v>0</v>
      </c>
      <c r="R1460" t="b">
        <v>0</v>
      </c>
      <c r="S1460" t="s">
        <v>96</v>
      </c>
      <c r="T1460" t="s">
        <v>115</v>
      </c>
    </row>
    <row r="1461" spans="1:21" x14ac:dyDescent="0.3">
      <c r="A1461" t="s">
        <v>1566</v>
      </c>
      <c r="B1461" s="1">
        <v>46121</v>
      </c>
      <c r="C1461" s="1">
        <v>46121</v>
      </c>
      <c r="D1461" s="1">
        <v>46124</v>
      </c>
      <c r="E1461" s="1">
        <v>46124</v>
      </c>
      <c r="F1461" t="s">
        <v>32</v>
      </c>
      <c r="G1461" t="s">
        <v>60</v>
      </c>
      <c r="H1461" t="s">
        <v>24</v>
      </c>
      <c r="I1461" t="s">
        <v>44</v>
      </c>
      <c r="J1461">
        <v>457</v>
      </c>
      <c r="K1461">
        <v>1116.7</v>
      </c>
      <c r="L1461">
        <v>5117000</v>
      </c>
      <c r="M1461" t="b">
        <v>0</v>
      </c>
      <c r="N1461" t="b">
        <v>0</v>
      </c>
      <c r="O1461">
        <v>1500</v>
      </c>
      <c r="P1461" t="b">
        <v>0</v>
      </c>
      <c r="Q1461" t="b">
        <v>0</v>
      </c>
      <c r="R1461" t="b">
        <v>0</v>
      </c>
      <c r="S1461" t="s">
        <v>96</v>
      </c>
      <c r="T1461" t="s">
        <v>112</v>
      </c>
    </row>
    <row r="1462" spans="1:21" x14ac:dyDescent="0.3">
      <c r="A1462" t="s">
        <v>1567</v>
      </c>
      <c r="B1462" s="1">
        <v>46076</v>
      </c>
      <c r="C1462" s="1">
        <v>46077</v>
      </c>
      <c r="D1462" s="1">
        <v>46081</v>
      </c>
      <c r="E1462" s="1">
        <v>46081</v>
      </c>
      <c r="F1462" t="s">
        <v>34</v>
      </c>
      <c r="G1462" t="s">
        <v>56</v>
      </c>
      <c r="H1462" t="s">
        <v>21</v>
      </c>
      <c r="I1462" t="s">
        <v>43</v>
      </c>
      <c r="J1462">
        <v>935.5</v>
      </c>
      <c r="K1462">
        <v>3287.9</v>
      </c>
      <c r="L1462">
        <v>12886000</v>
      </c>
      <c r="M1462" t="b">
        <v>0</v>
      </c>
      <c r="N1462" t="b">
        <v>0</v>
      </c>
      <c r="O1462">
        <v>5000</v>
      </c>
      <c r="P1462" t="b">
        <v>0</v>
      </c>
      <c r="Q1462" t="b">
        <v>0</v>
      </c>
      <c r="R1462" t="b">
        <v>0</v>
      </c>
      <c r="S1462" t="s">
        <v>96</v>
      </c>
      <c r="T1462" t="s">
        <v>115</v>
      </c>
    </row>
    <row r="1463" spans="1:21" x14ac:dyDescent="0.3">
      <c r="A1463" t="s">
        <v>1568</v>
      </c>
      <c r="B1463" s="1">
        <v>46053</v>
      </c>
      <c r="C1463" s="1">
        <v>46055</v>
      </c>
      <c r="D1463" s="1">
        <v>46058</v>
      </c>
      <c r="E1463" s="1">
        <v>46058</v>
      </c>
      <c r="F1463" t="s">
        <v>31</v>
      </c>
      <c r="G1463" t="s">
        <v>63</v>
      </c>
      <c r="H1463" t="s">
        <v>22</v>
      </c>
      <c r="I1463" t="s">
        <v>44</v>
      </c>
      <c r="J1463">
        <v>288.89999999999998</v>
      </c>
      <c r="K1463">
        <v>364.7</v>
      </c>
      <c r="L1463">
        <v>3092000</v>
      </c>
      <c r="M1463" t="b">
        <v>0</v>
      </c>
      <c r="N1463" t="b">
        <v>0</v>
      </c>
      <c r="O1463">
        <v>1500</v>
      </c>
      <c r="P1463" t="b">
        <v>0</v>
      </c>
      <c r="Q1463" t="b">
        <v>0</v>
      </c>
      <c r="R1463" t="b">
        <v>0</v>
      </c>
      <c r="S1463" t="s">
        <v>96</v>
      </c>
      <c r="T1463" t="s">
        <v>115</v>
      </c>
    </row>
    <row r="1464" spans="1:21" x14ac:dyDescent="0.3">
      <c r="A1464" t="s">
        <v>1569</v>
      </c>
      <c r="B1464" s="1">
        <v>46143</v>
      </c>
      <c r="C1464" s="1">
        <v>46143</v>
      </c>
      <c r="D1464" s="1">
        <v>46147</v>
      </c>
      <c r="E1464" s="1">
        <v>46148</v>
      </c>
      <c r="F1464" t="s">
        <v>33</v>
      </c>
      <c r="G1464" t="s">
        <v>55</v>
      </c>
      <c r="H1464" t="s">
        <v>22</v>
      </c>
      <c r="I1464" t="s">
        <v>44</v>
      </c>
      <c r="J1464">
        <v>601.5</v>
      </c>
      <c r="K1464">
        <v>817.9</v>
      </c>
      <c r="L1464">
        <v>6722000</v>
      </c>
      <c r="M1464" t="b">
        <v>0</v>
      </c>
      <c r="N1464" t="b">
        <v>0</v>
      </c>
      <c r="O1464">
        <v>1500</v>
      </c>
      <c r="P1464" t="b">
        <v>0</v>
      </c>
      <c r="Q1464" t="b">
        <v>0</v>
      </c>
      <c r="R1464" t="b">
        <v>0</v>
      </c>
      <c r="S1464" t="s">
        <v>101</v>
      </c>
      <c r="T1464" t="s">
        <v>102</v>
      </c>
      <c r="U1464">
        <v>1</v>
      </c>
    </row>
    <row r="1465" spans="1:21" x14ac:dyDescent="0.3">
      <c r="A1465" t="s">
        <v>1570</v>
      </c>
      <c r="B1465" s="1">
        <v>46151</v>
      </c>
      <c r="C1465" s="1">
        <v>46152</v>
      </c>
      <c r="D1465" s="1">
        <v>46156</v>
      </c>
      <c r="E1465" s="1">
        <v>46155</v>
      </c>
      <c r="F1465" t="s">
        <v>31</v>
      </c>
      <c r="G1465" t="s">
        <v>60</v>
      </c>
      <c r="H1465" t="s">
        <v>23</v>
      </c>
      <c r="I1465" t="s">
        <v>42</v>
      </c>
      <c r="J1465">
        <v>557.6</v>
      </c>
      <c r="K1465">
        <v>2632.3</v>
      </c>
      <c r="L1465">
        <v>12091000</v>
      </c>
      <c r="M1465" t="b">
        <v>0</v>
      </c>
      <c r="N1465" t="b">
        <v>0</v>
      </c>
      <c r="O1465">
        <v>16000</v>
      </c>
      <c r="P1465" t="b">
        <v>0</v>
      </c>
      <c r="Q1465" t="b">
        <v>0</v>
      </c>
      <c r="R1465" t="b">
        <v>0</v>
      </c>
      <c r="S1465" t="s">
        <v>96</v>
      </c>
      <c r="T1465" t="s">
        <v>102</v>
      </c>
    </row>
    <row r="1466" spans="1:21" x14ac:dyDescent="0.3">
      <c r="A1466" t="s">
        <v>1571</v>
      </c>
      <c r="B1466" s="1">
        <v>46037</v>
      </c>
      <c r="C1466" s="1">
        <v>46037</v>
      </c>
      <c r="D1466" s="1">
        <v>46040</v>
      </c>
      <c r="E1466" s="1">
        <v>46041</v>
      </c>
      <c r="F1466" t="s">
        <v>31</v>
      </c>
      <c r="G1466" t="s">
        <v>54</v>
      </c>
      <c r="H1466" t="s">
        <v>23</v>
      </c>
      <c r="I1466" t="s">
        <v>44</v>
      </c>
      <c r="J1466">
        <v>451.7</v>
      </c>
      <c r="K1466">
        <v>866.3</v>
      </c>
      <c r="L1466">
        <v>5318000</v>
      </c>
      <c r="M1466" t="b">
        <v>0</v>
      </c>
      <c r="N1466" t="b">
        <v>0</v>
      </c>
      <c r="O1466">
        <v>1500</v>
      </c>
      <c r="P1466" t="b">
        <v>0</v>
      </c>
      <c r="Q1466" t="b">
        <v>0</v>
      </c>
      <c r="R1466" t="b">
        <v>0</v>
      </c>
      <c r="S1466" t="s">
        <v>101</v>
      </c>
      <c r="T1466" t="s">
        <v>104</v>
      </c>
      <c r="U1466">
        <v>1</v>
      </c>
    </row>
    <row r="1467" spans="1:21" x14ac:dyDescent="0.3">
      <c r="A1467" t="s">
        <v>1572</v>
      </c>
      <c r="B1467" s="1">
        <v>46096</v>
      </c>
      <c r="C1467" s="1">
        <v>46096</v>
      </c>
      <c r="D1467" s="1">
        <v>46099</v>
      </c>
      <c r="E1467" s="1">
        <v>46099</v>
      </c>
      <c r="F1467" t="s">
        <v>32</v>
      </c>
      <c r="G1467" t="s">
        <v>60</v>
      </c>
      <c r="H1467" t="s">
        <v>23</v>
      </c>
      <c r="I1467" t="s">
        <v>42</v>
      </c>
      <c r="J1467">
        <v>483.3</v>
      </c>
      <c r="K1467">
        <v>3816.1</v>
      </c>
      <c r="L1467">
        <v>11549000</v>
      </c>
      <c r="M1467" t="b">
        <v>0</v>
      </c>
      <c r="N1467" t="b">
        <v>0</v>
      </c>
      <c r="O1467">
        <v>16000</v>
      </c>
      <c r="P1467" t="b">
        <v>0</v>
      </c>
      <c r="Q1467" t="b">
        <v>0</v>
      </c>
      <c r="R1467" t="b">
        <v>0</v>
      </c>
      <c r="S1467" t="s">
        <v>96</v>
      </c>
      <c r="T1467" t="s">
        <v>118</v>
      </c>
    </row>
    <row r="1468" spans="1:21" x14ac:dyDescent="0.3">
      <c r="A1468" t="s">
        <v>1573</v>
      </c>
      <c r="B1468" s="1">
        <v>46195</v>
      </c>
      <c r="C1468" s="1">
        <v>46196</v>
      </c>
      <c r="D1468" s="1">
        <v>46199</v>
      </c>
      <c r="E1468" s="1">
        <v>46199</v>
      </c>
      <c r="F1468" t="s">
        <v>31</v>
      </c>
      <c r="G1468" t="s">
        <v>60</v>
      </c>
      <c r="H1468" t="s">
        <v>20</v>
      </c>
      <c r="I1468" t="s">
        <v>43</v>
      </c>
      <c r="J1468">
        <v>566.70000000000005</v>
      </c>
      <c r="K1468">
        <v>1786.2</v>
      </c>
      <c r="L1468">
        <v>8362000</v>
      </c>
      <c r="M1468" t="b">
        <v>0</v>
      </c>
      <c r="N1468" t="b">
        <v>0</v>
      </c>
      <c r="O1468">
        <v>5000</v>
      </c>
      <c r="P1468" t="b">
        <v>0</v>
      </c>
      <c r="Q1468" t="b">
        <v>0</v>
      </c>
      <c r="R1468" t="b">
        <v>0</v>
      </c>
      <c r="S1468" t="s">
        <v>96</v>
      </c>
      <c r="T1468" t="s">
        <v>99</v>
      </c>
    </row>
    <row r="1469" spans="1:21" x14ac:dyDescent="0.3">
      <c r="A1469" t="s">
        <v>1574</v>
      </c>
      <c r="B1469" s="1">
        <v>46198</v>
      </c>
      <c r="C1469" s="1">
        <v>46199</v>
      </c>
      <c r="D1469" s="1">
        <v>46203</v>
      </c>
      <c r="E1469" s="1">
        <v>46203</v>
      </c>
      <c r="F1469" t="s">
        <v>33</v>
      </c>
      <c r="G1469" t="s">
        <v>57</v>
      </c>
      <c r="H1469" t="s">
        <v>20</v>
      </c>
      <c r="I1469" t="s">
        <v>42</v>
      </c>
      <c r="J1469">
        <v>482.7</v>
      </c>
      <c r="K1469">
        <v>12371.9</v>
      </c>
      <c r="L1469">
        <v>12553000</v>
      </c>
      <c r="M1469" t="b">
        <v>0</v>
      </c>
      <c r="N1469" t="b">
        <v>0</v>
      </c>
      <c r="O1469">
        <v>16000</v>
      </c>
      <c r="P1469" t="b">
        <v>0</v>
      </c>
      <c r="Q1469" t="b">
        <v>0</v>
      </c>
      <c r="R1469" t="b">
        <v>0</v>
      </c>
      <c r="S1469" t="s">
        <v>96</v>
      </c>
      <c r="T1469" t="s">
        <v>99</v>
      </c>
    </row>
    <row r="1470" spans="1:21" x14ac:dyDescent="0.3">
      <c r="A1470" t="s">
        <v>1575</v>
      </c>
      <c r="B1470" s="1">
        <v>46116</v>
      </c>
      <c r="C1470" s="1">
        <v>46118</v>
      </c>
      <c r="D1470" s="1">
        <v>46121</v>
      </c>
      <c r="E1470" s="1">
        <v>46121</v>
      </c>
      <c r="F1470" t="s">
        <v>31</v>
      </c>
      <c r="G1470" t="s">
        <v>53</v>
      </c>
      <c r="H1470" t="s">
        <v>21</v>
      </c>
      <c r="I1470" t="s">
        <v>44</v>
      </c>
      <c r="J1470">
        <v>338.6</v>
      </c>
      <c r="K1470">
        <v>303.8</v>
      </c>
      <c r="L1470">
        <v>3800000</v>
      </c>
      <c r="M1470" t="b">
        <v>0</v>
      </c>
      <c r="N1470" t="b">
        <v>0</v>
      </c>
      <c r="O1470">
        <v>1500</v>
      </c>
      <c r="P1470" t="b">
        <v>0</v>
      </c>
      <c r="Q1470" t="b">
        <v>0</v>
      </c>
      <c r="R1470" t="b">
        <v>0</v>
      </c>
      <c r="S1470" t="s">
        <v>96</v>
      </c>
      <c r="T1470" t="s">
        <v>112</v>
      </c>
    </row>
    <row r="1471" spans="1:21" x14ac:dyDescent="0.3">
      <c r="A1471" t="s">
        <v>1576</v>
      </c>
      <c r="B1471" s="1">
        <v>46177</v>
      </c>
      <c r="C1471" s="1">
        <v>46178</v>
      </c>
      <c r="D1471" s="1">
        <v>46180</v>
      </c>
      <c r="E1471" s="1">
        <v>46180</v>
      </c>
      <c r="F1471" t="s">
        <v>34</v>
      </c>
      <c r="G1471" t="s">
        <v>61</v>
      </c>
      <c r="H1471" t="s">
        <v>23</v>
      </c>
      <c r="I1471" t="s">
        <v>44</v>
      </c>
      <c r="J1471">
        <v>151</v>
      </c>
      <c r="K1471">
        <v>953</v>
      </c>
      <c r="L1471">
        <v>2183000</v>
      </c>
      <c r="M1471" t="b">
        <v>0</v>
      </c>
      <c r="N1471" t="b">
        <v>0</v>
      </c>
      <c r="O1471">
        <v>1500</v>
      </c>
      <c r="P1471" t="b">
        <v>0</v>
      </c>
      <c r="Q1471" t="b">
        <v>0</v>
      </c>
      <c r="R1471" t="b">
        <v>0</v>
      </c>
      <c r="S1471" t="s">
        <v>96</v>
      </c>
      <c r="T1471" t="s">
        <v>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B3270-30FD-45CB-9D52-8B9637A26BCC}">
  <dimension ref="A1:Y170"/>
  <sheetViews>
    <sheetView workbookViewId="0">
      <selection sqref="A1:Y170"/>
    </sheetView>
  </sheetViews>
  <sheetFormatPr defaultRowHeight="14.4" x14ac:dyDescent="0.3"/>
  <cols>
    <col min="1" max="1" width="13.77734375" customWidth="1"/>
    <col min="2" max="2" width="12.5546875" customWidth="1"/>
    <col min="3" max="3" width="11.44140625" customWidth="1"/>
    <col min="4" max="4" width="22.44140625" customWidth="1"/>
    <col min="5" max="5" width="20.88671875" customWidth="1"/>
    <col min="6" max="6" width="12.44140625" customWidth="1"/>
    <col min="7" max="7" width="16.6640625" customWidth="1"/>
    <col min="9" max="9" width="14.109375" customWidth="1"/>
    <col min="10" max="10" width="13.88671875" customWidth="1"/>
    <col min="11" max="11" width="12.21875" customWidth="1"/>
    <col min="12" max="12" width="14.88671875" customWidth="1"/>
    <col min="13" max="13" width="11.88671875" customWidth="1"/>
    <col min="14" max="14" width="15.109375" customWidth="1"/>
    <col min="15" max="15" width="20.5546875" customWidth="1"/>
    <col min="16" max="16" width="15.21875" customWidth="1"/>
    <col min="17" max="17" width="16.6640625" customWidth="1"/>
    <col min="18" max="18" width="19" customWidth="1"/>
    <col min="19" max="19" width="15.88671875" customWidth="1"/>
    <col min="20" max="20" width="23.21875" customWidth="1"/>
    <col min="21" max="21" width="19.5546875" customWidth="1"/>
    <col min="22" max="22" width="23.33203125" customWidth="1"/>
    <col min="23" max="23" width="19.77734375" customWidth="1"/>
    <col min="24" max="24" width="17.77734375" customWidth="1"/>
    <col min="25" max="25" width="12.5546875" customWidth="1"/>
  </cols>
  <sheetData>
    <row r="1" spans="1:25" x14ac:dyDescent="0.3">
      <c r="A1" t="s">
        <v>80</v>
      </c>
      <c r="B1" t="s">
        <v>81</v>
      </c>
      <c r="C1" t="s">
        <v>82</v>
      </c>
      <c r="D1" t="s">
        <v>83</v>
      </c>
      <c r="E1" t="s">
        <v>84</v>
      </c>
      <c r="F1" t="s">
        <v>25</v>
      </c>
      <c r="G1" t="s">
        <v>85</v>
      </c>
      <c r="H1" t="s">
        <v>14</v>
      </c>
      <c r="I1" t="s">
        <v>86</v>
      </c>
      <c r="J1" t="s">
        <v>87</v>
      </c>
      <c r="K1" t="s">
        <v>88</v>
      </c>
      <c r="L1" t="s">
        <v>89</v>
      </c>
      <c r="M1" t="s">
        <v>76</v>
      </c>
      <c r="N1" t="s">
        <v>77</v>
      </c>
      <c r="O1" t="s">
        <v>90</v>
      </c>
      <c r="P1" t="s">
        <v>78</v>
      </c>
      <c r="Q1" t="s">
        <v>79</v>
      </c>
      <c r="R1" t="s">
        <v>91</v>
      </c>
      <c r="S1" t="s">
        <v>92</v>
      </c>
      <c r="T1" t="s">
        <v>1594</v>
      </c>
      <c r="U1" t="s">
        <v>1597</v>
      </c>
      <c r="V1" t="s">
        <v>1607</v>
      </c>
      <c r="W1" t="s">
        <v>1605</v>
      </c>
      <c r="X1" t="s">
        <v>93</v>
      </c>
      <c r="Y1" t="s">
        <v>94</v>
      </c>
    </row>
    <row r="2" spans="1:25" x14ac:dyDescent="0.3">
      <c r="A2" t="s">
        <v>1575</v>
      </c>
      <c r="B2" s="6">
        <v>46116</v>
      </c>
      <c r="C2" s="6">
        <v>46118</v>
      </c>
      <c r="D2" s="6">
        <v>46121</v>
      </c>
      <c r="E2" s="6">
        <v>46121</v>
      </c>
      <c r="F2" t="s">
        <v>31</v>
      </c>
      <c r="G2" t="s">
        <v>53</v>
      </c>
      <c r="H2" t="s">
        <v>21</v>
      </c>
      <c r="I2" t="s">
        <v>44</v>
      </c>
      <c r="J2">
        <v>338.6</v>
      </c>
      <c r="K2">
        <v>303.8</v>
      </c>
      <c r="L2">
        <v>3800000</v>
      </c>
      <c r="M2" t="b">
        <v>0</v>
      </c>
      <c r="N2" t="b">
        <v>0</v>
      </c>
      <c r="O2">
        <v>1500</v>
      </c>
      <c r="P2" t="b">
        <v>0</v>
      </c>
      <c r="Q2" t="b">
        <v>0</v>
      </c>
      <c r="R2" t="b">
        <v>0</v>
      </c>
      <c r="S2" t="s">
        <v>96</v>
      </c>
      <c r="T2">
        <v>20.25333333333333</v>
      </c>
      <c r="U2">
        <v>0</v>
      </c>
      <c r="V2">
        <v>0</v>
      </c>
      <c r="W2">
        <v>3</v>
      </c>
      <c r="X2" s="6">
        <v>46113</v>
      </c>
    </row>
    <row r="3" spans="1:25" x14ac:dyDescent="0.3">
      <c r="A3" t="s">
        <v>1566</v>
      </c>
      <c r="B3" s="6">
        <v>46121</v>
      </c>
      <c r="C3" s="6">
        <v>46121</v>
      </c>
      <c r="D3" s="6">
        <v>46124</v>
      </c>
      <c r="E3" s="6">
        <v>46124</v>
      </c>
      <c r="F3" t="s">
        <v>32</v>
      </c>
      <c r="G3" t="s">
        <v>60</v>
      </c>
      <c r="H3" t="s">
        <v>24</v>
      </c>
      <c r="I3" t="s">
        <v>44</v>
      </c>
      <c r="J3">
        <v>457</v>
      </c>
      <c r="K3">
        <v>1116.7</v>
      </c>
      <c r="L3">
        <v>5117000</v>
      </c>
      <c r="M3" t="b">
        <v>0</v>
      </c>
      <c r="N3" t="b">
        <v>0</v>
      </c>
      <c r="O3">
        <v>1500</v>
      </c>
      <c r="P3" t="b">
        <v>0</v>
      </c>
      <c r="Q3" t="b">
        <v>0</v>
      </c>
      <c r="R3" t="b">
        <v>0</v>
      </c>
      <c r="S3" t="s">
        <v>96</v>
      </c>
      <c r="T3">
        <v>74.446666666666673</v>
      </c>
      <c r="U3">
        <v>0</v>
      </c>
      <c r="V3">
        <v>0</v>
      </c>
      <c r="W3">
        <v>3</v>
      </c>
      <c r="X3" s="6">
        <v>46113</v>
      </c>
    </row>
    <row r="4" spans="1:25" x14ac:dyDescent="0.3">
      <c r="A4" t="s">
        <v>1564</v>
      </c>
      <c r="B4" s="6">
        <v>46135</v>
      </c>
      <c r="C4" s="6">
        <v>46136</v>
      </c>
      <c r="D4" s="6">
        <v>46139</v>
      </c>
      <c r="E4" s="6">
        <v>46139</v>
      </c>
      <c r="F4" t="s">
        <v>33</v>
      </c>
      <c r="G4" t="s">
        <v>59</v>
      </c>
      <c r="H4" t="s">
        <v>20</v>
      </c>
      <c r="I4" t="s">
        <v>43</v>
      </c>
      <c r="J4">
        <v>466.3</v>
      </c>
      <c r="K4">
        <v>1754.5</v>
      </c>
      <c r="L4">
        <v>6573000</v>
      </c>
      <c r="M4" t="b">
        <v>0</v>
      </c>
      <c r="N4" t="b">
        <v>0</v>
      </c>
      <c r="O4">
        <v>5000</v>
      </c>
      <c r="P4" t="b">
        <v>0</v>
      </c>
      <c r="Q4" t="b">
        <v>0</v>
      </c>
      <c r="R4" t="b">
        <v>0</v>
      </c>
      <c r="S4" t="s">
        <v>96</v>
      </c>
      <c r="T4">
        <v>35.090000000000003</v>
      </c>
      <c r="U4">
        <v>0</v>
      </c>
      <c r="V4">
        <v>0</v>
      </c>
      <c r="W4">
        <v>3</v>
      </c>
      <c r="X4" s="6">
        <v>46113</v>
      </c>
    </row>
    <row r="5" spans="1:25" x14ac:dyDescent="0.3">
      <c r="A5" t="s">
        <v>1558</v>
      </c>
      <c r="B5" s="6">
        <v>46116</v>
      </c>
      <c r="C5" s="6">
        <v>46116</v>
      </c>
      <c r="D5" s="6">
        <v>46120</v>
      </c>
      <c r="E5" s="6">
        <v>46120</v>
      </c>
      <c r="F5" t="s">
        <v>33</v>
      </c>
      <c r="G5" t="s">
        <v>54</v>
      </c>
      <c r="H5" t="s">
        <v>20</v>
      </c>
      <c r="I5" t="s">
        <v>43</v>
      </c>
      <c r="J5">
        <v>894</v>
      </c>
      <c r="K5">
        <v>1670.2</v>
      </c>
      <c r="L5">
        <v>13608000</v>
      </c>
      <c r="M5" t="b">
        <v>0</v>
      </c>
      <c r="N5" t="b">
        <v>0</v>
      </c>
      <c r="O5">
        <v>5000</v>
      </c>
      <c r="P5" t="b">
        <v>0</v>
      </c>
      <c r="Q5" t="b">
        <v>0</v>
      </c>
      <c r="R5" t="b">
        <v>0</v>
      </c>
      <c r="S5" t="s">
        <v>96</v>
      </c>
      <c r="T5">
        <v>33.404000000000003</v>
      </c>
      <c r="U5">
        <v>0</v>
      </c>
      <c r="V5">
        <v>0</v>
      </c>
      <c r="W5">
        <v>4</v>
      </c>
      <c r="X5" s="6">
        <v>46113</v>
      </c>
    </row>
    <row r="6" spans="1:25" x14ac:dyDescent="0.3">
      <c r="A6" t="s">
        <v>1553</v>
      </c>
      <c r="B6" s="6">
        <v>46133</v>
      </c>
      <c r="C6" s="6">
        <v>46133</v>
      </c>
      <c r="D6" s="6">
        <v>46137</v>
      </c>
      <c r="E6" s="6">
        <v>46137</v>
      </c>
      <c r="F6" t="s">
        <v>33</v>
      </c>
      <c r="G6" t="s">
        <v>55</v>
      </c>
      <c r="H6" t="s">
        <v>22</v>
      </c>
      <c r="I6" t="s">
        <v>42</v>
      </c>
      <c r="J6">
        <v>629</v>
      </c>
      <c r="K6">
        <v>11641.7</v>
      </c>
      <c r="L6">
        <v>15622000</v>
      </c>
      <c r="M6" t="b">
        <v>0</v>
      </c>
      <c r="N6" t="b">
        <v>0</v>
      </c>
      <c r="O6">
        <v>16000</v>
      </c>
      <c r="P6" t="b">
        <v>0</v>
      </c>
      <c r="Q6" t="b">
        <v>0</v>
      </c>
      <c r="R6" t="b">
        <v>0</v>
      </c>
      <c r="S6" t="s">
        <v>96</v>
      </c>
      <c r="T6">
        <v>72.760625000000005</v>
      </c>
      <c r="U6">
        <v>0</v>
      </c>
      <c r="V6">
        <v>0</v>
      </c>
      <c r="W6">
        <v>4</v>
      </c>
      <c r="X6" s="6">
        <v>46113</v>
      </c>
    </row>
    <row r="7" spans="1:25" x14ac:dyDescent="0.3">
      <c r="A7" t="s">
        <v>1544</v>
      </c>
      <c r="B7" s="6">
        <v>46137</v>
      </c>
      <c r="C7" s="6">
        <v>46138</v>
      </c>
      <c r="D7" s="6">
        <v>46139</v>
      </c>
      <c r="E7" s="6">
        <v>46139</v>
      </c>
      <c r="F7" t="s">
        <v>31</v>
      </c>
      <c r="G7" t="s">
        <v>61</v>
      </c>
      <c r="H7" t="s">
        <v>23</v>
      </c>
      <c r="I7" t="s">
        <v>42</v>
      </c>
      <c r="J7">
        <v>44</v>
      </c>
      <c r="K7">
        <v>4195.5</v>
      </c>
      <c r="L7">
        <v>3294000</v>
      </c>
      <c r="M7" t="b">
        <v>0</v>
      </c>
      <c r="N7" t="b">
        <v>0</v>
      </c>
      <c r="O7">
        <v>16000</v>
      </c>
      <c r="P7" t="b">
        <v>0</v>
      </c>
      <c r="Q7" t="b">
        <v>0</v>
      </c>
      <c r="R7" t="b">
        <v>0</v>
      </c>
      <c r="S7" t="s">
        <v>96</v>
      </c>
      <c r="T7">
        <v>26.221875000000001</v>
      </c>
      <c r="U7">
        <v>0</v>
      </c>
      <c r="V7">
        <v>0</v>
      </c>
      <c r="W7">
        <v>1</v>
      </c>
      <c r="X7" s="6">
        <v>46113</v>
      </c>
    </row>
    <row r="8" spans="1:25" x14ac:dyDescent="0.3">
      <c r="A8" t="s">
        <v>1538</v>
      </c>
      <c r="B8" s="6">
        <v>46137</v>
      </c>
      <c r="C8" s="6">
        <v>46138</v>
      </c>
      <c r="D8" s="6">
        <v>46140</v>
      </c>
      <c r="E8" s="6">
        <v>46140</v>
      </c>
      <c r="F8" t="s">
        <v>34</v>
      </c>
      <c r="G8" t="s">
        <v>58</v>
      </c>
      <c r="H8" t="s">
        <v>23</v>
      </c>
      <c r="I8" t="s">
        <v>42</v>
      </c>
      <c r="J8">
        <v>144.80000000000001</v>
      </c>
      <c r="K8">
        <v>13356.3</v>
      </c>
      <c r="L8">
        <v>7128000</v>
      </c>
      <c r="M8" t="b">
        <v>0</v>
      </c>
      <c r="N8" t="b">
        <v>0</v>
      </c>
      <c r="O8">
        <v>16000</v>
      </c>
      <c r="P8" t="b">
        <v>0</v>
      </c>
      <c r="Q8" t="b">
        <v>0</v>
      </c>
      <c r="R8" t="b">
        <v>0</v>
      </c>
      <c r="S8" t="s">
        <v>96</v>
      </c>
      <c r="T8">
        <v>83.476874999999993</v>
      </c>
      <c r="U8">
        <v>0</v>
      </c>
      <c r="V8">
        <v>0</v>
      </c>
      <c r="W8">
        <v>2</v>
      </c>
      <c r="X8" s="6">
        <v>46113</v>
      </c>
    </row>
    <row r="9" spans="1:25" x14ac:dyDescent="0.3">
      <c r="A9" t="s">
        <v>1530</v>
      </c>
      <c r="B9" s="6">
        <v>46113</v>
      </c>
      <c r="C9" s="6">
        <v>46114</v>
      </c>
      <c r="D9" s="6">
        <v>46118</v>
      </c>
      <c r="E9" s="6">
        <v>46118</v>
      </c>
      <c r="F9" t="s">
        <v>34</v>
      </c>
      <c r="G9" t="s">
        <v>56</v>
      </c>
      <c r="H9" t="s">
        <v>21</v>
      </c>
      <c r="I9" t="s">
        <v>44</v>
      </c>
      <c r="J9">
        <v>945.7</v>
      </c>
      <c r="K9">
        <v>654.4</v>
      </c>
      <c r="L9">
        <v>9681000</v>
      </c>
      <c r="M9" t="b">
        <v>0</v>
      </c>
      <c r="N9" t="b">
        <v>0</v>
      </c>
      <c r="O9">
        <v>1500</v>
      </c>
      <c r="P9" t="b">
        <v>0</v>
      </c>
      <c r="Q9" t="b">
        <v>0</v>
      </c>
      <c r="R9" t="b">
        <v>0</v>
      </c>
      <c r="S9" t="s">
        <v>96</v>
      </c>
      <c r="T9">
        <v>43.626666666666672</v>
      </c>
      <c r="U9">
        <v>0</v>
      </c>
      <c r="V9">
        <v>0</v>
      </c>
      <c r="W9">
        <v>4</v>
      </c>
      <c r="X9" s="6">
        <v>46113</v>
      </c>
    </row>
    <row r="10" spans="1:25" x14ac:dyDescent="0.3">
      <c r="A10" t="s">
        <v>1522</v>
      </c>
      <c r="B10" s="6">
        <v>46128</v>
      </c>
      <c r="C10" s="6">
        <v>46129</v>
      </c>
      <c r="D10" s="6">
        <v>46133</v>
      </c>
      <c r="E10" s="6">
        <v>46133</v>
      </c>
      <c r="F10" t="s">
        <v>31</v>
      </c>
      <c r="G10" t="s">
        <v>56</v>
      </c>
      <c r="H10" t="s">
        <v>23</v>
      </c>
      <c r="I10" t="s">
        <v>42</v>
      </c>
      <c r="J10">
        <v>983.4</v>
      </c>
      <c r="K10">
        <v>7806.2</v>
      </c>
      <c r="L10">
        <v>22470000</v>
      </c>
      <c r="M10" t="b">
        <v>0</v>
      </c>
      <c r="N10" t="b">
        <v>0</v>
      </c>
      <c r="O10">
        <v>16000</v>
      </c>
      <c r="P10" t="b">
        <v>0</v>
      </c>
      <c r="Q10" t="b">
        <v>0</v>
      </c>
      <c r="R10" t="b">
        <v>0</v>
      </c>
      <c r="S10" t="s">
        <v>96</v>
      </c>
      <c r="T10">
        <v>48.78875</v>
      </c>
      <c r="U10">
        <v>0</v>
      </c>
      <c r="V10">
        <v>0</v>
      </c>
      <c r="W10">
        <v>4</v>
      </c>
      <c r="X10" s="6">
        <v>46113</v>
      </c>
    </row>
    <row r="11" spans="1:25" x14ac:dyDescent="0.3">
      <c r="A11" t="s">
        <v>111</v>
      </c>
      <c r="B11" s="6">
        <v>46129</v>
      </c>
      <c r="C11" s="6">
        <v>46130</v>
      </c>
      <c r="D11" s="6">
        <v>46132</v>
      </c>
      <c r="E11" s="6">
        <v>46132</v>
      </c>
      <c r="F11" t="s">
        <v>32</v>
      </c>
      <c r="G11" t="s">
        <v>59</v>
      </c>
      <c r="H11" t="s">
        <v>24</v>
      </c>
      <c r="I11" t="s">
        <v>44</v>
      </c>
      <c r="J11">
        <v>186.8</v>
      </c>
      <c r="K11">
        <v>711.4</v>
      </c>
      <c r="L11">
        <v>2404000</v>
      </c>
      <c r="M11" t="b">
        <v>0</v>
      </c>
      <c r="N11" t="b">
        <v>0</v>
      </c>
      <c r="O11">
        <v>1500</v>
      </c>
      <c r="P11" t="b">
        <v>0</v>
      </c>
      <c r="Q11" t="b">
        <v>0</v>
      </c>
      <c r="R11" t="b">
        <v>0</v>
      </c>
      <c r="S11" t="s">
        <v>96</v>
      </c>
      <c r="T11">
        <v>47.426666666666669</v>
      </c>
      <c r="U11">
        <v>0</v>
      </c>
      <c r="V11">
        <v>0</v>
      </c>
      <c r="W11">
        <v>2</v>
      </c>
      <c r="X11" s="6">
        <v>46113</v>
      </c>
    </row>
    <row r="12" spans="1:25" x14ac:dyDescent="0.3">
      <c r="A12" t="s">
        <v>1510</v>
      </c>
      <c r="B12" s="6">
        <v>46124</v>
      </c>
      <c r="C12" s="6">
        <v>46125</v>
      </c>
      <c r="D12" s="6">
        <v>46128</v>
      </c>
      <c r="E12" s="6">
        <v>46128</v>
      </c>
      <c r="F12" t="s">
        <v>34</v>
      </c>
      <c r="G12" t="s">
        <v>53</v>
      </c>
      <c r="H12" t="s">
        <v>20</v>
      </c>
      <c r="I12" t="s">
        <v>42</v>
      </c>
      <c r="J12">
        <v>300.89999999999998</v>
      </c>
      <c r="K12">
        <v>13925.9</v>
      </c>
      <c r="L12">
        <v>9717000</v>
      </c>
      <c r="M12" t="b">
        <v>0</v>
      </c>
      <c r="N12" t="b">
        <v>0</v>
      </c>
      <c r="O12">
        <v>16000</v>
      </c>
      <c r="P12" t="b">
        <v>0</v>
      </c>
      <c r="Q12" t="b">
        <v>0</v>
      </c>
      <c r="R12" t="b">
        <v>0</v>
      </c>
      <c r="S12" t="s">
        <v>96</v>
      </c>
      <c r="T12">
        <v>87.036875000000009</v>
      </c>
      <c r="U12">
        <v>0</v>
      </c>
      <c r="V12">
        <v>0</v>
      </c>
      <c r="W12">
        <v>3</v>
      </c>
      <c r="X12" s="6">
        <v>46113</v>
      </c>
    </row>
    <row r="13" spans="1:25" x14ac:dyDescent="0.3">
      <c r="A13" t="s">
        <v>1502</v>
      </c>
      <c r="B13" s="6">
        <v>46142</v>
      </c>
      <c r="C13" s="6">
        <v>46142</v>
      </c>
      <c r="D13" s="6">
        <v>46146</v>
      </c>
      <c r="E13" s="6">
        <v>46146</v>
      </c>
      <c r="F13" t="s">
        <v>33</v>
      </c>
      <c r="G13" t="s">
        <v>56</v>
      </c>
      <c r="H13" t="s">
        <v>22</v>
      </c>
      <c r="I13" t="s">
        <v>42</v>
      </c>
      <c r="J13">
        <v>1573.9</v>
      </c>
      <c r="K13">
        <v>11029.8</v>
      </c>
      <c r="L13">
        <v>31361000</v>
      </c>
      <c r="M13" t="b">
        <v>0</v>
      </c>
      <c r="N13" t="b">
        <v>0</v>
      </c>
      <c r="O13">
        <v>16000</v>
      </c>
      <c r="P13" t="b">
        <v>0</v>
      </c>
      <c r="Q13" t="b">
        <v>0</v>
      </c>
      <c r="R13" t="b">
        <v>0</v>
      </c>
      <c r="S13" t="s">
        <v>96</v>
      </c>
      <c r="T13">
        <v>68.936250000000001</v>
      </c>
      <c r="U13">
        <v>0</v>
      </c>
      <c r="V13">
        <v>0</v>
      </c>
      <c r="W13">
        <v>4</v>
      </c>
      <c r="X13" s="6">
        <v>46113</v>
      </c>
    </row>
    <row r="14" spans="1:25" x14ac:dyDescent="0.3">
      <c r="A14" t="s">
        <v>1499</v>
      </c>
      <c r="B14" s="6">
        <v>46136</v>
      </c>
      <c r="C14" s="6">
        <v>46137</v>
      </c>
      <c r="D14" s="6">
        <v>46139</v>
      </c>
      <c r="E14" s="6">
        <v>46139</v>
      </c>
      <c r="F14" t="s">
        <v>32</v>
      </c>
      <c r="G14" t="s">
        <v>63</v>
      </c>
      <c r="H14" t="s">
        <v>23</v>
      </c>
      <c r="I14" t="s">
        <v>43</v>
      </c>
      <c r="J14">
        <v>169.8</v>
      </c>
      <c r="K14">
        <v>3057.8</v>
      </c>
      <c r="L14">
        <v>3980000</v>
      </c>
      <c r="M14" t="b">
        <v>0</v>
      </c>
      <c r="N14" t="b">
        <v>0</v>
      </c>
      <c r="O14">
        <v>5000</v>
      </c>
      <c r="P14" t="b">
        <v>0</v>
      </c>
      <c r="Q14" t="b">
        <v>0</v>
      </c>
      <c r="R14" t="b">
        <v>0</v>
      </c>
      <c r="S14" t="s">
        <v>96</v>
      </c>
      <c r="T14">
        <v>61.155999999999999</v>
      </c>
      <c r="U14">
        <v>0</v>
      </c>
      <c r="V14">
        <v>0</v>
      </c>
      <c r="W14">
        <v>2</v>
      </c>
      <c r="X14" s="6">
        <v>46113</v>
      </c>
    </row>
    <row r="15" spans="1:25" x14ac:dyDescent="0.3">
      <c r="A15" t="s">
        <v>1493</v>
      </c>
      <c r="B15" s="6">
        <v>46117</v>
      </c>
      <c r="C15" s="6">
        <v>46119</v>
      </c>
      <c r="D15" s="6">
        <v>46121</v>
      </c>
      <c r="E15" s="6">
        <v>46121</v>
      </c>
      <c r="F15" t="s">
        <v>31</v>
      </c>
      <c r="G15" t="s">
        <v>57</v>
      </c>
      <c r="H15" t="s">
        <v>20</v>
      </c>
      <c r="I15" t="s">
        <v>44</v>
      </c>
      <c r="J15">
        <v>135.5</v>
      </c>
      <c r="K15">
        <v>994.8</v>
      </c>
      <c r="L15">
        <v>2439000</v>
      </c>
      <c r="M15" t="b">
        <v>0</v>
      </c>
      <c r="N15" t="b">
        <v>0</v>
      </c>
      <c r="O15">
        <v>1500</v>
      </c>
      <c r="P15" t="b">
        <v>0</v>
      </c>
      <c r="Q15" t="b">
        <v>0</v>
      </c>
      <c r="R15" t="b">
        <v>0</v>
      </c>
      <c r="S15" t="s">
        <v>96</v>
      </c>
      <c r="T15">
        <v>66.320000000000007</v>
      </c>
      <c r="U15">
        <v>0</v>
      </c>
      <c r="V15">
        <v>0</v>
      </c>
      <c r="W15">
        <v>2</v>
      </c>
      <c r="X15" s="6">
        <v>46113</v>
      </c>
    </row>
    <row r="16" spans="1:25" x14ac:dyDescent="0.3">
      <c r="A16" t="s">
        <v>1492</v>
      </c>
      <c r="B16" s="6">
        <v>46131</v>
      </c>
      <c r="C16" s="6">
        <v>46132</v>
      </c>
      <c r="D16" s="6">
        <v>46134</v>
      </c>
      <c r="E16" s="6">
        <v>46134</v>
      </c>
      <c r="F16" t="s">
        <v>34</v>
      </c>
      <c r="G16" t="s">
        <v>52</v>
      </c>
      <c r="H16" t="s">
        <v>20</v>
      </c>
      <c r="I16" t="s">
        <v>42</v>
      </c>
      <c r="J16">
        <v>273.3</v>
      </c>
      <c r="K16">
        <v>12634.6</v>
      </c>
      <c r="L16">
        <v>8676000</v>
      </c>
      <c r="M16" t="b">
        <v>0</v>
      </c>
      <c r="N16" t="b">
        <v>0</v>
      </c>
      <c r="O16">
        <v>16000</v>
      </c>
      <c r="P16" t="b">
        <v>0</v>
      </c>
      <c r="Q16" t="b">
        <v>0</v>
      </c>
      <c r="R16" t="b">
        <v>0</v>
      </c>
      <c r="S16" t="s">
        <v>96</v>
      </c>
      <c r="T16">
        <v>78.966250000000002</v>
      </c>
      <c r="U16">
        <v>0</v>
      </c>
      <c r="V16">
        <v>0</v>
      </c>
      <c r="W16">
        <v>2</v>
      </c>
      <c r="X16" s="6">
        <v>46113</v>
      </c>
    </row>
    <row r="17" spans="1:24" x14ac:dyDescent="0.3">
      <c r="A17" t="s">
        <v>1490</v>
      </c>
      <c r="B17" s="6">
        <v>46122</v>
      </c>
      <c r="C17" s="6">
        <v>46123</v>
      </c>
      <c r="D17" s="6">
        <v>46127</v>
      </c>
      <c r="E17" s="6">
        <v>46126</v>
      </c>
      <c r="F17" t="s">
        <v>34</v>
      </c>
      <c r="G17" t="s">
        <v>60</v>
      </c>
      <c r="H17" t="s">
        <v>21</v>
      </c>
      <c r="I17" t="s">
        <v>44</v>
      </c>
      <c r="J17">
        <v>641.79999999999995</v>
      </c>
      <c r="K17">
        <v>450.3</v>
      </c>
      <c r="L17">
        <v>6251000</v>
      </c>
      <c r="M17" t="b">
        <v>0</v>
      </c>
      <c r="N17" t="b">
        <v>0</v>
      </c>
      <c r="O17">
        <v>1500</v>
      </c>
      <c r="P17" t="b">
        <v>0</v>
      </c>
      <c r="Q17" t="b">
        <v>0</v>
      </c>
      <c r="R17" t="b">
        <v>0</v>
      </c>
      <c r="S17" t="s">
        <v>96</v>
      </c>
      <c r="T17">
        <v>30.02</v>
      </c>
      <c r="U17">
        <v>0</v>
      </c>
      <c r="V17">
        <v>0</v>
      </c>
      <c r="W17">
        <v>3</v>
      </c>
      <c r="X17" s="6">
        <v>46113</v>
      </c>
    </row>
    <row r="18" spans="1:24" x14ac:dyDescent="0.3">
      <c r="A18" t="s">
        <v>1481</v>
      </c>
      <c r="B18" s="6">
        <v>46133</v>
      </c>
      <c r="C18" s="6">
        <v>46133</v>
      </c>
      <c r="D18" s="6">
        <v>46134</v>
      </c>
      <c r="E18" s="6">
        <v>46134</v>
      </c>
      <c r="F18" t="s">
        <v>34</v>
      </c>
      <c r="G18" t="s">
        <v>61</v>
      </c>
      <c r="H18" t="s">
        <v>24</v>
      </c>
      <c r="I18" t="s">
        <v>43</v>
      </c>
      <c r="J18">
        <v>29.2</v>
      </c>
      <c r="K18">
        <v>4017.1</v>
      </c>
      <c r="L18">
        <v>2507000</v>
      </c>
      <c r="M18" t="b">
        <v>0</v>
      </c>
      <c r="N18" t="b">
        <v>0</v>
      </c>
      <c r="O18">
        <v>5000</v>
      </c>
      <c r="P18" t="b">
        <v>0</v>
      </c>
      <c r="Q18" t="b">
        <v>0</v>
      </c>
      <c r="R18" t="b">
        <v>0</v>
      </c>
      <c r="S18" t="s">
        <v>96</v>
      </c>
      <c r="T18">
        <v>80.341999999999999</v>
      </c>
      <c r="U18">
        <v>0</v>
      </c>
      <c r="V18">
        <v>0</v>
      </c>
      <c r="W18">
        <v>1</v>
      </c>
      <c r="X18" s="6">
        <v>46113</v>
      </c>
    </row>
    <row r="19" spans="1:24" x14ac:dyDescent="0.3">
      <c r="A19" t="s">
        <v>122</v>
      </c>
      <c r="B19" s="6">
        <v>46116</v>
      </c>
      <c r="C19" s="6">
        <v>46117</v>
      </c>
      <c r="D19" s="6">
        <v>46119</v>
      </c>
      <c r="E19" s="6">
        <v>46119</v>
      </c>
      <c r="F19" t="s">
        <v>31</v>
      </c>
      <c r="G19" t="s">
        <v>58</v>
      </c>
      <c r="H19" t="s">
        <v>24</v>
      </c>
      <c r="I19" t="s">
        <v>43</v>
      </c>
      <c r="J19">
        <v>193.3</v>
      </c>
      <c r="K19">
        <v>1050.0999999999999</v>
      </c>
      <c r="L19">
        <v>3779000</v>
      </c>
      <c r="M19" t="b">
        <v>0</v>
      </c>
      <c r="N19" t="b">
        <v>0</v>
      </c>
      <c r="O19">
        <v>5000</v>
      </c>
      <c r="P19" t="b">
        <v>0</v>
      </c>
      <c r="Q19" t="b">
        <v>0</v>
      </c>
      <c r="R19" t="b">
        <v>0</v>
      </c>
      <c r="S19" t="s">
        <v>96</v>
      </c>
      <c r="T19">
        <v>21.001999999999999</v>
      </c>
      <c r="U19">
        <v>0</v>
      </c>
      <c r="V19">
        <v>0</v>
      </c>
      <c r="W19">
        <v>2</v>
      </c>
      <c r="X19" s="6">
        <v>46113</v>
      </c>
    </row>
    <row r="20" spans="1:24" x14ac:dyDescent="0.3">
      <c r="A20" t="s">
        <v>1475</v>
      </c>
      <c r="B20" s="6">
        <v>46119</v>
      </c>
      <c r="C20" s="6">
        <v>46119</v>
      </c>
      <c r="D20" s="6">
        <v>46123</v>
      </c>
      <c r="E20" s="6">
        <v>46123</v>
      </c>
      <c r="F20" t="s">
        <v>31</v>
      </c>
      <c r="G20" t="s">
        <v>62</v>
      </c>
      <c r="H20" t="s">
        <v>22</v>
      </c>
      <c r="I20" t="s">
        <v>43</v>
      </c>
      <c r="J20">
        <v>770.1</v>
      </c>
      <c r="K20">
        <v>1143.2</v>
      </c>
      <c r="L20">
        <v>11151000</v>
      </c>
      <c r="M20" t="b">
        <v>0</v>
      </c>
      <c r="N20" t="b">
        <v>0</v>
      </c>
      <c r="O20">
        <v>5000</v>
      </c>
      <c r="P20" t="b">
        <v>0</v>
      </c>
      <c r="Q20" t="b">
        <v>0</v>
      </c>
      <c r="R20" t="b">
        <v>0</v>
      </c>
      <c r="S20" t="s">
        <v>96</v>
      </c>
      <c r="T20">
        <v>22.864000000000001</v>
      </c>
      <c r="U20">
        <v>0</v>
      </c>
      <c r="V20">
        <v>0</v>
      </c>
      <c r="W20">
        <v>4</v>
      </c>
      <c r="X20" s="6">
        <v>46113</v>
      </c>
    </row>
    <row r="21" spans="1:24" x14ac:dyDescent="0.3">
      <c r="A21" t="s">
        <v>1469</v>
      </c>
      <c r="B21" s="6">
        <v>46121</v>
      </c>
      <c r="C21" s="6">
        <v>46122</v>
      </c>
      <c r="D21" s="6">
        <v>46126</v>
      </c>
      <c r="E21" s="6">
        <v>46126</v>
      </c>
      <c r="F21" t="s">
        <v>31</v>
      </c>
      <c r="G21" t="s">
        <v>60</v>
      </c>
      <c r="H21" t="s">
        <v>21</v>
      </c>
      <c r="I21" t="s">
        <v>43</v>
      </c>
      <c r="J21">
        <v>600.4</v>
      </c>
      <c r="K21">
        <v>2484</v>
      </c>
      <c r="L21">
        <v>10320000</v>
      </c>
      <c r="M21" t="b">
        <v>0</v>
      </c>
      <c r="N21" t="b">
        <v>0</v>
      </c>
      <c r="O21">
        <v>5000</v>
      </c>
      <c r="P21" t="b">
        <v>0</v>
      </c>
      <c r="Q21" t="b">
        <v>0</v>
      </c>
      <c r="R21" t="b">
        <v>0</v>
      </c>
      <c r="S21" t="s">
        <v>96</v>
      </c>
      <c r="T21">
        <v>49.68</v>
      </c>
      <c r="U21">
        <v>0</v>
      </c>
      <c r="V21">
        <v>0</v>
      </c>
      <c r="W21">
        <v>4</v>
      </c>
      <c r="X21" s="6">
        <v>46113</v>
      </c>
    </row>
    <row r="22" spans="1:24" x14ac:dyDescent="0.3">
      <c r="A22" t="s">
        <v>125</v>
      </c>
      <c r="B22" s="6">
        <v>46135</v>
      </c>
      <c r="C22" s="6">
        <v>46137</v>
      </c>
      <c r="D22" s="6">
        <v>46140</v>
      </c>
      <c r="E22" s="6">
        <v>46139</v>
      </c>
      <c r="F22" t="s">
        <v>33</v>
      </c>
      <c r="G22" t="s">
        <v>55</v>
      </c>
      <c r="H22" t="s">
        <v>21</v>
      </c>
      <c r="I22" t="s">
        <v>43</v>
      </c>
      <c r="J22">
        <v>576.1</v>
      </c>
      <c r="K22">
        <v>2213.1999999999998</v>
      </c>
      <c r="L22">
        <v>8080000</v>
      </c>
      <c r="M22" t="b">
        <v>0</v>
      </c>
      <c r="N22" t="b">
        <v>0</v>
      </c>
      <c r="O22">
        <v>5000</v>
      </c>
      <c r="P22" t="b">
        <v>0</v>
      </c>
      <c r="Q22" t="b">
        <v>0</v>
      </c>
      <c r="R22" t="b">
        <v>0</v>
      </c>
      <c r="S22" t="s">
        <v>96</v>
      </c>
      <c r="T22">
        <v>44.264000000000003</v>
      </c>
      <c r="U22">
        <v>0</v>
      </c>
      <c r="V22">
        <v>0</v>
      </c>
      <c r="W22">
        <v>2</v>
      </c>
      <c r="X22" s="6">
        <v>46113</v>
      </c>
    </row>
    <row r="23" spans="1:24" x14ac:dyDescent="0.3">
      <c r="A23" t="s">
        <v>126</v>
      </c>
      <c r="B23" s="6">
        <v>46123</v>
      </c>
      <c r="C23" s="6">
        <v>46123</v>
      </c>
      <c r="D23" s="6">
        <v>46127</v>
      </c>
      <c r="E23" s="6">
        <v>46127</v>
      </c>
      <c r="F23" t="s">
        <v>31</v>
      </c>
      <c r="G23" t="s">
        <v>62</v>
      </c>
      <c r="H23" t="s">
        <v>24</v>
      </c>
      <c r="I23" t="s">
        <v>44</v>
      </c>
      <c r="J23">
        <v>760</v>
      </c>
      <c r="K23">
        <v>1036.9000000000001</v>
      </c>
      <c r="L23">
        <v>6810000</v>
      </c>
      <c r="M23" t="b">
        <v>0</v>
      </c>
      <c r="N23" t="b">
        <v>0</v>
      </c>
      <c r="O23">
        <v>1500</v>
      </c>
      <c r="P23" t="b">
        <v>0</v>
      </c>
      <c r="Q23" t="b">
        <v>0</v>
      </c>
      <c r="R23" t="b">
        <v>0</v>
      </c>
      <c r="S23" t="s">
        <v>96</v>
      </c>
      <c r="T23">
        <v>69.126666666666665</v>
      </c>
      <c r="U23">
        <v>0</v>
      </c>
      <c r="V23">
        <v>0</v>
      </c>
      <c r="W23">
        <v>4</v>
      </c>
      <c r="X23" s="6">
        <v>46113</v>
      </c>
    </row>
    <row r="24" spans="1:24" x14ac:dyDescent="0.3">
      <c r="A24" t="s">
        <v>1436</v>
      </c>
      <c r="B24" s="6">
        <v>46137</v>
      </c>
      <c r="C24" s="6">
        <v>46137</v>
      </c>
      <c r="D24" s="6">
        <v>46140</v>
      </c>
      <c r="E24" s="6">
        <v>46140</v>
      </c>
      <c r="F24" t="s">
        <v>32</v>
      </c>
      <c r="G24" t="s">
        <v>60</v>
      </c>
      <c r="H24" t="s">
        <v>23</v>
      </c>
      <c r="I24" t="s">
        <v>43</v>
      </c>
      <c r="J24">
        <v>444.2</v>
      </c>
      <c r="K24">
        <v>3397.6</v>
      </c>
      <c r="L24">
        <v>6558000</v>
      </c>
      <c r="M24" t="b">
        <v>0</v>
      </c>
      <c r="N24" t="b">
        <v>0</v>
      </c>
      <c r="O24">
        <v>5000</v>
      </c>
      <c r="P24" t="b">
        <v>0</v>
      </c>
      <c r="Q24" t="b">
        <v>0</v>
      </c>
      <c r="R24" t="b">
        <v>0</v>
      </c>
      <c r="S24" t="s">
        <v>96</v>
      </c>
      <c r="T24">
        <v>67.951999999999998</v>
      </c>
      <c r="U24">
        <v>0</v>
      </c>
      <c r="V24">
        <v>0</v>
      </c>
      <c r="W24">
        <v>3</v>
      </c>
      <c r="X24" s="6">
        <v>46113</v>
      </c>
    </row>
    <row r="25" spans="1:24" x14ac:dyDescent="0.3">
      <c r="A25" t="s">
        <v>1430</v>
      </c>
      <c r="B25" s="6">
        <v>46124</v>
      </c>
      <c r="C25" s="6">
        <v>46125</v>
      </c>
      <c r="D25" s="6">
        <v>46128</v>
      </c>
      <c r="E25" s="6">
        <v>46128</v>
      </c>
      <c r="F25" t="s">
        <v>34</v>
      </c>
      <c r="G25" t="s">
        <v>54</v>
      </c>
      <c r="H25" t="s">
        <v>20</v>
      </c>
      <c r="I25" t="s">
        <v>43</v>
      </c>
      <c r="J25">
        <v>447.1</v>
      </c>
      <c r="K25">
        <v>3625.8</v>
      </c>
      <c r="L25">
        <v>7880000</v>
      </c>
      <c r="M25" t="b">
        <v>0</v>
      </c>
      <c r="N25" t="b">
        <v>0</v>
      </c>
      <c r="O25">
        <v>5000</v>
      </c>
      <c r="P25" t="b">
        <v>0</v>
      </c>
      <c r="Q25" t="b">
        <v>0</v>
      </c>
      <c r="R25" t="b">
        <v>0</v>
      </c>
      <c r="S25" t="s">
        <v>96</v>
      </c>
      <c r="T25">
        <v>72.516000000000005</v>
      </c>
      <c r="U25">
        <v>0</v>
      </c>
      <c r="V25">
        <v>0</v>
      </c>
      <c r="W25">
        <v>3</v>
      </c>
      <c r="X25" s="6">
        <v>46113</v>
      </c>
    </row>
    <row r="26" spans="1:24" x14ac:dyDescent="0.3">
      <c r="A26" t="s">
        <v>1414</v>
      </c>
      <c r="B26" s="6">
        <v>46140</v>
      </c>
      <c r="C26" s="6">
        <v>46141</v>
      </c>
      <c r="D26" s="6">
        <v>46143</v>
      </c>
      <c r="E26" s="6">
        <v>46143</v>
      </c>
      <c r="F26" t="s">
        <v>34</v>
      </c>
      <c r="G26" t="s">
        <v>58</v>
      </c>
      <c r="H26" t="s">
        <v>23</v>
      </c>
      <c r="I26" t="s">
        <v>44</v>
      </c>
      <c r="J26">
        <v>150.30000000000001</v>
      </c>
      <c r="K26">
        <v>1320.7</v>
      </c>
      <c r="L26">
        <v>2239000</v>
      </c>
      <c r="M26" t="b">
        <v>0</v>
      </c>
      <c r="N26" t="b">
        <v>0</v>
      </c>
      <c r="O26">
        <v>1500</v>
      </c>
      <c r="P26" t="b">
        <v>0</v>
      </c>
      <c r="Q26" t="b">
        <v>0</v>
      </c>
      <c r="R26" t="b">
        <v>0</v>
      </c>
      <c r="S26" t="s">
        <v>96</v>
      </c>
      <c r="T26">
        <v>88.046666666666667</v>
      </c>
      <c r="U26">
        <v>0</v>
      </c>
      <c r="V26">
        <v>0</v>
      </c>
      <c r="W26">
        <v>2</v>
      </c>
      <c r="X26" s="6">
        <v>46113</v>
      </c>
    </row>
    <row r="27" spans="1:24" x14ac:dyDescent="0.3">
      <c r="A27" t="s">
        <v>1390</v>
      </c>
      <c r="B27" s="6">
        <v>46123</v>
      </c>
      <c r="C27" s="6">
        <v>46125</v>
      </c>
      <c r="D27" s="6">
        <v>46129</v>
      </c>
      <c r="E27" s="6">
        <v>46129</v>
      </c>
      <c r="F27" t="s">
        <v>33</v>
      </c>
      <c r="G27" t="s">
        <v>58</v>
      </c>
      <c r="H27" t="s">
        <v>21</v>
      </c>
      <c r="I27" t="s">
        <v>43</v>
      </c>
      <c r="J27">
        <v>636.1</v>
      </c>
      <c r="K27">
        <v>1475.1</v>
      </c>
      <c r="L27">
        <v>9074000</v>
      </c>
      <c r="M27" t="b">
        <v>0</v>
      </c>
      <c r="N27" t="b">
        <v>0</v>
      </c>
      <c r="O27">
        <v>5000</v>
      </c>
      <c r="P27" t="b">
        <v>0</v>
      </c>
      <c r="Q27" t="b">
        <v>0</v>
      </c>
      <c r="R27" t="b">
        <v>0</v>
      </c>
      <c r="S27" t="s">
        <v>96</v>
      </c>
      <c r="T27">
        <v>29.501999999999999</v>
      </c>
      <c r="U27">
        <v>0</v>
      </c>
      <c r="V27">
        <v>0</v>
      </c>
      <c r="W27">
        <v>4</v>
      </c>
      <c r="X27" s="6">
        <v>46113</v>
      </c>
    </row>
    <row r="28" spans="1:24" x14ac:dyDescent="0.3">
      <c r="A28" t="s">
        <v>1385</v>
      </c>
      <c r="B28" s="6">
        <v>46122</v>
      </c>
      <c r="C28" s="6">
        <v>46122</v>
      </c>
      <c r="D28" s="6">
        <v>46125</v>
      </c>
      <c r="E28" s="6">
        <v>46125</v>
      </c>
      <c r="F28" t="s">
        <v>31</v>
      </c>
      <c r="G28" t="s">
        <v>54</v>
      </c>
      <c r="H28" t="s">
        <v>23</v>
      </c>
      <c r="I28" t="s">
        <v>43</v>
      </c>
      <c r="J28">
        <v>470.1</v>
      </c>
      <c r="K28">
        <v>2514.9</v>
      </c>
      <c r="L28">
        <v>6692000</v>
      </c>
      <c r="M28" t="b">
        <v>0</v>
      </c>
      <c r="N28" t="b">
        <v>0</v>
      </c>
      <c r="O28">
        <v>5000</v>
      </c>
      <c r="P28" t="b">
        <v>0</v>
      </c>
      <c r="Q28" t="b">
        <v>0</v>
      </c>
      <c r="R28" t="b">
        <v>0</v>
      </c>
      <c r="S28" t="s">
        <v>96</v>
      </c>
      <c r="T28">
        <v>50.298000000000002</v>
      </c>
      <c r="U28">
        <v>0</v>
      </c>
      <c r="V28">
        <v>0</v>
      </c>
      <c r="W28">
        <v>3</v>
      </c>
      <c r="X28" s="6">
        <v>46113</v>
      </c>
    </row>
    <row r="29" spans="1:24" x14ac:dyDescent="0.3">
      <c r="A29" t="s">
        <v>132</v>
      </c>
      <c r="B29" s="6">
        <v>46121</v>
      </c>
      <c r="C29" s="6">
        <v>46122</v>
      </c>
      <c r="D29" s="6">
        <v>46125</v>
      </c>
      <c r="E29" s="6">
        <v>46125</v>
      </c>
      <c r="F29" t="s">
        <v>31</v>
      </c>
      <c r="G29" t="s">
        <v>53</v>
      </c>
      <c r="H29" t="s">
        <v>20</v>
      </c>
      <c r="I29" t="s">
        <v>45</v>
      </c>
      <c r="J29">
        <v>308.7</v>
      </c>
      <c r="K29">
        <v>266.8</v>
      </c>
      <c r="L29">
        <v>2989000</v>
      </c>
      <c r="M29" t="b">
        <v>0</v>
      </c>
      <c r="N29" t="b">
        <v>0</v>
      </c>
      <c r="O29">
        <v>1000</v>
      </c>
      <c r="P29" t="b">
        <v>0</v>
      </c>
      <c r="Q29" t="b">
        <v>0</v>
      </c>
      <c r="R29" t="b">
        <v>0</v>
      </c>
      <c r="S29" t="s">
        <v>96</v>
      </c>
      <c r="T29">
        <v>26.68</v>
      </c>
      <c r="U29">
        <v>0</v>
      </c>
      <c r="V29">
        <v>0</v>
      </c>
      <c r="W29">
        <v>3</v>
      </c>
      <c r="X29" s="6">
        <v>46113</v>
      </c>
    </row>
    <row r="30" spans="1:24" x14ac:dyDescent="0.3">
      <c r="A30" t="s">
        <v>133</v>
      </c>
      <c r="B30" s="6">
        <v>46138</v>
      </c>
      <c r="C30" s="6">
        <v>46139</v>
      </c>
      <c r="D30" s="6">
        <v>46142</v>
      </c>
      <c r="E30" s="6">
        <v>46142</v>
      </c>
      <c r="F30" t="s">
        <v>31</v>
      </c>
      <c r="G30" t="s">
        <v>52</v>
      </c>
      <c r="H30" t="s">
        <v>21</v>
      </c>
      <c r="I30" t="s">
        <v>43</v>
      </c>
      <c r="J30">
        <v>301.60000000000002</v>
      </c>
      <c r="K30">
        <v>1029.2</v>
      </c>
      <c r="L30">
        <v>4609000</v>
      </c>
      <c r="M30" t="b">
        <v>0</v>
      </c>
      <c r="N30" t="b">
        <v>0</v>
      </c>
      <c r="O30">
        <v>5000</v>
      </c>
      <c r="P30" t="b">
        <v>0</v>
      </c>
      <c r="Q30" t="b">
        <v>0</v>
      </c>
      <c r="R30" t="b">
        <v>0</v>
      </c>
      <c r="S30" t="s">
        <v>96</v>
      </c>
      <c r="T30">
        <v>20.584</v>
      </c>
      <c r="U30">
        <v>0</v>
      </c>
      <c r="V30">
        <v>0</v>
      </c>
      <c r="W30">
        <v>3</v>
      </c>
      <c r="X30" s="6">
        <v>46113</v>
      </c>
    </row>
    <row r="31" spans="1:24" x14ac:dyDescent="0.3">
      <c r="A31" t="s">
        <v>1381</v>
      </c>
      <c r="B31" s="6">
        <v>46129</v>
      </c>
      <c r="C31" s="6">
        <v>46131</v>
      </c>
      <c r="D31" s="6">
        <v>46135</v>
      </c>
      <c r="E31" s="6">
        <v>46135</v>
      </c>
      <c r="F31" t="s">
        <v>34</v>
      </c>
      <c r="G31" t="s">
        <v>62</v>
      </c>
      <c r="H31" t="s">
        <v>21</v>
      </c>
      <c r="I31" t="s">
        <v>44</v>
      </c>
      <c r="J31">
        <v>754.6</v>
      </c>
      <c r="K31">
        <v>1020.6</v>
      </c>
      <c r="L31">
        <v>8340000</v>
      </c>
      <c r="M31" t="b">
        <v>0</v>
      </c>
      <c r="N31" t="b">
        <v>0</v>
      </c>
      <c r="O31">
        <v>1500</v>
      </c>
      <c r="P31" t="b">
        <v>0</v>
      </c>
      <c r="Q31" t="b">
        <v>0</v>
      </c>
      <c r="R31" t="b">
        <v>0</v>
      </c>
      <c r="S31" t="s">
        <v>96</v>
      </c>
      <c r="T31">
        <v>68.040000000000006</v>
      </c>
      <c r="U31">
        <v>0</v>
      </c>
      <c r="V31">
        <v>0</v>
      </c>
      <c r="W31">
        <v>4</v>
      </c>
      <c r="X31" s="6">
        <v>46113</v>
      </c>
    </row>
    <row r="32" spans="1:24" x14ac:dyDescent="0.3">
      <c r="A32" t="s">
        <v>1374</v>
      </c>
      <c r="B32" s="6">
        <v>46123</v>
      </c>
      <c r="C32" s="6">
        <v>46124</v>
      </c>
      <c r="D32" s="6">
        <v>46127</v>
      </c>
      <c r="E32" s="6">
        <v>46127</v>
      </c>
      <c r="F32" t="s">
        <v>34</v>
      </c>
      <c r="G32" t="s">
        <v>59</v>
      </c>
      <c r="H32" t="s">
        <v>20</v>
      </c>
      <c r="I32" t="s">
        <v>44</v>
      </c>
      <c r="J32">
        <v>330.3</v>
      </c>
      <c r="K32">
        <v>153.5</v>
      </c>
      <c r="L32">
        <v>3596000</v>
      </c>
      <c r="M32" t="b">
        <v>0</v>
      </c>
      <c r="N32" t="b">
        <v>0</v>
      </c>
      <c r="O32">
        <v>1500</v>
      </c>
      <c r="P32" t="b">
        <v>0</v>
      </c>
      <c r="Q32" t="b">
        <v>0</v>
      </c>
      <c r="R32" t="b">
        <v>0</v>
      </c>
      <c r="S32" t="s">
        <v>96</v>
      </c>
      <c r="T32">
        <v>10.233333333333331</v>
      </c>
      <c r="U32">
        <v>0</v>
      </c>
      <c r="V32">
        <v>0</v>
      </c>
      <c r="W32">
        <v>3</v>
      </c>
      <c r="X32" s="6">
        <v>46113</v>
      </c>
    </row>
    <row r="33" spans="1:24" x14ac:dyDescent="0.3">
      <c r="A33" t="s">
        <v>1342</v>
      </c>
      <c r="B33" s="6">
        <v>46115</v>
      </c>
      <c r="C33" s="6">
        <v>46116</v>
      </c>
      <c r="D33" s="6">
        <v>46118</v>
      </c>
      <c r="E33" s="6">
        <v>46118</v>
      </c>
      <c r="F33" t="s">
        <v>32</v>
      </c>
      <c r="G33" t="s">
        <v>63</v>
      </c>
      <c r="H33" t="s">
        <v>21</v>
      </c>
      <c r="I33" t="s">
        <v>42</v>
      </c>
      <c r="J33">
        <v>185.7</v>
      </c>
      <c r="K33">
        <v>12543.5</v>
      </c>
      <c r="L33">
        <v>8421000</v>
      </c>
      <c r="M33" t="b">
        <v>0</v>
      </c>
      <c r="N33" t="b">
        <v>0</v>
      </c>
      <c r="O33">
        <v>16000</v>
      </c>
      <c r="P33" t="b">
        <v>0</v>
      </c>
      <c r="Q33" t="b">
        <v>0</v>
      </c>
      <c r="R33" t="b">
        <v>0</v>
      </c>
      <c r="S33" t="s">
        <v>96</v>
      </c>
      <c r="T33">
        <v>78.396874999999994</v>
      </c>
      <c r="U33">
        <v>0</v>
      </c>
      <c r="V33">
        <v>0</v>
      </c>
      <c r="W33">
        <v>2</v>
      </c>
      <c r="X33" s="6">
        <v>46113</v>
      </c>
    </row>
    <row r="34" spans="1:24" x14ac:dyDescent="0.3">
      <c r="A34" t="s">
        <v>1337</v>
      </c>
      <c r="B34" s="6">
        <v>46116</v>
      </c>
      <c r="C34" s="6">
        <v>46116</v>
      </c>
      <c r="D34" s="6">
        <v>46120</v>
      </c>
      <c r="E34" s="6">
        <v>46120</v>
      </c>
      <c r="F34" t="s">
        <v>31</v>
      </c>
      <c r="G34" t="s">
        <v>60</v>
      </c>
      <c r="H34" t="s">
        <v>20</v>
      </c>
      <c r="I34" t="s">
        <v>42</v>
      </c>
      <c r="J34">
        <v>641.9</v>
      </c>
      <c r="K34">
        <v>3249.2</v>
      </c>
      <c r="L34">
        <v>13744000</v>
      </c>
      <c r="M34" t="b">
        <v>0</v>
      </c>
      <c r="N34" t="b">
        <v>0</v>
      </c>
      <c r="O34">
        <v>16000</v>
      </c>
      <c r="P34" t="b">
        <v>0</v>
      </c>
      <c r="Q34" t="b">
        <v>0</v>
      </c>
      <c r="R34" t="b">
        <v>0</v>
      </c>
      <c r="S34" t="s">
        <v>96</v>
      </c>
      <c r="T34">
        <v>20.307500000000001</v>
      </c>
      <c r="U34">
        <v>0</v>
      </c>
      <c r="V34">
        <v>0</v>
      </c>
      <c r="W34">
        <v>4</v>
      </c>
      <c r="X34" s="6">
        <v>46113</v>
      </c>
    </row>
    <row r="35" spans="1:24" x14ac:dyDescent="0.3">
      <c r="A35" t="s">
        <v>1307</v>
      </c>
      <c r="B35" s="6">
        <v>46137</v>
      </c>
      <c r="C35" s="6">
        <v>46138</v>
      </c>
      <c r="D35" s="6">
        <v>46139</v>
      </c>
      <c r="E35" s="6">
        <v>46139</v>
      </c>
      <c r="F35" t="s">
        <v>34</v>
      </c>
      <c r="G35" t="s">
        <v>55</v>
      </c>
      <c r="H35" t="s">
        <v>24</v>
      </c>
      <c r="I35" t="s">
        <v>43</v>
      </c>
      <c r="J35">
        <v>58.5</v>
      </c>
      <c r="K35">
        <v>1703.4</v>
      </c>
      <c r="L35">
        <v>2048000</v>
      </c>
      <c r="M35" t="b">
        <v>0</v>
      </c>
      <c r="N35" t="b">
        <v>0</v>
      </c>
      <c r="O35">
        <v>5000</v>
      </c>
      <c r="P35" t="b">
        <v>0</v>
      </c>
      <c r="Q35" t="b">
        <v>0</v>
      </c>
      <c r="R35" t="b">
        <v>0</v>
      </c>
      <c r="S35" t="s">
        <v>96</v>
      </c>
      <c r="T35">
        <v>34.067999999999998</v>
      </c>
      <c r="U35">
        <v>0</v>
      </c>
      <c r="V35">
        <v>0</v>
      </c>
      <c r="W35">
        <v>1</v>
      </c>
      <c r="X35" s="6">
        <v>46113</v>
      </c>
    </row>
    <row r="36" spans="1:24" x14ac:dyDescent="0.3">
      <c r="A36" t="s">
        <v>1305</v>
      </c>
      <c r="B36" s="6">
        <v>46114</v>
      </c>
      <c r="C36" s="6">
        <v>46115</v>
      </c>
      <c r="D36" s="6">
        <v>46117</v>
      </c>
      <c r="E36" s="6">
        <v>46117</v>
      </c>
      <c r="F36" t="s">
        <v>31</v>
      </c>
      <c r="G36" t="s">
        <v>58</v>
      </c>
      <c r="H36" t="s">
        <v>24</v>
      </c>
      <c r="I36" t="s">
        <v>42</v>
      </c>
      <c r="J36">
        <v>192</v>
      </c>
      <c r="K36">
        <v>11725.1</v>
      </c>
      <c r="L36">
        <v>7821000</v>
      </c>
      <c r="M36" t="b">
        <v>0</v>
      </c>
      <c r="N36" t="b">
        <v>0</v>
      </c>
      <c r="O36">
        <v>16000</v>
      </c>
      <c r="P36" t="b">
        <v>0</v>
      </c>
      <c r="Q36" t="b">
        <v>0</v>
      </c>
      <c r="R36" t="b">
        <v>0</v>
      </c>
      <c r="S36" t="s">
        <v>96</v>
      </c>
      <c r="T36">
        <v>73.281875000000014</v>
      </c>
      <c r="U36">
        <v>0</v>
      </c>
      <c r="V36">
        <v>0</v>
      </c>
      <c r="W36">
        <v>2</v>
      </c>
      <c r="X36" s="6">
        <v>46113</v>
      </c>
    </row>
    <row r="37" spans="1:24" x14ac:dyDescent="0.3">
      <c r="A37" t="s">
        <v>1304</v>
      </c>
      <c r="B37" s="6">
        <v>46130</v>
      </c>
      <c r="C37" s="6">
        <v>46131</v>
      </c>
      <c r="D37" s="6">
        <v>46135</v>
      </c>
      <c r="E37" s="6">
        <v>46135</v>
      </c>
      <c r="F37" t="s">
        <v>31</v>
      </c>
      <c r="G37" t="s">
        <v>60</v>
      </c>
      <c r="H37" t="s">
        <v>21</v>
      </c>
      <c r="I37" t="s">
        <v>43</v>
      </c>
      <c r="J37">
        <v>620.29999999999995</v>
      </c>
      <c r="K37">
        <v>1919.4</v>
      </c>
      <c r="L37">
        <v>9974000</v>
      </c>
      <c r="M37" t="b">
        <v>0</v>
      </c>
      <c r="N37" t="b">
        <v>0</v>
      </c>
      <c r="O37">
        <v>5000</v>
      </c>
      <c r="P37" t="b">
        <v>0</v>
      </c>
      <c r="Q37" t="b">
        <v>0</v>
      </c>
      <c r="R37" t="b">
        <v>0</v>
      </c>
      <c r="S37" t="s">
        <v>96</v>
      </c>
      <c r="T37">
        <v>38.387999999999998</v>
      </c>
      <c r="U37">
        <v>0</v>
      </c>
      <c r="V37">
        <v>0</v>
      </c>
      <c r="W37">
        <v>4</v>
      </c>
      <c r="X37" s="6">
        <v>46113</v>
      </c>
    </row>
    <row r="38" spans="1:24" x14ac:dyDescent="0.3">
      <c r="A38" t="s">
        <v>141</v>
      </c>
      <c r="B38" s="6">
        <v>46128</v>
      </c>
      <c r="C38" s="6">
        <v>46128</v>
      </c>
      <c r="D38" s="6">
        <v>46130</v>
      </c>
      <c r="E38" s="6">
        <v>46130</v>
      </c>
      <c r="F38" t="s">
        <v>31</v>
      </c>
      <c r="G38" t="s">
        <v>57</v>
      </c>
      <c r="H38" t="s">
        <v>22</v>
      </c>
      <c r="I38" t="s">
        <v>43</v>
      </c>
      <c r="J38">
        <v>121.5</v>
      </c>
      <c r="K38">
        <v>3527.4</v>
      </c>
      <c r="L38">
        <v>3750000</v>
      </c>
      <c r="M38" t="b">
        <v>0</v>
      </c>
      <c r="N38" t="b">
        <v>0</v>
      </c>
      <c r="O38">
        <v>5000</v>
      </c>
      <c r="P38" t="b">
        <v>0</v>
      </c>
      <c r="Q38" t="b">
        <v>0</v>
      </c>
      <c r="R38" t="b">
        <v>0</v>
      </c>
      <c r="S38" t="s">
        <v>96</v>
      </c>
      <c r="T38">
        <v>70.548000000000002</v>
      </c>
      <c r="U38">
        <v>0</v>
      </c>
      <c r="V38">
        <v>0</v>
      </c>
      <c r="W38">
        <v>2</v>
      </c>
      <c r="X38" s="6">
        <v>46113</v>
      </c>
    </row>
    <row r="39" spans="1:24" x14ac:dyDescent="0.3">
      <c r="A39" t="s">
        <v>1283</v>
      </c>
      <c r="B39" s="6">
        <v>46115</v>
      </c>
      <c r="C39" s="6">
        <v>46115</v>
      </c>
      <c r="D39" s="6">
        <v>46119</v>
      </c>
      <c r="E39" s="6">
        <v>46119</v>
      </c>
      <c r="F39" t="s">
        <v>34</v>
      </c>
      <c r="G39" t="s">
        <v>60</v>
      </c>
      <c r="H39" t="s">
        <v>20</v>
      </c>
      <c r="I39" t="s">
        <v>44</v>
      </c>
      <c r="J39">
        <v>601.5</v>
      </c>
      <c r="K39">
        <v>234.4</v>
      </c>
      <c r="L39">
        <v>6711000</v>
      </c>
      <c r="M39" t="b">
        <v>0</v>
      </c>
      <c r="N39" t="b">
        <v>0</v>
      </c>
      <c r="O39">
        <v>1500</v>
      </c>
      <c r="P39" t="b">
        <v>0</v>
      </c>
      <c r="Q39" t="b">
        <v>0</v>
      </c>
      <c r="R39" t="b">
        <v>0</v>
      </c>
      <c r="S39" t="s">
        <v>96</v>
      </c>
      <c r="T39">
        <v>15.62666666666667</v>
      </c>
      <c r="U39">
        <v>0</v>
      </c>
      <c r="V39">
        <v>0</v>
      </c>
      <c r="W39">
        <v>4</v>
      </c>
      <c r="X39" s="6">
        <v>46113</v>
      </c>
    </row>
    <row r="40" spans="1:24" x14ac:dyDescent="0.3">
      <c r="A40" t="s">
        <v>1282</v>
      </c>
      <c r="B40" s="6">
        <v>46137</v>
      </c>
      <c r="C40" s="6">
        <v>46138</v>
      </c>
      <c r="D40" s="6">
        <v>46142</v>
      </c>
      <c r="E40" s="6">
        <v>46142</v>
      </c>
      <c r="F40" t="s">
        <v>33</v>
      </c>
      <c r="G40" t="s">
        <v>61</v>
      </c>
      <c r="H40" t="s">
        <v>20</v>
      </c>
      <c r="I40" t="s">
        <v>43</v>
      </c>
      <c r="J40">
        <v>613.4</v>
      </c>
      <c r="K40">
        <v>3134.8</v>
      </c>
      <c r="L40">
        <v>9330000</v>
      </c>
      <c r="M40" t="b">
        <v>0</v>
      </c>
      <c r="N40" t="b">
        <v>0</v>
      </c>
      <c r="O40">
        <v>5000</v>
      </c>
      <c r="P40" t="b">
        <v>0</v>
      </c>
      <c r="Q40" t="b">
        <v>0</v>
      </c>
      <c r="R40" t="b">
        <v>0</v>
      </c>
      <c r="S40" t="s">
        <v>96</v>
      </c>
      <c r="T40">
        <v>62.696000000000012</v>
      </c>
      <c r="U40">
        <v>0</v>
      </c>
      <c r="V40">
        <v>0</v>
      </c>
      <c r="W40">
        <v>4</v>
      </c>
      <c r="X40" s="6">
        <v>46113</v>
      </c>
    </row>
    <row r="41" spans="1:24" x14ac:dyDescent="0.3">
      <c r="A41" t="s">
        <v>1281</v>
      </c>
      <c r="B41" s="6">
        <v>46123</v>
      </c>
      <c r="C41" s="6">
        <v>46124</v>
      </c>
      <c r="D41" s="6">
        <v>46127</v>
      </c>
      <c r="E41" s="6">
        <v>46127</v>
      </c>
      <c r="F41" t="s">
        <v>34</v>
      </c>
      <c r="G41" t="s">
        <v>53</v>
      </c>
      <c r="H41" t="s">
        <v>23</v>
      </c>
      <c r="I41" t="s">
        <v>45</v>
      </c>
      <c r="J41">
        <v>338.3</v>
      </c>
      <c r="K41">
        <v>658.5</v>
      </c>
      <c r="L41">
        <v>3327000</v>
      </c>
      <c r="M41" t="b">
        <v>0</v>
      </c>
      <c r="N41" t="b">
        <v>0</v>
      </c>
      <c r="O41">
        <v>1000</v>
      </c>
      <c r="P41" t="b">
        <v>0</v>
      </c>
      <c r="Q41" t="b">
        <v>0</v>
      </c>
      <c r="R41" t="b">
        <v>0</v>
      </c>
      <c r="S41" t="s">
        <v>96</v>
      </c>
      <c r="T41">
        <v>65.849999999999994</v>
      </c>
      <c r="U41">
        <v>0</v>
      </c>
      <c r="V41">
        <v>0</v>
      </c>
      <c r="W41">
        <v>3</v>
      </c>
      <c r="X41" s="6">
        <v>46113</v>
      </c>
    </row>
    <row r="42" spans="1:24" x14ac:dyDescent="0.3">
      <c r="A42" t="s">
        <v>1264</v>
      </c>
      <c r="B42" s="6">
        <v>46129</v>
      </c>
      <c r="C42" s="6">
        <v>46130</v>
      </c>
      <c r="D42" s="6">
        <v>46133</v>
      </c>
      <c r="E42" s="6">
        <v>46133</v>
      </c>
      <c r="F42" t="s">
        <v>33</v>
      </c>
      <c r="G42" t="s">
        <v>57</v>
      </c>
      <c r="H42" t="s">
        <v>20</v>
      </c>
      <c r="I42" t="s">
        <v>43</v>
      </c>
      <c r="J42">
        <v>452.7</v>
      </c>
      <c r="K42">
        <v>2320.3000000000002</v>
      </c>
      <c r="L42">
        <v>7551000</v>
      </c>
      <c r="M42" t="b">
        <v>0</v>
      </c>
      <c r="N42" t="b">
        <v>0</v>
      </c>
      <c r="O42">
        <v>5000</v>
      </c>
      <c r="P42" t="b">
        <v>0</v>
      </c>
      <c r="Q42" t="b">
        <v>0</v>
      </c>
      <c r="R42" t="b">
        <v>0</v>
      </c>
      <c r="S42" t="s">
        <v>96</v>
      </c>
      <c r="T42">
        <v>46.406000000000013</v>
      </c>
      <c r="U42">
        <v>0</v>
      </c>
      <c r="V42">
        <v>0</v>
      </c>
      <c r="W42">
        <v>3</v>
      </c>
      <c r="X42" s="6">
        <v>46113</v>
      </c>
    </row>
    <row r="43" spans="1:24" x14ac:dyDescent="0.3">
      <c r="A43" t="s">
        <v>1259</v>
      </c>
      <c r="B43" s="6">
        <v>46126</v>
      </c>
      <c r="C43" s="6">
        <v>46127</v>
      </c>
      <c r="D43" s="6">
        <v>46130</v>
      </c>
      <c r="E43" s="6">
        <v>46130</v>
      </c>
      <c r="F43" t="s">
        <v>32</v>
      </c>
      <c r="G43" t="s">
        <v>52</v>
      </c>
      <c r="H43" t="s">
        <v>23</v>
      </c>
      <c r="I43" t="s">
        <v>42</v>
      </c>
      <c r="J43">
        <v>339.4</v>
      </c>
      <c r="K43">
        <v>11710.3</v>
      </c>
      <c r="L43">
        <v>11661000</v>
      </c>
      <c r="M43" t="b">
        <v>0</v>
      </c>
      <c r="N43" t="b">
        <v>0</v>
      </c>
      <c r="O43">
        <v>16000</v>
      </c>
      <c r="P43" t="b">
        <v>0</v>
      </c>
      <c r="Q43" t="b">
        <v>0</v>
      </c>
      <c r="R43" t="b">
        <v>0</v>
      </c>
      <c r="S43" t="s">
        <v>96</v>
      </c>
      <c r="T43">
        <v>73.189374999999998</v>
      </c>
      <c r="U43">
        <v>0</v>
      </c>
      <c r="V43">
        <v>0</v>
      </c>
      <c r="W43">
        <v>3</v>
      </c>
      <c r="X43" s="6">
        <v>46113</v>
      </c>
    </row>
    <row r="44" spans="1:24" x14ac:dyDescent="0.3">
      <c r="A44" t="s">
        <v>1223</v>
      </c>
      <c r="B44" s="6">
        <v>46121</v>
      </c>
      <c r="C44" s="6">
        <v>46122</v>
      </c>
      <c r="D44" s="6">
        <v>46124</v>
      </c>
      <c r="E44" s="6">
        <v>46124</v>
      </c>
      <c r="F44" t="s">
        <v>34</v>
      </c>
      <c r="G44" t="s">
        <v>61</v>
      </c>
      <c r="H44" t="s">
        <v>20</v>
      </c>
      <c r="I44" t="s">
        <v>43</v>
      </c>
      <c r="J44">
        <v>19.899999999999999</v>
      </c>
      <c r="K44">
        <v>2588.4</v>
      </c>
      <c r="L44">
        <v>2014000</v>
      </c>
      <c r="M44" t="b">
        <v>0</v>
      </c>
      <c r="N44" t="b">
        <v>0</v>
      </c>
      <c r="O44">
        <v>5000</v>
      </c>
      <c r="P44" t="b">
        <v>0</v>
      </c>
      <c r="Q44" t="b">
        <v>0</v>
      </c>
      <c r="R44" t="b">
        <v>0</v>
      </c>
      <c r="S44" t="s">
        <v>96</v>
      </c>
      <c r="T44">
        <v>51.768000000000001</v>
      </c>
      <c r="U44">
        <v>0</v>
      </c>
      <c r="V44">
        <v>0</v>
      </c>
      <c r="W44">
        <v>2</v>
      </c>
      <c r="X44" s="6">
        <v>46113</v>
      </c>
    </row>
    <row r="45" spans="1:24" x14ac:dyDescent="0.3">
      <c r="A45" t="s">
        <v>1219</v>
      </c>
      <c r="B45" s="6">
        <v>46124</v>
      </c>
      <c r="C45" s="6">
        <v>46125</v>
      </c>
      <c r="D45" s="6">
        <v>46127</v>
      </c>
      <c r="E45" s="6">
        <v>46127</v>
      </c>
      <c r="F45" t="s">
        <v>34</v>
      </c>
      <c r="G45" t="s">
        <v>58</v>
      </c>
      <c r="H45" t="s">
        <v>20</v>
      </c>
      <c r="I45" t="s">
        <v>44</v>
      </c>
      <c r="J45">
        <v>153.6</v>
      </c>
      <c r="K45">
        <v>467.6</v>
      </c>
      <c r="L45">
        <v>2221000</v>
      </c>
      <c r="M45" t="b">
        <v>0</v>
      </c>
      <c r="N45" t="b">
        <v>0</v>
      </c>
      <c r="O45">
        <v>1500</v>
      </c>
      <c r="P45" t="b">
        <v>0</v>
      </c>
      <c r="Q45" t="b">
        <v>0</v>
      </c>
      <c r="R45" t="b">
        <v>0</v>
      </c>
      <c r="S45" t="s">
        <v>96</v>
      </c>
      <c r="T45">
        <v>31.173333333333339</v>
      </c>
      <c r="U45">
        <v>0</v>
      </c>
      <c r="V45">
        <v>0</v>
      </c>
      <c r="W45">
        <v>2</v>
      </c>
      <c r="X45" s="6">
        <v>46113</v>
      </c>
    </row>
    <row r="46" spans="1:24" x14ac:dyDescent="0.3">
      <c r="A46" t="s">
        <v>1210</v>
      </c>
      <c r="B46" s="6">
        <v>46120</v>
      </c>
      <c r="C46" s="6">
        <v>46121</v>
      </c>
      <c r="D46" s="6">
        <v>46122</v>
      </c>
      <c r="E46" s="6">
        <v>46122</v>
      </c>
      <c r="F46" t="s">
        <v>33</v>
      </c>
      <c r="G46" t="s">
        <v>60</v>
      </c>
      <c r="H46" t="s">
        <v>23</v>
      </c>
      <c r="I46" t="s">
        <v>42</v>
      </c>
      <c r="J46">
        <v>30.5</v>
      </c>
      <c r="K46">
        <v>10072.9</v>
      </c>
      <c r="L46">
        <v>4195000</v>
      </c>
      <c r="M46" t="b">
        <v>0</v>
      </c>
      <c r="N46" t="b">
        <v>0</v>
      </c>
      <c r="O46">
        <v>16000</v>
      </c>
      <c r="P46" t="b">
        <v>0</v>
      </c>
      <c r="Q46" t="b">
        <v>0</v>
      </c>
      <c r="R46" t="b">
        <v>0</v>
      </c>
      <c r="S46" t="s">
        <v>96</v>
      </c>
      <c r="T46">
        <v>62.955624999999991</v>
      </c>
      <c r="U46">
        <v>0</v>
      </c>
      <c r="V46">
        <v>0</v>
      </c>
      <c r="W46">
        <v>1</v>
      </c>
      <c r="X46" s="6">
        <v>46113</v>
      </c>
    </row>
    <row r="47" spans="1:24" x14ac:dyDescent="0.3">
      <c r="A47" t="s">
        <v>1203</v>
      </c>
      <c r="B47" s="6">
        <v>46119</v>
      </c>
      <c r="C47" s="6">
        <v>46119</v>
      </c>
      <c r="D47" s="6">
        <v>46121</v>
      </c>
      <c r="E47" s="6">
        <v>46121</v>
      </c>
      <c r="F47" t="s">
        <v>32</v>
      </c>
      <c r="G47" t="s">
        <v>53</v>
      </c>
      <c r="H47" t="s">
        <v>24</v>
      </c>
      <c r="I47" t="s">
        <v>43</v>
      </c>
      <c r="J47">
        <v>267.39999999999998</v>
      </c>
      <c r="K47">
        <v>1326.8</v>
      </c>
      <c r="L47">
        <v>4492000</v>
      </c>
      <c r="M47" t="b">
        <v>0</v>
      </c>
      <c r="N47" t="b">
        <v>0</v>
      </c>
      <c r="O47">
        <v>5000</v>
      </c>
      <c r="P47" t="b">
        <v>0</v>
      </c>
      <c r="Q47" t="b">
        <v>0</v>
      </c>
      <c r="R47" t="b">
        <v>0</v>
      </c>
      <c r="S47" t="s">
        <v>96</v>
      </c>
      <c r="T47">
        <v>26.536000000000001</v>
      </c>
      <c r="U47">
        <v>0</v>
      </c>
      <c r="V47">
        <v>0</v>
      </c>
      <c r="W47">
        <v>2</v>
      </c>
      <c r="X47" s="6">
        <v>46113</v>
      </c>
    </row>
    <row r="48" spans="1:24" x14ac:dyDescent="0.3">
      <c r="A48" t="s">
        <v>151</v>
      </c>
      <c r="B48" s="6">
        <v>46116</v>
      </c>
      <c r="C48" s="6">
        <v>46116</v>
      </c>
      <c r="D48" s="6">
        <v>46117</v>
      </c>
      <c r="E48" s="6">
        <v>46117</v>
      </c>
      <c r="F48" t="s">
        <v>34</v>
      </c>
      <c r="G48" t="s">
        <v>61</v>
      </c>
      <c r="H48" t="s">
        <v>20</v>
      </c>
      <c r="I48" t="s">
        <v>45</v>
      </c>
      <c r="J48">
        <v>26.6</v>
      </c>
      <c r="K48">
        <v>169.5</v>
      </c>
      <c r="L48">
        <v>569000</v>
      </c>
      <c r="M48" t="b">
        <v>0</v>
      </c>
      <c r="N48" t="b">
        <v>0</v>
      </c>
      <c r="O48">
        <v>1000</v>
      </c>
      <c r="P48" t="b">
        <v>0</v>
      </c>
      <c r="Q48" t="b">
        <v>0</v>
      </c>
      <c r="R48" t="b">
        <v>0</v>
      </c>
      <c r="S48" t="s">
        <v>96</v>
      </c>
      <c r="T48">
        <v>16.95</v>
      </c>
      <c r="U48">
        <v>0</v>
      </c>
      <c r="V48">
        <v>0</v>
      </c>
      <c r="W48">
        <v>1</v>
      </c>
      <c r="X48" s="6">
        <v>46113</v>
      </c>
    </row>
    <row r="49" spans="1:24" x14ac:dyDescent="0.3">
      <c r="A49" t="s">
        <v>1202</v>
      </c>
      <c r="B49" s="6">
        <v>46133</v>
      </c>
      <c r="C49" s="6">
        <v>46135</v>
      </c>
      <c r="D49" s="6">
        <v>46137</v>
      </c>
      <c r="E49" s="6">
        <v>46137</v>
      </c>
      <c r="F49" t="s">
        <v>34</v>
      </c>
      <c r="G49" t="s">
        <v>52</v>
      </c>
      <c r="H49" t="s">
        <v>20</v>
      </c>
      <c r="I49" t="s">
        <v>45</v>
      </c>
      <c r="J49">
        <v>267.89999999999998</v>
      </c>
      <c r="K49">
        <v>207.3</v>
      </c>
      <c r="L49">
        <v>2720000</v>
      </c>
      <c r="M49" t="b">
        <v>0</v>
      </c>
      <c r="N49" t="b">
        <v>0</v>
      </c>
      <c r="O49">
        <v>1000</v>
      </c>
      <c r="P49" t="b">
        <v>0</v>
      </c>
      <c r="Q49" t="b">
        <v>0</v>
      </c>
      <c r="R49" t="b">
        <v>0</v>
      </c>
      <c r="S49" t="s">
        <v>96</v>
      </c>
      <c r="T49">
        <v>20.73</v>
      </c>
      <c r="U49">
        <v>0</v>
      </c>
      <c r="V49">
        <v>0</v>
      </c>
      <c r="W49">
        <v>2</v>
      </c>
      <c r="X49" s="6">
        <v>46113</v>
      </c>
    </row>
    <row r="50" spans="1:24" x14ac:dyDescent="0.3">
      <c r="A50" t="s">
        <v>1186</v>
      </c>
      <c r="B50" s="6">
        <v>46119</v>
      </c>
      <c r="C50" s="6">
        <v>46120</v>
      </c>
      <c r="D50" s="6">
        <v>46123</v>
      </c>
      <c r="E50" s="6">
        <v>46123</v>
      </c>
      <c r="F50" t="s">
        <v>32</v>
      </c>
      <c r="G50" t="s">
        <v>58</v>
      </c>
      <c r="H50" t="s">
        <v>24</v>
      </c>
      <c r="I50" t="s">
        <v>43</v>
      </c>
      <c r="J50">
        <v>303.5</v>
      </c>
      <c r="K50">
        <v>3813.1</v>
      </c>
      <c r="L50">
        <v>6082000</v>
      </c>
      <c r="M50" t="b">
        <v>0</v>
      </c>
      <c r="N50" t="b">
        <v>0</v>
      </c>
      <c r="O50">
        <v>5000</v>
      </c>
      <c r="P50" t="b">
        <v>0</v>
      </c>
      <c r="Q50" t="b">
        <v>0</v>
      </c>
      <c r="R50" t="b">
        <v>0</v>
      </c>
      <c r="S50" t="s">
        <v>96</v>
      </c>
      <c r="T50">
        <v>76.262</v>
      </c>
      <c r="U50">
        <v>0</v>
      </c>
      <c r="V50">
        <v>0</v>
      </c>
      <c r="W50">
        <v>3</v>
      </c>
      <c r="X50" s="6">
        <v>46113</v>
      </c>
    </row>
    <row r="51" spans="1:24" x14ac:dyDescent="0.3">
      <c r="A51" t="s">
        <v>1185</v>
      </c>
      <c r="B51" s="6">
        <v>46120</v>
      </c>
      <c r="C51" s="6">
        <v>46121</v>
      </c>
      <c r="D51" s="6">
        <v>46125</v>
      </c>
      <c r="E51" s="6">
        <v>46125</v>
      </c>
      <c r="F51" t="s">
        <v>34</v>
      </c>
      <c r="G51" t="s">
        <v>62</v>
      </c>
      <c r="H51" t="s">
        <v>20</v>
      </c>
      <c r="I51" t="s">
        <v>43</v>
      </c>
      <c r="J51">
        <v>763</v>
      </c>
      <c r="K51">
        <v>1807.5</v>
      </c>
      <c r="L51">
        <v>10732000</v>
      </c>
      <c r="M51" t="b">
        <v>0</v>
      </c>
      <c r="N51" t="b">
        <v>0</v>
      </c>
      <c r="O51">
        <v>5000</v>
      </c>
      <c r="P51" t="b">
        <v>0</v>
      </c>
      <c r="Q51" t="b">
        <v>0</v>
      </c>
      <c r="R51" t="b">
        <v>0</v>
      </c>
      <c r="S51" t="s">
        <v>96</v>
      </c>
      <c r="T51">
        <v>36.15</v>
      </c>
      <c r="U51">
        <v>0</v>
      </c>
      <c r="V51">
        <v>0</v>
      </c>
      <c r="W51">
        <v>4</v>
      </c>
      <c r="X51" s="6">
        <v>46113</v>
      </c>
    </row>
    <row r="52" spans="1:24" x14ac:dyDescent="0.3">
      <c r="A52" t="s">
        <v>1179</v>
      </c>
      <c r="B52" s="6">
        <v>46118</v>
      </c>
      <c r="C52" s="6">
        <v>46118</v>
      </c>
      <c r="D52" s="6">
        <v>46120</v>
      </c>
      <c r="E52" s="6">
        <v>46120</v>
      </c>
      <c r="F52" t="s">
        <v>34</v>
      </c>
      <c r="G52" t="s">
        <v>53</v>
      </c>
      <c r="H52" t="s">
        <v>23</v>
      </c>
      <c r="I52" t="s">
        <v>44</v>
      </c>
      <c r="J52">
        <v>298.2</v>
      </c>
      <c r="K52">
        <v>412.6</v>
      </c>
      <c r="L52">
        <v>3396000</v>
      </c>
      <c r="M52" t="b">
        <v>0</v>
      </c>
      <c r="N52" t="b">
        <v>0</v>
      </c>
      <c r="O52">
        <v>1500</v>
      </c>
      <c r="P52" t="b">
        <v>0</v>
      </c>
      <c r="Q52" t="b">
        <v>0</v>
      </c>
      <c r="R52" t="b">
        <v>0</v>
      </c>
      <c r="S52" t="s">
        <v>96</v>
      </c>
      <c r="T52">
        <v>27.506666666666671</v>
      </c>
      <c r="U52">
        <v>0</v>
      </c>
      <c r="V52">
        <v>0</v>
      </c>
      <c r="W52">
        <v>2</v>
      </c>
      <c r="X52" s="6">
        <v>46113</v>
      </c>
    </row>
    <row r="53" spans="1:24" x14ac:dyDescent="0.3">
      <c r="A53" t="s">
        <v>1172</v>
      </c>
      <c r="B53" s="6">
        <v>46140</v>
      </c>
      <c r="C53" s="6">
        <v>46141</v>
      </c>
      <c r="D53" s="6">
        <v>46143</v>
      </c>
      <c r="E53" s="6">
        <v>46143</v>
      </c>
      <c r="F53" t="s">
        <v>34</v>
      </c>
      <c r="G53" t="s">
        <v>58</v>
      </c>
      <c r="H53" t="s">
        <v>22</v>
      </c>
      <c r="I53" t="s">
        <v>43</v>
      </c>
      <c r="J53">
        <v>136.6</v>
      </c>
      <c r="K53">
        <v>3261.2</v>
      </c>
      <c r="L53">
        <v>3608000</v>
      </c>
      <c r="M53" t="b">
        <v>0</v>
      </c>
      <c r="N53" t="b">
        <v>0</v>
      </c>
      <c r="O53">
        <v>5000</v>
      </c>
      <c r="P53" t="b">
        <v>0</v>
      </c>
      <c r="Q53" t="b">
        <v>0</v>
      </c>
      <c r="R53" t="b">
        <v>0</v>
      </c>
      <c r="S53" t="s">
        <v>96</v>
      </c>
      <c r="T53">
        <v>65.22399999999999</v>
      </c>
      <c r="U53">
        <v>0</v>
      </c>
      <c r="V53">
        <v>0</v>
      </c>
      <c r="W53">
        <v>2</v>
      </c>
      <c r="X53" s="6">
        <v>46113</v>
      </c>
    </row>
    <row r="54" spans="1:24" x14ac:dyDescent="0.3">
      <c r="A54" t="s">
        <v>1167</v>
      </c>
      <c r="B54" s="6">
        <v>46137</v>
      </c>
      <c r="C54" s="6">
        <v>46138</v>
      </c>
      <c r="D54" s="6">
        <v>46139</v>
      </c>
      <c r="E54" s="6">
        <v>46138</v>
      </c>
      <c r="F54" t="s">
        <v>34</v>
      </c>
      <c r="G54" t="s">
        <v>61</v>
      </c>
      <c r="H54" t="s">
        <v>21</v>
      </c>
      <c r="I54" t="s">
        <v>44</v>
      </c>
      <c r="J54">
        <v>26.5</v>
      </c>
      <c r="K54">
        <v>1092.8</v>
      </c>
      <c r="L54">
        <v>1039000</v>
      </c>
      <c r="M54" t="b">
        <v>0</v>
      </c>
      <c r="N54" t="b">
        <v>0</v>
      </c>
      <c r="O54">
        <v>1500</v>
      </c>
      <c r="P54" t="b">
        <v>0</v>
      </c>
      <c r="Q54" t="b">
        <v>0</v>
      </c>
      <c r="R54" t="b">
        <v>0</v>
      </c>
      <c r="S54" t="s">
        <v>96</v>
      </c>
      <c r="T54">
        <v>72.853333333333325</v>
      </c>
      <c r="U54">
        <v>0</v>
      </c>
      <c r="V54">
        <v>0</v>
      </c>
      <c r="W54">
        <v>0</v>
      </c>
      <c r="X54" s="6">
        <v>46113</v>
      </c>
    </row>
    <row r="55" spans="1:24" x14ac:dyDescent="0.3">
      <c r="A55" t="s">
        <v>1161</v>
      </c>
      <c r="B55" s="6">
        <v>46123</v>
      </c>
      <c r="C55" s="6">
        <v>46124</v>
      </c>
      <c r="D55" s="6">
        <v>46126</v>
      </c>
      <c r="E55" s="6">
        <v>46126</v>
      </c>
      <c r="F55" t="s">
        <v>32</v>
      </c>
      <c r="G55" t="s">
        <v>59</v>
      </c>
      <c r="H55" t="s">
        <v>23</v>
      </c>
      <c r="I55" t="s">
        <v>43</v>
      </c>
      <c r="J55">
        <v>168.6</v>
      </c>
      <c r="K55">
        <v>1965.6</v>
      </c>
      <c r="L55">
        <v>3370000</v>
      </c>
      <c r="M55" t="b">
        <v>0</v>
      </c>
      <c r="N55" t="b">
        <v>0</v>
      </c>
      <c r="O55">
        <v>5000</v>
      </c>
      <c r="P55" t="b">
        <v>0</v>
      </c>
      <c r="Q55" t="b">
        <v>0</v>
      </c>
      <c r="R55" t="b">
        <v>0</v>
      </c>
      <c r="S55" t="s">
        <v>96</v>
      </c>
      <c r="T55">
        <v>39.311999999999998</v>
      </c>
      <c r="U55">
        <v>0</v>
      </c>
      <c r="V55">
        <v>0</v>
      </c>
      <c r="W55">
        <v>2</v>
      </c>
      <c r="X55" s="6">
        <v>46113</v>
      </c>
    </row>
    <row r="56" spans="1:24" x14ac:dyDescent="0.3">
      <c r="A56" t="s">
        <v>1151</v>
      </c>
      <c r="B56" s="6">
        <v>46133</v>
      </c>
      <c r="C56" s="6">
        <v>46134</v>
      </c>
      <c r="D56" s="6">
        <v>46138</v>
      </c>
      <c r="E56" s="6">
        <v>46138</v>
      </c>
      <c r="F56" t="s">
        <v>31</v>
      </c>
      <c r="G56" t="s">
        <v>62</v>
      </c>
      <c r="H56" t="s">
        <v>22</v>
      </c>
      <c r="I56" t="s">
        <v>43</v>
      </c>
      <c r="J56">
        <v>680.9</v>
      </c>
      <c r="K56">
        <v>3073.5</v>
      </c>
      <c r="L56">
        <v>11188000</v>
      </c>
      <c r="M56" t="b">
        <v>0</v>
      </c>
      <c r="N56" t="b">
        <v>0</v>
      </c>
      <c r="O56">
        <v>5000</v>
      </c>
      <c r="P56" t="b">
        <v>0</v>
      </c>
      <c r="Q56" t="b">
        <v>0</v>
      </c>
      <c r="R56" t="b">
        <v>0</v>
      </c>
      <c r="S56" t="s">
        <v>96</v>
      </c>
      <c r="T56">
        <v>61.47</v>
      </c>
      <c r="U56">
        <v>0</v>
      </c>
      <c r="V56">
        <v>0</v>
      </c>
      <c r="W56">
        <v>4</v>
      </c>
      <c r="X56" s="6">
        <v>46113</v>
      </c>
    </row>
    <row r="57" spans="1:24" x14ac:dyDescent="0.3">
      <c r="A57" t="s">
        <v>1139</v>
      </c>
      <c r="B57" s="6">
        <v>46124</v>
      </c>
      <c r="C57" s="6">
        <v>46125</v>
      </c>
      <c r="D57" s="6">
        <v>46126</v>
      </c>
      <c r="E57" s="6">
        <v>46126</v>
      </c>
      <c r="F57" t="s">
        <v>34</v>
      </c>
      <c r="G57" t="s">
        <v>61</v>
      </c>
      <c r="H57" t="s">
        <v>20</v>
      </c>
      <c r="I57" t="s">
        <v>43</v>
      </c>
      <c r="J57">
        <v>19.5</v>
      </c>
      <c r="K57">
        <v>3876.7</v>
      </c>
      <c r="L57">
        <v>2512000</v>
      </c>
      <c r="M57" t="b">
        <v>0</v>
      </c>
      <c r="N57" t="b">
        <v>0</v>
      </c>
      <c r="O57">
        <v>5000</v>
      </c>
      <c r="P57" t="b">
        <v>0</v>
      </c>
      <c r="Q57" t="b">
        <v>0</v>
      </c>
      <c r="R57" t="b">
        <v>0</v>
      </c>
      <c r="S57" t="s">
        <v>96</v>
      </c>
      <c r="T57">
        <v>77.533999999999992</v>
      </c>
      <c r="U57">
        <v>0</v>
      </c>
      <c r="V57">
        <v>0</v>
      </c>
      <c r="W57">
        <v>1</v>
      </c>
      <c r="X57" s="6">
        <v>46113</v>
      </c>
    </row>
    <row r="58" spans="1:24" x14ac:dyDescent="0.3">
      <c r="A58" t="s">
        <v>1132</v>
      </c>
      <c r="B58" s="6">
        <v>46114</v>
      </c>
      <c r="C58" s="6">
        <v>46115</v>
      </c>
      <c r="D58" s="6">
        <v>46118</v>
      </c>
      <c r="E58" s="6">
        <v>46118</v>
      </c>
      <c r="F58" t="s">
        <v>32</v>
      </c>
      <c r="G58" t="s">
        <v>62</v>
      </c>
      <c r="H58" t="s">
        <v>22</v>
      </c>
      <c r="I58" t="s">
        <v>43</v>
      </c>
      <c r="J58">
        <v>588.1</v>
      </c>
      <c r="K58">
        <v>3325.4</v>
      </c>
      <c r="L58">
        <v>8754000</v>
      </c>
      <c r="M58" t="b">
        <v>0</v>
      </c>
      <c r="N58" t="b">
        <v>0</v>
      </c>
      <c r="O58">
        <v>5000</v>
      </c>
      <c r="P58" t="b">
        <v>0</v>
      </c>
      <c r="Q58" t="b">
        <v>0</v>
      </c>
      <c r="R58" t="b">
        <v>0</v>
      </c>
      <c r="S58" t="s">
        <v>96</v>
      </c>
      <c r="T58">
        <v>66.507999999999996</v>
      </c>
      <c r="U58">
        <v>0</v>
      </c>
      <c r="V58">
        <v>0</v>
      </c>
      <c r="W58">
        <v>3</v>
      </c>
      <c r="X58" s="6">
        <v>46113</v>
      </c>
    </row>
    <row r="59" spans="1:24" x14ac:dyDescent="0.3">
      <c r="A59" t="s">
        <v>1127</v>
      </c>
      <c r="B59" s="6">
        <v>46112</v>
      </c>
      <c r="C59" s="6">
        <v>46113</v>
      </c>
      <c r="D59" s="6">
        <v>46115</v>
      </c>
      <c r="E59" s="6">
        <v>46115</v>
      </c>
      <c r="F59" t="s">
        <v>34</v>
      </c>
      <c r="G59" t="s">
        <v>57</v>
      </c>
      <c r="H59" t="s">
        <v>20</v>
      </c>
      <c r="I59" t="s">
        <v>43</v>
      </c>
      <c r="J59">
        <v>167</v>
      </c>
      <c r="K59">
        <v>3105.6</v>
      </c>
      <c r="L59">
        <v>4252000</v>
      </c>
      <c r="M59" t="b">
        <v>0</v>
      </c>
      <c r="N59" t="b">
        <v>0</v>
      </c>
      <c r="O59">
        <v>5000</v>
      </c>
      <c r="P59" t="b">
        <v>0</v>
      </c>
      <c r="Q59" t="b">
        <v>0</v>
      </c>
      <c r="R59" t="b">
        <v>0</v>
      </c>
      <c r="S59" t="s">
        <v>96</v>
      </c>
      <c r="T59">
        <v>62.112000000000002</v>
      </c>
      <c r="U59">
        <v>0</v>
      </c>
      <c r="V59">
        <v>0</v>
      </c>
      <c r="W59">
        <v>2</v>
      </c>
      <c r="X59" s="6">
        <v>46113</v>
      </c>
    </row>
    <row r="60" spans="1:24" x14ac:dyDescent="0.3">
      <c r="A60" t="s">
        <v>1123</v>
      </c>
      <c r="B60" s="6">
        <v>46138</v>
      </c>
      <c r="C60" s="6">
        <v>46138</v>
      </c>
      <c r="D60" s="6">
        <v>46140</v>
      </c>
      <c r="E60" s="6">
        <v>46140</v>
      </c>
      <c r="F60" t="s">
        <v>32</v>
      </c>
      <c r="G60" t="s">
        <v>59</v>
      </c>
      <c r="H60" t="s">
        <v>20</v>
      </c>
      <c r="I60" t="s">
        <v>44</v>
      </c>
      <c r="J60">
        <v>210.2</v>
      </c>
      <c r="K60">
        <v>965</v>
      </c>
      <c r="L60">
        <v>2839000</v>
      </c>
      <c r="M60" t="b">
        <v>0</v>
      </c>
      <c r="N60" t="b">
        <v>0</v>
      </c>
      <c r="O60">
        <v>1500</v>
      </c>
      <c r="P60" t="b">
        <v>0</v>
      </c>
      <c r="Q60" t="b">
        <v>0</v>
      </c>
      <c r="R60" t="b">
        <v>0</v>
      </c>
      <c r="S60" t="s">
        <v>96</v>
      </c>
      <c r="T60">
        <v>64.333333333333329</v>
      </c>
      <c r="U60">
        <v>0</v>
      </c>
      <c r="V60">
        <v>0</v>
      </c>
      <c r="W60">
        <v>2</v>
      </c>
      <c r="X60" s="6">
        <v>46113</v>
      </c>
    </row>
    <row r="61" spans="1:24" x14ac:dyDescent="0.3">
      <c r="A61" t="s">
        <v>1120</v>
      </c>
      <c r="B61" s="6">
        <v>46126</v>
      </c>
      <c r="C61" s="6">
        <v>46127</v>
      </c>
      <c r="D61" s="6">
        <v>46131</v>
      </c>
      <c r="E61" s="6">
        <v>46131</v>
      </c>
      <c r="F61" t="s">
        <v>32</v>
      </c>
      <c r="G61" t="s">
        <v>56</v>
      </c>
      <c r="H61" t="s">
        <v>22</v>
      </c>
      <c r="I61" t="s">
        <v>44</v>
      </c>
      <c r="J61">
        <v>1083.3</v>
      </c>
      <c r="K61">
        <v>208</v>
      </c>
      <c r="L61">
        <v>10304000</v>
      </c>
      <c r="M61" t="b">
        <v>0</v>
      </c>
      <c r="N61" t="b">
        <v>0</v>
      </c>
      <c r="O61">
        <v>1500</v>
      </c>
      <c r="P61" t="b">
        <v>0</v>
      </c>
      <c r="Q61" t="b">
        <v>0</v>
      </c>
      <c r="R61" t="b">
        <v>0</v>
      </c>
      <c r="S61" t="s">
        <v>96</v>
      </c>
      <c r="T61">
        <v>13.866666666666671</v>
      </c>
      <c r="U61">
        <v>0</v>
      </c>
      <c r="V61">
        <v>0</v>
      </c>
      <c r="W61">
        <v>4</v>
      </c>
      <c r="X61" s="6">
        <v>46113</v>
      </c>
    </row>
    <row r="62" spans="1:24" x14ac:dyDescent="0.3">
      <c r="A62" t="s">
        <v>1103</v>
      </c>
      <c r="B62" s="6">
        <v>46123</v>
      </c>
      <c r="C62" s="6">
        <v>46124</v>
      </c>
      <c r="D62" s="6">
        <v>46126</v>
      </c>
      <c r="E62" s="6">
        <v>46126</v>
      </c>
      <c r="F62" t="s">
        <v>31</v>
      </c>
      <c r="G62" t="s">
        <v>58</v>
      </c>
      <c r="H62" t="s">
        <v>23</v>
      </c>
      <c r="I62" t="s">
        <v>45</v>
      </c>
      <c r="J62">
        <v>179</v>
      </c>
      <c r="K62">
        <v>166.6</v>
      </c>
      <c r="L62">
        <v>2037000</v>
      </c>
      <c r="M62" t="b">
        <v>0</v>
      </c>
      <c r="N62" t="b">
        <v>0</v>
      </c>
      <c r="O62">
        <v>1000</v>
      </c>
      <c r="P62" t="b">
        <v>0</v>
      </c>
      <c r="Q62" t="b">
        <v>0</v>
      </c>
      <c r="R62" t="b">
        <v>0</v>
      </c>
      <c r="S62" t="s">
        <v>96</v>
      </c>
      <c r="T62">
        <v>16.66</v>
      </c>
      <c r="U62">
        <v>0</v>
      </c>
      <c r="V62">
        <v>0</v>
      </c>
      <c r="W62">
        <v>2</v>
      </c>
      <c r="X62" s="6">
        <v>46113</v>
      </c>
    </row>
    <row r="63" spans="1:24" x14ac:dyDescent="0.3">
      <c r="A63" t="s">
        <v>1097</v>
      </c>
      <c r="B63" s="6">
        <v>46115</v>
      </c>
      <c r="C63" s="6">
        <v>46116</v>
      </c>
      <c r="D63" s="6">
        <v>46117</v>
      </c>
      <c r="E63" s="6">
        <v>46117</v>
      </c>
      <c r="F63" t="s">
        <v>34</v>
      </c>
      <c r="G63" t="s">
        <v>61</v>
      </c>
      <c r="H63" t="s">
        <v>20</v>
      </c>
      <c r="I63" t="s">
        <v>45</v>
      </c>
      <c r="J63">
        <v>31.6</v>
      </c>
      <c r="K63">
        <v>656.8</v>
      </c>
      <c r="L63">
        <v>983000</v>
      </c>
      <c r="M63" t="b">
        <v>0</v>
      </c>
      <c r="N63" t="b">
        <v>0</v>
      </c>
      <c r="O63">
        <v>1000</v>
      </c>
      <c r="P63" t="b">
        <v>0</v>
      </c>
      <c r="Q63" t="b">
        <v>0</v>
      </c>
      <c r="R63" t="b">
        <v>0</v>
      </c>
      <c r="S63" t="s">
        <v>96</v>
      </c>
      <c r="T63">
        <v>65.679999999999993</v>
      </c>
      <c r="U63">
        <v>0</v>
      </c>
      <c r="V63">
        <v>0</v>
      </c>
      <c r="W63">
        <v>1</v>
      </c>
      <c r="X63" s="6">
        <v>46113</v>
      </c>
    </row>
    <row r="64" spans="1:24" x14ac:dyDescent="0.3">
      <c r="A64" t="s">
        <v>1092</v>
      </c>
      <c r="B64" s="6">
        <v>46131</v>
      </c>
      <c r="C64" s="6">
        <v>46132</v>
      </c>
      <c r="D64" s="6">
        <v>46136</v>
      </c>
      <c r="E64" s="6">
        <v>46136</v>
      </c>
      <c r="F64" t="s">
        <v>33</v>
      </c>
      <c r="G64" t="s">
        <v>54</v>
      </c>
      <c r="H64" t="s">
        <v>21</v>
      </c>
      <c r="I64" t="s">
        <v>43</v>
      </c>
      <c r="J64">
        <v>913.9</v>
      </c>
      <c r="K64">
        <v>1479.5</v>
      </c>
      <c r="L64">
        <v>12438000</v>
      </c>
      <c r="M64" t="b">
        <v>0</v>
      </c>
      <c r="N64" t="b">
        <v>0</v>
      </c>
      <c r="O64">
        <v>5000</v>
      </c>
      <c r="P64" t="b">
        <v>0</v>
      </c>
      <c r="Q64" t="b">
        <v>0</v>
      </c>
      <c r="R64" t="b">
        <v>0</v>
      </c>
      <c r="S64" t="s">
        <v>96</v>
      </c>
      <c r="T64">
        <v>29.59</v>
      </c>
      <c r="U64">
        <v>0</v>
      </c>
      <c r="V64">
        <v>0</v>
      </c>
      <c r="W64">
        <v>4</v>
      </c>
      <c r="X64" s="6">
        <v>46113</v>
      </c>
    </row>
    <row r="65" spans="1:24" x14ac:dyDescent="0.3">
      <c r="A65" t="s">
        <v>1090</v>
      </c>
      <c r="B65" s="6">
        <v>46112</v>
      </c>
      <c r="C65" s="6">
        <v>46113</v>
      </c>
      <c r="D65" s="6">
        <v>46117</v>
      </c>
      <c r="E65" s="6">
        <v>46116</v>
      </c>
      <c r="F65" t="s">
        <v>32</v>
      </c>
      <c r="G65" t="s">
        <v>58</v>
      </c>
      <c r="H65" t="s">
        <v>23</v>
      </c>
      <c r="I65" t="s">
        <v>44</v>
      </c>
      <c r="J65">
        <v>309.3</v>
      </c>
      <c r="K65">
        <v>845.9</v>
      </c>
      <c r="L65">
        <v>3224000</v>
      </c>
      <c r="M65" t="b">
        <v>0</v>
      </c>
      <c r="N65" t="b">
        <v>0</v>
      </c>
      <c r="O65">
        <v>1500</v>
      </c>
      <c r="P65" t="b">
        <v>0</v>
      </c>
      <c r="Q65" t="b">
        <v>0</v>
      </c>
      <c r="R65" t="b">
        <v>0</v>
      </c>
      <c r="S65" t="s">
        <v>96</v>
      </c>
      <c r="T65">
        <v>56.393333333333331</v>
      </c>
      <c r="U65">
        <v>0</v>
      </c>
      <c r="V65">
        <v>0</v>
      </c>
      <c r="W65">
        <v>3</v>
      </c>
      <c r="X65" s="6">
        <v>46113</v>
      </c>
    </row>
    <row r="66" spans="1:24" x14ac:dyDescent="0.3">
      <c r="A66" t="s">
        <v>1079</v>
      </c>
      <c r="B66" s="6">
        <v>46117</v>
      </c>
      <c r="C66" s="6">
        <v>46118</v>
      </c>
      <c r="D66" s="6">
        <v>46121</v>
      </c>
      <c r="E66" s="6">
        <v>46120</v>
      </c>
      <c r="F66" t="s">
        <v>33</v>
      </c>
      <c r="G66" t="s">
        <v>52</v>
      </c>
      <c r="H66" t="s">
        <v>23</v>
      </c>
      <c r="I66" t="s">
        <v>44</v>
      </c>
      <c r="J66">
        <v>560.79999999999995</v>
      </c>
      <c r="K66">
        <v>915.8</v>
      </c>
      <c r="L66">
        <v>6147000</v>
      </c>
      <c r="M66" t="b">
        <v>0</v>
      </c>
      <c r="N66" t="b">
        <v>0</v>
      </c>
      <c r="O66">
        <v>1500</v>
      </c>
      <c r="P66" t="b">
        <v>0</v>
      </c>
      <c r="Q66" t="b">
        <v>0</v>
      </c>
      <c r="R66" t="b">
        <v>0</v>
      </c>
      <c r="S66" t="s">
        <v>96</v>
      </c>
      <c r="T66">
        <v>61.053333333333327</v>
      </c>
      <c r="U66">
        <v>0</v>
      </c>
      <c r="V66">
        <v>0</v>
      </c>
      <c r="W66">
        <v>2</v>
      </c>
      <c r="X66" s="6">
        <v>46113</v>
      </c>
    </row>
    <row r="67" spans="1:24" x14ac:dyDescent="0.3">
      <c r="A67" t="s">
        <v>1072</v>
      </c>
      <c r="B67" s="6">
        <v>46118</v>
      </c>
      <c r="C67" s="6">
        <v>46119</v>
      </c>
      <c r="D67" s="6">
        <v>46120</v>
      </c>
      <c r="E67" s="6">
        <v>46120</v>
      </c>
      <c r="F67" t="s">
        <v>31</v>
      </c>
      <c r="G67" t="s">
        <v>61</v>
      </c>
      <c r="H67" t="s">
        <v>22</v>
      </c>
      <c r="I67" t="s">
        <v>43</v>
      </c>
      <c r="J67">
        <v>54.8</v>
      </c>
      <c r="K67">
        <v>1238.3</v>
      </c>
      <c r="L67">
        <v>1674000</v>
      </c>
      <c r="M67" t="b">
        <v>0</v>
      </c>
      <c r="N67" t="b">
        <v>0</v>
      </c>
      <c r="O67">
        <v>5000</v>
      </c>
      <c r="P67" t="b">
        <v>0</v>
      </c>
      <c r="Q67" t="b">
        <v>0</v>
      </c>
      <c r="R67" t="b">
        <v>0</v>
      </c>
      <c r="S67" t="s">
        <v>96</v>
      </c>
      <c r="T67">
        <v>24.765999999999998</v>
      </c>
      <c r="U67">
        <v>0</v>
      </c>
      <c r="V67">
        <v>0</v>
      </c>
      <c r="W67">
        <v>1</v>
      </c>
      <c r="X67" s="6">
        <v>46113</v>
      </c>
    </row>
    <row r="68" spans="1:24" x14ac:dyDescent="0.3">
      <c r="A68" t="s">
        <v>1058</v>
      </c>
      <c r="B68" s="6">
        <v>46112</v>
      </c>
      <c r="C68" s="6">
        <v>46113</v>
      </c>
      <c r="D68" s="6">
        <v>46115</v>
      </c>
      <c r="E68" s="6">
        <v>46115</v>
      </c>
      <c r="F68" t="s">
        <v>34</v>
      </c>
      <c r="G68" t="s">
        <v>61</v>
      </c>
      <c r="H68" t="s">
        <v>21</v>
      </c>
      <c r="I68" t="s">
        <v>44</v>
      </c>
      <c r="J68">
        <v>15.5</v>
      </c>
      <c r="K68">
        <v>296.8</v>
      </c>
      <c r="L68">
        <v>745000</v>
      </c>
      <c r="M68" t="b">
        <v>0</v>
      </c>
      <c r="N68" t="b">
        <v>0</v>
      </c>
      <c r="O68">
        <v>1500</v>
      </c>
      <c r="P68" t="b">
        <v>0</v>
      </c>
      <c r="Q68" t="b">
        <v>0</v>
      </c>
      <c r="R68" t="b">
        <v>0</v>
      </c>
      <c r="S68" t="s">
        <v>96</v>
      </c>
      <c r="T68">
        <v>19.786666666666669</v>
      </c>
      <c r="U68">
        <v>0</v>
      </c>
      <c r="V68">
        <v>0</v>
      </c>
      <c r="W68">
        <v>2</v>
      </c>
      <c r="X68" s="6">
        <v>46113</v>
      </c>
    </row>
    <row r="69" spans="1:24" x14ac:dyDescent="0.3">
      <c r="A69" t="s">
        <v>1056</v>
      </c>
      <c r="B69" s="6">
        <v>46137</v>
      </c>
      <c r="C69" s="6">
        <v>46138</v>
      </c>
      <c r="D69" s="6">
        <v>46139</v>
      </c>
      <c r="E69" s="6">
        <v>46139</v>
      </c>
      <c r="F69" t="s">
        <v>34</v>
      </c>
      <c r="G69" t="s">
        <v>61</v>
      </c>
      <c r="H69" t="s">
        <v>24</v>
      </c>
      <c r="I69" t="s">
        <v>44</v>
      </c>
      <c r="J69">
        <v>22.8</v>
      </c>
      <c r="K69">
        <v>931.9</v>
      </c>
      <c r="L69">
        <v>1219000</v>
      </c>
      <c r="M69" t="b">
        <v>0</v>
      </c>
      <c r="N69" t="b">
        <v>0</v>
      </c>
      <c r="O69">
        <v>1500</v>
      </c>
      <c r="P69" t="b">
        <v>0</v>
      </c>
      <c r="Q69" t="b">
        <v>0</v>
      </c>
      <c r="R69" t="b">
        <v>0</v>
      </c>
      <c r="S69" t="s">
        <v>96</v>
      </c>
      <c r="T69">
        <v>62.126666666666672</v>
      </c>
      <c r="U69">
        <v>0</v>
      </c>
      <c r="V69">
        <v>0</v>
      </c>
      <c r="W69">
        <v>1</v>
      </c>
      <c r="X69" s="6">
        <v>46113</v>
      </c>
    </row>
    <row r="70" spans="1:24" x14ac:dyDescent="0.3">
      <c r="A70" t="s">
        <v>1021</v>
      </c>
      <c r="B70" s="6">
        <v>46123</v>
      </c>
      <c r="C70" s="6">
        <v>46124</v>
      </c>
      <c r="D70" s="6">
        <v>46127</v>
      </c>
      <c r="E70" s="6">
        <v>46127</v>
      </c>
      <c r="F70" t="s">
        <v>32</v>
      </c>
      <c r="G70" t="s">
        <v>52</v>
      </c>
      <c r="H70" t="s">
        <v>24</v>
      </c>
      <c r="I70" t="s">
        <v>45</v>
      </c>
      <c r="J70">
        <v>328</v>
      </c>
      <c r="K70">
        <v>592.6</v>
      </c>
      <c r="L70">
        <v>3389000</v>
      </c>
      <c r="M70" t="b">
        <v>0</v>
      </c>
      <c r="N70" t="b">
        <v>0</v>
      </c>
      <c r="O70">
        <v>1000</v>
      </c>
      <c r="P70" t="b">
        <v>0</v>
      </c>
      <c r="Q70" t="b">
        <v>0</v>
      </c>
      <c r="R70" t="b">
        <v>0</v>
      </c>
      <c r="S70" t="s">
        <v>96</v>
      </c>
      <c r="T70">
        <v>59.260000000000012</v>
      </c>
      <c r="U70">
        <v>0</v>
      </c>
      <c r="V70">
        <v>0</v>
      </c>
      <c r="W70">
        <v>3</v>
      </c>
      <c r="X70" s="6">
        <v>46113</v>
      </c>
    </row>
    <row r="71" spans="1:24" x14ac:dyDescent="0.3">
      <c r="A71" t="s">
        <v>1018</v>
      </c>
      <c r="B71" s="6">
        <v>46112</v>
      </c>
      <c r="C71" s="6">
        <v>46113</v>
      </c>
      <c r="D71" s="6">
        <v>46116</v>
      </c>
      <c r="E71" s="6">
        <v>46116</v>
      </c>
      <c r="F71" t="s">
        <v>34</v>
      </c>
      <c r="G71" t="s">
        <v>58</v>
      </c>
      <c r="H71" t="s">
        <v>20</v>
      </c>
      <c r="I71" t="s">
        <v>42</v>
      </c>
      <c r="J71">
        <v>151.5</v>
      </c>
      <c r="K71">
        <v>14626.4</v>
      </c>
      <c r="L71">
        <v>7322000</v>
      </c>
      <c r="M71" t="b">
        <v>0</v>
      </c>
      <c r="N71" t="b">
        <v>0</v>
      </c>
      <c r="O71">
        <v>16000</v>
      </c>
      <c r="P71" t="b">
        <v>0</v>
      </c>
      <c r="Q71" t="b">
        <v>0</v>
      </c>
      <c r="R71" t="b">
        <v>0</v>
      </c>
      <c r="S71" t="s">
        <v>96</v>
      </c>
      <c r="T71">
        <v>91.415000000000006</v>
      </c>
      <c r="U71">
        <v>0</v>
      </c>
      <c r="V71">
        <v>0</v>
      </c>
      <c r="W71">
        <v>3</v>
      </c>
      <c r="X71" s="6">
        <v>46113</v>
      </c>
    </row>
    <row r="72" spans="1:24" x14ac:dyDescent="0.3">
      <c r="A72" t="s">
        <v>1008</v>
      </c>
      <c r="B72" s="6">
        <v>46131</v>
      </c>
      <c r="C72" s="6">
        <v>46131</v>
      </c>
      <c r="D72" s="6">
        <v>46134</v>
      </c>
      <c r="E72" s="6">
        <v>46134</v>
      </c>
      <c r="F72" t="s">
        <v>33</v>
      </c>
      <c r="G72" t="s">
        <v>53</v>
      </c>
      <c r="H72" t="s">
        <v>22</v>
      </c>
      <c r="I72" t="s">
        <v>42</v>
      </c>
      <c r="J72">
        <v>492.2</v>
      </c>
      <c r="K72">
        <v>6694.5</v>
      </c>
      <c r="L72">
        <v>11455000</v>
      </c>
      <c r="M72" t="b">
        <v>0</v>
      </c>
      <c r="N72" t="b">
        <v>0</v>
      </c>
      <c r="O72">
        <v>16000</v>
      </c>
      <c r="P72" t="b">
        <v>0</v>
      </c>
      <c r="Q72" t="b">
        <v>0</v>
      </c>
      <c r="R72" t="b">
        <v>0</v>
      </c>
      <c r="S72" t="s">
        <v>96</v>
      </c>
      <c r="T72">
        <v>41.840625000000003</v>
      </c>
      <c r="U72">
        <v>0</v>
      </c>
      <c r="V72">
        <v>0</v>
      </c>
      <c r="W72">
        <v>3</v>
      </c>
      <c r="X72" s="6">
        <v>46113</v>
      </c>
    </row>
    <row r="73" spans="1:24" x14ac:dyDescent="0.3">
      <c r="A73" t="s">
        <v>1006</v>
      </c>
      <c r="B73" s="6">
        <v>46125</v>
      </c>
      <c r="C73" s="6">
        <v>46126</v>
      </c>
      <c r="D73" s="6">
        <v>46130</v>
      </c>
      <c r="E73" s="6">
        <v>46130</v>
      </c>
      <c r="F73" t="s">
        <v>33</v>
      </c>
      <c r="G73" t="s">
        <v>58</v>
      </c>
      <c r="H73" t="s">
        <v>22</v>
      </c>
      <c r="I73" t="s">
        <v>45</v>
      </c>
      <c r="J73">
        <v>681.5</v>
      </c>
      <c r="K73">
        <v>126.4</v>
      </c>
      <c r="L73">
        <v>6907000</v>
      </c>
      <c r="M73" t="b">
        <v>0</v>
      </c>
      <c r="N73" t="b">
        <v>0</v>
      </c>
      <c r="O73">
        <v>1000</v>
      </c>
      <c r="P73" t="b">
        <v>0</v>
      </c>
      <c r="Q73" t="b">
        <v>0</v>
      </c>
      <c r="R73" t="b">
        <v>0</v>
      </c>
      <c r="S73" t="s">
        <v>96</v>
      </c>
      <c r="T73">
        <v>12.64</v>
      </c>
      <c r="U73">
        <v>0</v>
      </c>
      <c r="V73">
        <v>0</v>
      </c>
      <c r="W73">
        <v>4</v>
      </c>
      <c r="X73" s="6">
        <v>46113</v>
      </c>
    </row>
    <row r="74" spans="1:24" x14ac:dyDescent="0.3">
      <c r="A74" t="s">
        <v>984</v>
      </c>
      <c r="B74" s="6">
        <v>46140</v>
      </c>
      <c r="C74" s="6">
        <v>46140</v>
      </c>
      <c r="D74" s="6">
        <v>46143</v>
      </c>
      <c r="E74" s="6">
        <v>46143</v>
      </c>
      <c r="F74" t="s">
        <v>33</v>
      </c>
      <c r="G74" t="s">
        <v>57</v>
      </c>
      <c r="H74" t="s">
        <v>23</v>
      </c>
      <c r="I74" t="s">
        <v>43</v>
      </c>
      <c r="J74">
        <v>458.1</v>
      </c>
      <c r="K74">
        <v>4366.6000000000004</v>
      </c>
      <c r="L74">
        <v>8843000</v>
      </c>
      <c r="M74" t="b">
        <v>0</v>
      </c>
      <c r="N74" t="b">
        <v>0</v>
      </c>
      <c r="O74">
        <v>5000</v>
      </c>
      <c r="P74" t="b">
        <v>0</v>
      </c>
      <c r="Q74" t="b">
        <v>0</v>
      </c>
      <c r="R74" t="b">
        <v>0</v>
      </c>
      <c r="S74" t="s">
        <v>96</v>
      </c>
      <c r="T74">
        <v>87.332000000000008</v>
      </c>
      <c r="U74">
        <v>0</v>
      </c>
      <c r="V74">
        <v>0</v>
      </c>
      <c r="W74">
        <v>3</v>
      </c>
      <c r="X74" s="6">
        <v>46113</v>
      </c>
    </row>
    <row r="75" spans="1:24" x14ac:dyDescent="0.3">
      <c r="A75" t="s">
        <v>982</v>
      </c>
      <c r="B75" s="6">
        <v>46124</v>
      </c>
      <c r="C75" s="6">
        <v>46125</v>
      </c>
      <c r="D75" s="6">
        <v>46128</v>
      </c>
      <c r="E75" s="6">
        <v>46128</v>
      </c>
      <c r="F75" t="s">
        <v>34</v>
      </c>
      <c r="G75" t="s">
        <v>52</v>
      </c>
      <c r="H75" t="s">
        <v>21</v>
      </c>
      <c r="I75" t="s">
        <v>43</v>
      </c>
      <c r="J75">
        <v>273.89999999999998</v>
      </c>
      <c r="K75">
        <v>2778.2</v>
      </c>
      <c r="L75">
        <v>6001000</v>
      </c>
      <c r="M75" t="b">
        <v>0</v>
      </c>
      <c r="N75" t="b">
        <v>0</v>
      </c>
      <c r="O75">
        <v>5000</v>
      </c>
      <c r="P75" t="b">
        <v>0</v>
      </c>
      <c r="Q75" t="b">
        <v>0</v>
      </c>
      <c r="R75" t="b">
        <v>0</v>
      </c>
      <c r="S75" t="s">
        <v>96</v>
      </c>
      <c r="T75">
        <v>55.563999999999993</v>
      </c>
      <c r="U75">
        <v>0</v>
      </c>
      <c r="V75">
        <v>0</v>
      </c>
      <c r="W75">
        <v>3</v>
      </c>
      <c r="X75" s="6">
        <v>46113</v>
      </c>
    </row>
    <row r="76" spans="1:24" x14ac:dyDescent="0.3">
      <c r="A76" t="s">
        <v>978</v>
      </c>
      <c r="B76" s="6">
        <v>46134</v>
      </c>
      <c r="C76" s="6">
        <v>46135</v>
      </c>
      <c r="D76" s="6">
        <v>46138</v>
      </c>
      <c r="E76" s="6">
        <v>46138</v>
      </c>
      <c r="F76" t="s">
        <v>32</v>
      </c>
      <c r="G76" t="s">
        <v>58</v>
      </c>
      <c r="H76" t="s">
        <v>23</v>
      </c>
      <c r="I76" t="s">
        <v>43</v>
      </c>
      <c r="J76">
        <v>288.7</v>
      </c>
      <c r="K76">
        <v>1049.9000000000001</v>
      </c>
      <c r="L76">
        <v>4889000</v>
      </c>
      <c r="M76" t="b">
        <v>0</v>
      </c>
      <c r="N76" t="b">
        <v>0</v>
      </c>
      <c r="O76">
        <v>5000</v>
      </c>
      <c r="P76" t="b">
        <v>0</v>
      </c>
      <c r="Q76" t="b">
        <v>0</v>
      </c>
      <c r="R76" t="b">
        <v>0</v>
      </c>
      <c r="S76" t="s">
        <v>96</v>
      </c>
      <c r="T76">
        <v>20.998000000000001</v>
      </c>
      <c r="U76">
        <v>0</v>
      </c>
      <c r="V76">
        <v>0</v>
      </c>
      <c r="W76">
        <v>3</v>
      </c>
      <c r="X76" s="6">
        <v>46113</v>
      </c>
    </row>
    <row r="77" spans="1:24" x14ac:dyDescent="0.3">
      <c r="A77" t="s">
        <v>961</v>
      </c>
      <c r="B77" s="6">
        <v>46114</v>
      </c>
      <c r="C77" s="6">
        <v>46115</v>
      </c>
      <c r="D77" s="6">
        <v>46117</v>
      </c>
      <c r="E77" s="6">
        <v>46117</v>
      </c>
      <c r="F77" t="s">
        <v>34</v>
      </c>
      <c r="G77" t="s">
        <v>57</v>
      </c>
      <c r="H77" t="s">
        <v>20</v>
      </c>
      <c r="I77" t="s">
        <v>42</v>
      </c>
      <c r="J77">
        <v>169.2</v>
      </c>
      <c r="K77">
        <v>3688.2</v>
      </c>
      <c r="L77">
        <v>4789000</v>
      </c>
      <c r="M77" t="b">
        <v>0</v>
      </c>
      <c r="N77" t="b">
        <v>0</v>
      </c>
      <c r="O77">
        <v>16000</v>
      </c>
      <c r="P77" t="b">
        <v>0</v>
      </c>
      <c r="Q77" t="b">
        <v>0</v>
      </c>
      <c r="R77" t="b">
        <v>0</v>
      </c>
      <c r="S77" t="s">
        <v>96</v>
      </c>
      <c r="T77">
        <v>23.05125</v>
      </c>
      <c r="U77">
        <v>0</v>
      </c>
      <c r="V77">
        <v>0</v>
      </c>
      <c r="W77">
        <v>2</v>
      </c>
      <c r="X77" s="6">
        <v>46113</v>
      </c>
    </row>
    <row r="78" spans="1:24" x14ac:dyDescent="0.3">
      <c r="A78" t="s">
        <v>181</v>
      </c>
      <c r="B78" s="6">
        <v>46123</v>
      </c>
      <c r="C78" s="6">
        <v>46124</v>
      </c>
      <c r="D78" s="6">
        <v>46127</v>
      </c>
      <c r="E78" s="6">
        <v>46127</v>
      </c>
      <c r="F78" t="s">
        <v>34</v>
      </c>
      <c r="G78" t="s">
        <v>58</v>
      </c>
      <c r="H78" t="s">
        <v>20</v>
      </c>
      <c r="I78" t="s">
        <v>42</v>
      </c>
      <c r="J78">
        <v>155</v>
      </c>
      <c r="K78">
        <v>10389.299999999999</v>
      </c>
      <c r="L78">
        <v>6722000</v>
      </c>
      <c r="M78" t="b">
        <v>0</v>
      </c>
      <c r="N78" t="b">
        <v>0</v>
      </c>
      <c r="O78">
        <v>16000</v>
      </c>
      <c r="P78" t="b">
        <v>0</v>
      </c>
      <c r="Q78" t="b">
        <v>0</v>
      </c>
      <c r="R78" t="b">
        <v>0</v>
      </c>
      <c r="S78" t="s">
        <v>96</v>
      </c>
      <c r="T78">
        <v>64.93312499999999</v>
      </c>
      <c r="U78">
        <v>0</v>
      </c>
      <c r="V78">
        <v>0</v>
      </c>
      <c r="W78">
        <v>3</v>
      </c>
      <c r="X78" s="6">
        <v>46113</v>
      </c>
    </row>
    <row r="79" spans="1:24" x14ac:dyDescent="0.3">
      <c r="A79" t="s">
        <v>949</v>
      </c>
      <c r="B79" s="6">
        <v>46123</v>
      </c>
      <c r="C79" s="6">
        <v>46124</v>
      </c>
      <c r="D79" s="6">
        <v>46126</v>
      </c>
      <c r="E79" s="6">
        <v>46126</v>
      </c>
      <c r="F79" t="s">
        <v>34</v>
      </c>
      <c r="G79" t="s">
        <v>58</v>
      </c>
      <c r="H79" t="s">
        <v>20</v>
      </c>
      <c r="I79" t="s">
        <v>43</v>
      </c>
      <c r="J79">
        <v>133.69999999999999</v>
      </c>
      <c r="K79">
        <v>2481.5</v>
      </c>
      <c r="L79">
        <v>3549000</v>
      </c>
      <c r="M79" t="b">
        <v>0</v>
      </c>
      <c r="N79" t="b">
        <v>0</v>
      </c>
      <c r="O79">
        <v>5000</v>
      </c>
      <c r="P79" t="b">
        <v>0</v>
      </c>
      <c r="Q79" t="b">
        <v>0</v>
      </c>
      <c r="R79" t="b">
        <v>0</v>
      </c>
      <c r="S79" t="s">
        <v>96</v>
      </c>
      <c r="T79">
        <v>49.63</v>
      </c>
      <c r="U79">
        <v>0</v>
      </c>
      <c r="V79">
        <v>0</v>
      </c>
      <c r="W79">
        <v>2</v>
      </c>
      <c r="X79" s="6">
        <v>46113</v>
      </c>
    </row>
    <row r="80" spans="1:24" x14ac:dyDescent="0.3">
      <c r="A80" t="s">
        <v>945</v>
      </c>
      <c r="B80" s="6">
        <v>46128</v>
      </c>
      <c r="C80" s="6">
        <v>46129</v>
      </c>
      <c r="D80" s="6">
        <v>46133</v>
      </c>
      <c r="E80" s="6">
        <v>46133</v>
      </c>
      <c r="F80" t="s">
        <v>34</v>
      </c>
      <c r="G80" t="s">
        <v>62</v>
      </c>
      <c r="H80" t="s">
        <v>23</v>
      </c>
      <c r="I80" t="s">
        <v>45</v>
      </c>
      <c r="J80">
        <v>845</v>
      </c>
      <c r="K80">
        <v>228.5</v>
      </c>
      <c r="L80">
        <v>8556000</v>
      </c>
      <c r="M80" t="b">
        <v>0</v>
      </c>
      <c r="N80" t="b">
        <v>0</v>
      </c>
      <c r="O80">
        <v>1000</v>
      </c>
      <c r="P80" t="b">
        <v>0</v>
      </c>
      <c r="Q80" t="b">
        <v>0</v>
      </c>
      <c r="R80" t="b">
        <v>0</v>
      </c>
      <c r="S80" t="s">
        <v>96</v>
      </c>
      <c r="T80">
        <v>22.85</v>
      </c>
      <c r="U80">
        <v>0</v>
      </c>
      <c r="V80">
        <v>0</v>
      </c>
      <c r="W80">
        <v>4</v>
      </c>
      <c r="X80" s="6">
        <v>46113</v>
      </c>
    </row>
    <row r="81" spans="1:24" x14ac:dyDescent="0.3">
      <c r="A81" t="s">
        <v>184</v>
      </c>
      <c r="B81" s="6">
        <v>46120</v>
      </c>
      <c r="C81" s="6">
        <v>46120</v>
      </c>
      <c r="D81" s="6">
        <v>46123</v>
      </c>
      <c r="E81" s="6">
        <v>46123</v>
      </c>
      <c r="F81" t="s">
        <v>32</v>
      </c>
      <c r="G81" t="s">
        <v>60</v>
      </c>
      <c r="H81" t="s">
        <v>23</v>
      </c>
      <c r="I81" t="s">
        <v>44</v>
      </c>
      <c r="J81">
        <v>441.6</v>
      </c>
      <c r="K81">
        <v>1016.7</v>
      </c>
      <c r="L81">
        <v>5731000</v>
      </c>
      <c r="M81" t="b">
        <v>0</v>
      </c>
      <c r="N81" t="b">
        <v>0</v>
      </c>
      <c r="O81">
        <v>1500</v>
      </c>
      <c r="P81" t="b">
        <v>0</v>
      </c>
      <c r="Q81" t="b">
        <v>0</v>
      </c>
      <c r="R81" t="b">
        <v>0</v>
      </c>
      <c r="S81" t="s">
        <v>96</v>
      </c>
      <c r="T81">
        <v>67.78</v>
      </c>
      <c r="U81">
        <v>0</v>
      </c>
      <c r="V81">
        <v>0</v>
      </c>
      <c r="W81">
        <v>3</v>
      </c>
      <c r="X81" s="6">
        <v>46113</v>
      </c>
    </row>
    <row r="82" spans="1:24" x14ac:dyDescent="0.3">
      <c r="A82" t="s">
        <v>937</v>
      </c>
      <c r="B82" s="6">
        <v>46129</v>
      </c>
      <c r="C82" s="6">
        <v>46130</v>
      </c>
      <c r="D82" s="6">
        <v>46134</v>
      </c>
      <c r="E82" s="6">
        <v>46134</v>
      </c>
      <c r="F82" t="s">
        <v>34</v>
      </c>
      <c r="G82" t="s">
        <v>56</v>
      </c>
      <c r="H82" t="s">
        <v>20</v>
      </c>
      <c r="I82" t="s">
        <v>44</v>
      </c>
      <c r="J82">
        <v>897.3</v>
      </c>
      <c r="K82">
        <v>493.8</v>
      </c>
      <c r="L82">
        <v>10042000</v>
      </c>
      <c r="M82" t="b">
        <v>0</v>
      </c>
      <c r="N82" t="b">
        <v>0</v>
      </c>
      <c r="O82">
        <v>1500</v>
      </c>
      <c r="P82" t="b">
        <v>0</v>
      </c>
      <c r="Q82" t="b">
        <v>0</v>
      </c>
      <c r="R82" t="b">
        <v>0</v>
      </c>
      <c r="S82" t="s">
        <v>96</v>
      </c>
      <c r="T82">
        <v>32.92</v>
      </c>
      <c r="U82">
        <v>0</v>
      </c>
      <c r="V82">
        <v>0</v>
      </c>
      <c r="W82">
        <v>4</v>
      </c>
      <c r="X82" s="6">
        <v>46113</v>
      </c>
    </row>
    <row r="83" spans="1:24" x14ac:dyDescent="0.3">
      <c r="A83" t="s">
        <v>929</v>
      </c>
      <c r="B83" s="6">
        <v>46140</v>
      </c>
      <c r="C83" s="6">
        <v>46142</v>
      </c>
      <c r="D83" s="6">
        <v>46144</v>
      </c>
      <c r="E83" s="6">
        <v>46144</v>
      </c>
      <c r="F83" t="s">
        <v>34</v>
      </c>
      <c r="G83" t="s">
        <v>58</v>
      </c>
      <c r="H83" t="s">
        <v>20</v>
      </c>
      <c r="I83" t="s">
        <v>43</v>
      </c>
      <c r="J83">
        <v>145.5</v>
      </c>
      <c r="K83">
        <v>591</v>
      </c>
      <c r="L83">
        <v>2584000</v>
      </c>
      <c r="M83" t="b">
        <v>0</v>
      </c>
      <c r="N83" t="b">
        <v>0</v>
      </c>
      <c r="O83">
        <v>5000</v>
      </c>
      <c r="P83" t="b">
        <v>0</v>
      </c>
      <c r="Q83" t="b">
        <v>0</v>
      </c>
      <c r="R83" t="b">
        <v>0</v>
      </c>
      <c r="S83" t="s">
        <v>96</v>
      </c>
      <c r="T83">
        <v>11.82</v>
      </c>
      <c r="U83">
        <v>0</v>
      </c>
      <c r="V83">
        <v>0</v>
      </c>
      <c r="W83">
        <v>2</v>
      </c>
      <c r="X83" s="6">
        <v>46113</v>
      </c>
    </row>
    <row r="84" spans="1:24" x14ac:dyDescent="0.3">
      <c r="A84" t="s">
        <v>891</v>
      </c>
      <c r="B84" s="6">
        <v>46140</v>
      </c>
      <c r="C84" s="6">
        <v>46140</v>
      </c>
      <c r="D84" s="6">
        <v>46142</v>
      </c>
      <c r="E84" s="6">
        <v>46142</v>
      </c>
      <c r="F84" t="s">
        <v>34</v>
      </c>
      <c r="G84" t="s">
        <v>59</v>
      </c>
      <c r="H84" t="s">
        <v>20</v>
      </c>
      <c r="I84" t="s">
        <v>43</v>
      </c>
      <c r="J84">
        <v>296.89999999999998</v>
      </c>
      <c r="K84">
        <v>2567.1</v>
      </c>
      <c r="L84">
        <v>4793000</v>
      </c>
      <c r="M84" t="b">
        <v>0</v>
      </c>
      <c r="N84" t="b">
        <v>0</v>
      </c>
      <c r="O84">
        <v>5000</v>
      </c>
      <c r="P84" t="b">
        <v>0</v>
      </c>
      <c r="Q84" t="b">
        <v>0</v>
      </c>
      <c r="R84" t="b">
        <v>0</v>
      </c>
      <c r="S84" t="s">
        <v>96</v>
      </c>
      <c r="T84">
        <v>51.341999999999999</v>
      </c>
      <c r="U84">
        <v>0</v>
      </c>
      <c r="V84">
        <v>0</v>
      </c>
      <c r="W84">
        <v>2</v>
      </c>
      <c r="X84" s="6">
        <v>46113</v>
      </c>
    </row>
    <row r="85" spans="1:24" x14ac:dyDescent="0.3">
      <c r="A85" t="s">
        <v>889</v>
      </c>
      <c r="B85" s="6">
        <v>46113</v>
      </c>
      <c r="C85" s="6">
        <v>46114</v>
      </c>
      <c r="D85" s="6">
        <v>46117</v>
      </c>
      <c r="E85" s="6">
        <v>46117</v>
      </c>
      <c r="F85" t="s">
        <v>33</v>
      </c>
      <c r="G85" t="s">
        <v>53</v>
      </c>
      <c r="H85" t="s">
        <v>22</v>
      </c>
      <c r="I85" t="s">
        <v>43</v>
      </c>
      <c r="J85">
        <v>557.1</v>
      </c>
      <c r="K85">
        <v>3319.7</v>
      </c>
      <c r="L85">
        <v>7927000</v>
      </c>
      <c r="M85" t="b">
        <v>0</v>
      </c>
      <c r="N85" t="b">
        <v>0</v>
      </c>
      <c r="O85">
        <v>5000</v>
      </c>
      <c r="P85" t="b">
        <v>0</v>
      </c>
      <c r="Q85" t="b">
        <v>0</v>
      </c>
      <c r="R85" t="b">
        <v>0</v>
      </c>
      <c r="S85" t="s">
        <v>96</v>
      </c>
      <c r="T85">
        <v>66.393999999999991</v>
      </c>
      <c r="U85">
        <v>0</v>
      </c>
      <c r="V85">
        <v>0</v>
      </c>
      <c r="W85">
        <v>3</v>
      </c>
      <c r="X85" s="6">
        <v>46113</v>
      </c>
    </row>
    <row r="86" spans="1:24" x14ac:dyDescent="0.3">
      <c r="A86" t="s">
        <v>886</v>
      </c>
      <c r="B86" s="6">
        <v>46112</v>
      </c>
      <c r="C86" s="6">
        <v>46113</v>
      </c>
      <c r="D86" s="6">
        <v>46115</v>
      </c>
      <c r="E86" s="6">
        <v>46115</v>
      </c>
      <c r="F86" t="s">
        <v>32</v>
      </c>
      <c r="G86" t="s">
        <v>61</v>
      </c>
      <c r="H86" t="s">
        <v>21</v>
      </c>
      <c r="I86" t="s">
        <v>42</v>
      </c>
      <c r="J86">
        <v>167.1</v>
      </c>
      <c r="K86">
        <v>10254.700000000001</v>
      </c>
      <c r="L86">
        <v>5684000</v>
      </c>
      <c r="M86" t="b">
        <v>0</v>
      </c>
      <c r="N86" t="b">
        <v>0</v>
      </c>
      <c r="O86">
        <v>16000</v>
      </c>
      <c r="P86" t="b">
        <v>0</v>
      </c>
      <c r="Q86" t="b">
        <v>0</v>
      </c>
      <c r="R86" t="b">
        <v>0</v>
      </c>
      <c r="S86" t="s">
        <v>96</v>
      </c>
      <c r="T86">
        <v>64.091875000000016</v>
      </c>
      <c r="U86">
        <v>0</v>
      </c>
      <c r="V86">
        <v>0</v>
      </c>
      <c r="W86">
        <v>2</v>
      </c>
      <c r="X86" s="6">
        <v>46113</v>
      </c>
    </row>
    <row r="87" spans="1:24" x14ac:dyDescent="0.3">
      <c r="A87" t="s">
        <v>883</v>
      </c>
      <c r="B87" s="6">
        <v>46125</v>
      </c>
      <c r="C87" s="6">
        <v>46126</v>
      </c>
      <c r="D87" s="6">
        <v>46130</v>
      </c>
      <c r="E87" s="6">
        <v>46129</v>
      </c>
      <c r="F87" t="s">
        <v>33</v>
      </c>
      <c r="G87" t="s">
        <v>54</v>
      </c>
      <c r="H87" t="s">
        <v>20</v>
      </c>
      <c r="I87" t="s">
        <v>45</v>
      </c>
      <c r="J87">
        <v>983.2</v>
      </c>
      <c r="K87">
        <v>480.1</v>
      </c>
      <c r="L87">
        <v>8542000</v>
      </c>
      <c r="M87" t="b">
        <v>0</v>
      </c>
      <c r="N87" t="b">
        <v>0</v>
      </c>
      <c r="O87">
        <v>1000</v>
      </c>
      <c r="P87" t="b">
        <v>0</v>
      </c>
      <c r="Q87" t="b">
        <v>0</v>
      </c>
      <c r="R87" t="b">
        <v>0</v>
      </c>
      <c r="S87" t="s">
        <v>96</v>
      </c>
      <c r="T87">
        <v>48.010000000000012</v>
      </c>
      <c r="U87">
        <v>0</v>
      </c>
      <c r="V87">
        <v>0</v>
      </c>
      <c r="W87">
        <v>3</v>
      </c>
      <c r="X87" s="6">
        <v>46113</v>
      </c>
    </row>
    <row r="88" spans="1:24" x14ac:dyDescent="0.3">
      <c r="A88" t="s">
        <v>881</v>
      </c>
      <c r="B88" s="6">
        <v>46129</v>
      </c>
      <c r="C88" s="6">
        <v>46130</v>
      </c>
      <c r="D88" s="6">
        <v>46133</v>
      </c>
      <c r="E88" s="6">
        <v>46133</v>
      </c>
      <c r="F88" t="s">
        <v>32</v>
      </c>
      <c r="G88" t="s">
        <v>58</v>
      </c>
      <c r="H88" t="s">
        <v>20</v>
      </c>
      <c r="I88" t="s">
        <v>43</v>
      </c>
      <c r="J88">
        <v>297.10000000000002</v>
      </c>
      <c r="K88">
        <v>3339.6</v>
      </c>
      <c r="L88">
        <v>5658000</v>
      </c>
      <c r="M88" t="b">
        <v>0</v>
      </c>
      <c r="N88" t="b">
        <v>0</v>
      </c>
      <c r="O88">
        <v>5000</v>
      </c>
      <c r="P88" t="b">
        <v>0</v>
      </c>
      <c r="Q88" t="b">
        <v>0</v>
      </c>
      <c r="R88" t="b">
        <v>0</v>
      </c>
      <c r="S88" t="s">
        <v>96</v>
      </c>
      <c r="T88">
        <v>66.792000000000002</v>
      </c>
      <c r="U88">
        <v>0</v>
      </c>
      <c r="V88">
        <v>0</v>
      </c>
      <c r="W88">
        <v>3</v>
      </c>
      <c r="X88" s="6">
        <v>46113</v>
      </c>
    </row>
    <row r="89" spans="1:24" x14ac:dyDescent="0.3">
      <c r="A89" t="s">
        <v>878</v>
      </c>
      <c r="B89" s="6">
        <v>46137</v>
      </c>
      <c r="C89" s="6">
        <v>46138</v>
      </c>
      <c r="D89" s="6">
        <v>46141</v>
      </c>
      <c r="E89" s="6">
        <v>46141</v>
      </c>
      <c r="F89" t="s">
        <v>32</v>
      </c>
      <c r="G89" t="s">
        <v>60</v>
      </c>
      <c r="H89" t="s">
        <v>20</v>
      </c>
      <c r="I89" t="s">
        <v>44</v>
      </c>
      <c r="J89">
        <v>462.9</v>
      </c>
      <c r="K89">
        <v>731.7</v>
      </c>
      <c r="L89">
        <v>5370000</v>
      </c>
      <c r="M89" t="b">
        <v>0</v>
      </c>
      <c r="N89" t="b">
        <v>0</v>
      </c>
      <c r="O89">
        <v>1500</v>
      </c>
      <c r="P89" t="b">
        <v>0</v>
      </c>
      <c r="Q89" t="b">
        <v>0</v>
      </c>
      <c r="R89" t="b">
        <v>0</v>
      </c>
      <c r="S89" t="s">
        <v>96</v>
      </c>
      <c r="T89">
        <v>48.78</v>
      </c>
      <c r="U89">
        <v>0</v>
      </c>
      <c r="V89">
        <v>0</v>
      </c>
      <c r="W89">
        <v>3</v>
      </c>
      <c r="X89" s="6">
        <v>46113</v>
      </c>
    </row>
    <row r="90" spans="1:24" x14ac:dyDescent="0.3">
      <c r="A90" t="s">
        <v>193</v>
      </c>
      <c r="B90" s="6">
        <v>46123</v>
      </c>
      <c r="C90" s="6">
        <v>46124</v>
      </c>
      <c r="D90" s="6">
        <v>46126</v>
      </c>
      <c r="E90" s="6">
        <v>46125</v>
      </c>
      <c r="F90" t="s">
        <v>31</v>
      </c>
      <c r="G90" t="s">
        <v>63</v>
      </c>
      <c r="H90" t="s">
        <v>21</v>
      </c>
      <c r="I90" t="s">
        <v>43</v>
      </c>
      <c r="J90">
        <v>295.2</v>
      </c>
      <c r="K90">
        <v>3261.4</v>
      </c>
      <c r="L90">
        <v>5436000</v>
      </c>
      <c r="M90" t="b">
        <v>0</v>
      </c>
      <c r="N90" t="b">
        <v>0</v>
      </c>
      <c r="O90">
        <v>5000</v>
      </c>
      <c r="P90" t="b">
        <v>0</v>
      </c>
      <c r="Q90" t="b">
        <v>0</v>
      </c>
      <c r="R90" t="b">
        <v>0</v>
      </c>
      <c r="S90" t="s">
        <v>96</v>
      </c>
      <c r="T90">
        <v>65.227999999999994</v>
      </c>
      <c r="U90">
        <v>0</v>
      </c>
      <c r="V90">
        <v>0</v>
      </c>
      <c r="W90">
        <v>1</v>
      </c>
      <c r="X90" s="6">
        <v>46113</v>
      </c>
    </row>
    <row r="91" spans="1:24" x14ac:dyDescent="0.3">
      <c r="A91" t="s">
        <v>194</v>
      </c>
      <c r="B91" s="6">
        <v>46120</v>
      </c>
      <c r="C91" s="6">
        <v>46121</v>
      </c>
      <c r="D91" s="6">
        <v>46124</v>
      </c>
      <c r="E91" s="6">
        <v>46124</v>
      </c>
      <c r="F91" t="s">
        <v>33</v>
      </c>
      <c r="G91" t="s">
        <v>53</v>
      </c>
      <c r="H91" t="s">
        <v>22</v>
      </c>
      <c r="I91" t="s">
        <v>43</v>
      </c>
      <c r="J91">
        <v>559.5</v>
      </c>
      <c r="K91">
        <v>3610.7</v>
      </c>
      <c r="L91">
        <v>10076000</v>
      </c>
      <c r="M91" t="b">
        <v>0</v>
      </c>
      <c r="N91" t="b">
        <v>0</v>
      </c>
      <c r="O91">
        <v>5000</v>
      </c>
      <c r="P91" t="b">
        <v>0</v>
      </c>
      <c r="Q91" t="b">
        <v>0</v>
      </c>
      <c r="R91" t="b">
        <v>0</v>
      </c>
      <c r="S91" t="s">
        <v>96</v>
      </c>
      <c r="T91">
        <v>72.213999999999999</v>
      </c>
      <c r="U91">
        <v>0</v>
      </c>
      <c r="V91">
        <v>0</v>
      </c>
      <c r="W91">
        <v>3</v>
      </c>
      <c r="X91" s="6">
        <v>46113</v>
      </c>
    </row>
    <row r="92" spans="1:24" x14ac:dyDescent="0.3">
      <c r="A92" t="s">
        <v>869</v>
      </c>
      <c r="B92" s="6">
        <v>46116</v>
      </c>
      <c r="C92" s="6">
        <v>46117</v>
      </c>
      <c r="D92" s="6">
        <v>46119</v>
      </c>
      <c r="E92" s="6">
        <v>46119</v>
      </c>
      <c r="F92" t="s">
        <v>31</v>
      </c>
      <c r="G92" t="s">
        <v>57</v>
      </c>
      <c r="H92" t="s">
        <v>20</v>
      </c>
      <c r="I92" t="s">
        <v>43</v>
      </c>
      <c r="J92">
        <v>121</v>
      </c>
      <c r="K92">
        <v>3112.9</v>
      </c>
      <c r="L92">
        <v>3322000</v>
      </c>
      <c r="M92" t="b">
        <v>0</v>
      </c>
      <c r="N92" t="b">
        <v>0</v>
      </c>
      <c r="O92">
        <v>5000</v>
      </c>
      <c r="P92" t="b">
        <v>0</v>
      </c>
      <c r="Q92" t="b">
        <v>0</v>
      </c>
      <c r="R92" t="b">
        <v>0</v>
      </c>
      <c r="S92" t="s">
        <v>96</v>
      </c>
      <c r="T92">
        <v>62.258000000000003</v>
      </c>
      <c r="U92">
        <v>0</v>
      </c>
      <c r="V92">
        <v>0</v>
      </c>
      <c r="W92">
        <v>2</v>
      </c>
      <c r="X92" s="6">
        <v>46113</v>
      </c>
    </row>
    <row r="93" spans="1:24" x14ac:dyDescent="0.3">
      <c r="A93" t="s">
        <v>864</v>
      </c>
      <c r="B93" s="6">
        <v>46123</v>
      </c>
      <c r="C93" s="6">
        <v>46124</v>
      </c>
      <c r="D93" s="6">
        <v>46127</v>
      </c>
      <c r="E93" s="6">
        <v>46127</v>
      </c>
      <c r="F93" t="s">
        <v>34</v>
      </c>
      <c r="G93" t="s">
        <v>59</v>
      </c>
      <c r="H93" t="s">
        <v>24</v>
      </c>
      <c r="I93" t="s">
        <v>42</v>
      </c>
      <c r="J93">
        <v>311.8</v>
      </c>
      <c r="K93">
        <v>14216.8</v>
      </c>
      <c r="L93">
        <v>10431000</v>
      </c>
      <c r="M93" t="b">
        <v>0</v>
      </c>
      <c r="N93" t="b">
        <v>0</v>
      </c>
      <c r="O93">
        <v>16000</v>
      </c>
      <c r="P93" t="b">
        <v>0</v>
      </c>
      <c r="Q93" t="b">
        <v>0</v>
      </c>
      <c r="R93" t="b">
        <v>0</v>
      </c>
      <c r="S93" t="s">
        <v>96</v>
      </c>
      <c r="T93">
        <v>88.85499999999999</v>
      </c>
      <c r="U93">
        <v>0</v>
      </c>
      <c r="V93">
        <v>0</v>
      </c>
      <c r="W93">
        <v>3</v>
      </c>
      <c r="X93" s="6">
        <v>46113</v>
      </c>
    </row>
    <row r="94" spans="1:24" x14ac:dyDescent="0.3">
      <c r="A94" t="s">
        <v>848</v>
      </c>
      <c r="B94" s="6">
        <v>46141</v>
      </c>
      <c r="C94" s="6">
        <v>46141</v>
      </c>
      <c r="D94" s="6">
        <v>46144</v>
      </c>
      <c r="E94" s="6">
        <v>46144</v>
      </c>
      <c r="F94" t="s">
        <v>32</v>
      </c>
      <c r="G94" t="s">
        <v>60</v>
      </c>
      <c r="H94" t="s">
        <v>23</v>
      </c>
      <c r="I94" t="s">
        <v>45</v>
      </c>
      <c r="J94">
        <v>460.9</v>
      </c>
      <c r="K94">
        <v>823.9</v>
      </c>
      <c r="L94">
        <v>4913000</v>
      </c>
      <c r="M94" t="b">
        <v>0</v>
      </c>
      <c r="N94" t="b">
        <v>0</v>
      </c>
      <c r="O94">
        <v>1000</v>
      </c>
      <c r="P94" t="b">
        <v>0</v>
      </c>
      <c r="Q94" t="b">
        <v>0</v>
      </c>
      <c r="R94" t="b">
        <v>0</v>
      </c>
      <c r="S94" t="s">
        <v>96</v>
      </c>
      <c r="T94">
        <v>82.39</v>
      </c>
      <c r="U94">
        <v>0</v>
      </c>
      <c r="V94">
        <v>0</v>
      </c>
      <c r="W94">
        <v>3</v>
      </c>
      <c r="X94" s="6">
        <v>46113</v>
      </c>
    </row>
    <row r="95" spans="1:24" x14ac:dyDescent="0.3">
      <c r="A95" t="s">
        <v>843</v>
      </c>
      <c r="B95" s="6">
        <v>46119</v>
      </c>
      <c r="C95" s="6">
        <v>46120</v>
      </c>
      <c r="D95" s="6">
        <v>46123</v>
      </c>
      <c r="E95" s="6">
        <v>46123</v>
      </c>
      <c r="F95" t="s">
        <v>31</v>
      </c>
      <c r="G95" t="s">
        <v>54</v>
      </c>
      <c r="H95" t="s">
        <v>20</v>
      </c>
      <c r="I95" t="s">
        <v>45</v>
      </c>
      <c r="J95">
        <v>472.3</v>
      </c>
      <c r="K95">
        <v>279.3</v>
      </c>
      <c r="L95">
        <v>4614000</v>
      </c>
      <c r="M95" t="b">
        <v>0</v>
      </c>
      <c r="N95" t="b">
        <v>0</v>
      </c>
      <c r="O95">
        <v>1000</v>
      </c>
      <c r="P95" t="b">
        <v>0</v>
      </c>
      <c r="Q95" t="b">
        <v>0</v>
      </c>
      <c r="R95" t="b">
        <v>0</v>
      </c>
      <c r="S95" t="s">
        <v>96</v>
      </c>
      <c r="T95">
        <v>27.93</v>
      </c>
      <c r="U95">
        <v>0</v>
      </c>
      <c r="V95">
        <v>0</v>
      </c>
      <c r="W95">
        <v>3</v>
      </c>
      <c r="X95" s="6">
        <v>46113</v>
      </c>
    </row>
    <row r="96" spans="1:24" x14ac:dyDescent="0.3">
      <c r="A96" t="s">
        <v>833</v>
      </c>
      <c r="B96" s="6">
        <v>46119</v>
      </c>
      <c r="C96" s="6">
        <v>46120</v>
      </c>
      <c r="D96" s="6">
        <v>46124</v>
      </c>
      <c r="E96" s="6">
        <v>46124</v>
      </c>
      <c r="F96" t="s">
        <v>34</v>
      </c>
      <c r="G96" t="s">
        <v>56</v>
      </c>
      <c r="H96" t="s">
        <v>23</v>
      </c>
      <c r="I96" t="s">
        <v>44</v>
      </c>
      <c r="J96">
        <v>926.3</v>
      </c>
      <c r="K96">
        <v>766.6</v>
      </c>
      <c r="L96">
        <v>9615000</v>
      </c>
      <c r="M96" t="b">
        <v>0</v>
      </c>
      <c r="N96" t="b">
        <v>0</v>
      </c>
      <c r="O96">
        <v>1500</v>
      </c>
      <c r="P96" t="b">
        <v>0</v>
      </c>
      <c r="Q96" t="b">
        <v>0</v>
      </c>
      <c r="R96" t="b">
        <v>0</v>
      </c>
      <c r="S96" t="s">
        <v>96</v>
      </c>
      <c r="T96">
        <v>51.106666666666669</v>
      </c>
      <c r="U96">
        <v>0</v>
      </c>
      <c r="V96">
        <v>0</v>
      </c>
      <c r="W96">
        <v>4</v>
      </c>
      <c r="X96" s="6">
        <v>46113</v>
      </c>
    </row>
    <row r="97" spans="1:24" x14ac:dyDescent="0.3">
      <c r="A97" t="s">
        <v>831</v>
      </c>
      <c r="B97" s="6">
        <v>46123</v>
      </c>
      <c r="C97" s="6">
        <v>46124</v>
      </c>
      <c r="D97" s="6">
        <v>46128</v>
      </c>
      <c r="E97" s="6">
        <v>46128</v>
      </c>
      <c r="F97" t="s">
        <v>33</v>
      </c>
      <c r="G97" t="s">
        <v>56</v>
      </c>
      <c r="H97" t="s">
        <v>21</v>
      </c>
      <c r="I97" t="s">
        <v>43</v>
      </c>
      <c r="J97">
        <v>1466.7</v>
      </c>
      <c r="K97">
        <v>4157.7</v>
      </c>
      <c r="L97">
        <v>19183000</v>
      </c>
      <c r="M97" t="b">
        <v>0</v>
      </c>
      <c r="N97" t="b">
        <v>0</v>
      </c>
      <c r="O97">
        <v>5000</v>
      </c>
      <c r="P97" t="b">
        <v>0</v>
      </c>
      <c r="Q97" t="b">
        <v>0</v>
      </c>
      <c r="R97" t="b">
        <v>0</v>
      </c>
      <c r="S97" t="s">
        <v>96</v>
      </c>
      <c r="T97">
        <v>83.153999999999996</v>
      </c>
      <c r="U97">
        <v>0</v>
      </c>
      <c r="V97">
        <v>0</v>
      </c>
      <c r="W97">
        <v>4</v>
      </c>
      <c r="X97" s="6">
        <v>46113</v>
      </c>
    </row>
    <row r="98" spans="1:24" x14ac:dyDescent="0.3">
      <c r="A98" t="s">
        <v>806</v>
      </c>
      <c r="B98" s="6">
        <v>46130</v>
      </c>
      <c r="C98" s="6">
        <v>46131</v>
      </c>
      <c r="D98" s="6">
        <v>46133</v>
      </c>
      <c r="E98" s="6">
        <v>46133</v>
      </c>
      <c r="F98" t="s">
        <v>34</v>
      </c>
      <c r="G98" t="s">
        <v>57</v>
      </c>
      <c r="H98" t="s">
        <v>21</v>
      </c>
      <c r="I98" t="s">
        <v>44</v>
      </c>
      <c r="J98">
        <v>151.4</v>
      </c>
      <c r="K98">
        <v>1170.7</v>
      </c>
      <c r="L98">
        <v>2185000</v>
      </c>
      <c r="M98" t="b">
        <v>0</v>
      </c>
      <c r="N98" t="b">
        <v>0</v>
      </c>
      <c r="O98">
        <v>1500</v>
      </c>
      <c r="P98" t="b">
        <v>0</v>
      </c>
      <c r="Q98" t="b">
        <v>0</v>
      </c>
      <c r="R98" t="b">
        <v>0</v>
      </c>
      <c r="S98" t="s">
        <v>96</v>
      </c>
      <c r="T98">
        <v>78.046666666666667</v>
      </c>
      <c r="U98">
        <v>0</v>
      </c>
      <c r="V98">
        <v>0</v>
      </c>
      <c r="W98">
        <v>2</v>
      </c>
      <c r="X98" s="6">
        <v>46113</v>
      </c>
    </row>
    <row r="99" spans="1:24" x14ac:dyDescent="0.3">
      <c r="A99" t="s">
        <v>801</v>
      </c>
      <c r="B99" s="6">
        <v>46125</v>
      </c>
      <c r="C99" s="6">
        <v>46126</v>
      </c>
      <c r="D99" s="6">
        <v>46130</v>
      </c>
      <c r="E99" s="6">
        <v>46130</v>
      </c>
      <c r="F99" t="s">
        <v>34</v>
      </c>
      <c r="G99" t="s">
        <v>60</v>
      </c>
      <c r="H99" t="s">
        <v>21</v>
      </c>
      <c r="I99" t="s">
        <v>42</v>
      </c>
      <c r="J99">
        <v>646.29999999999995</v>
      </c>
      <c r="K99">
        <v>8730.1500000000015</v>
      </c>
      <c r="L99">
        <v>13497000</v>
      </c>
      <c r="M99" t="b">
        <v>0</v>
      </c>
      <c r="N99" t="b">
        <v>0</v>
      </c>
      <c r="O99">
        <v>16000</v>
      </c>
      <c r="P99" t="b">
        <v>0</v>
      </c>
      <c r="Q99" t="b">
        <v>0</v>
      </c>
      <c r="R99" t="b">
        <v>0</v>
      </c>
      <c r="S99" t="s">
        <v>96</v>
      </c>
      <c r="T99">
        <v>54.563437500000013</v>
      </c>
      <c r="U99">
        <v>0</v>
      </c>
      <c r="V99">
        <v>0</v>
      </c>
      <c r="W99">
        <v>4</v>
      </c>
      <c r="X99" s="6">
        <v>46113</v>
      </c>
    </row>
    <row r="100" spans="1:24" x14ac:dyDescent="0.3">
      <c r="A100" t="s">
        <v>800</v>
      </c>
      <c r="B100" s="6">
        <v>46114</v>
      </c>
      <c r="C100" s="6">
        <v>46114</v>
      </c>
      <c r="D100" s="6">
        <v>46118</v>
      </c>
      <c r="E100" s="6">
        <v>46118</v>
      </c>
      <c r="F100" t="s">
        <v>34</v>
      </c>
      <c r="G100" t="s">
        <v>60</v>
      </c>
      <c r="H100" t="s">
        <v>20</v>
      </c>
      <c r="I100" t="s">
        <v>43</v>
      </c>
      <c r="J100">
        <v>638.6</v>
      </c>
      <c r="K100">
        <v>1203.5999999999999</v>
      </c>
      <c r="L100">
        <v>8193000</v>
      </c>
      <c r="M100" t="b">
        <v>0</v>
      </c>
      <c r="N100" t="b">
        <v>0</v>
      </c>
      <c r="O100">
        <v>5000</v>
      </c>
      <c r="P100" t="b">
        <v>0</v>
      </c>
      <c r="Q100" t="b">
        <v>0</v>
      </c>
      <c r="R100" t="b">
        <v>0</v>
      </c>
      <c r="S100" t="s">
        <v>96</v>
      </c>
      <c r="T100">
        <v>24.071999999999999</v>
      </c>
      <c r="U100">
        <v>0</v>
      </c>
      <c r="V100">
        <v>0</v>
      </c>
      <c r="W100">
        <v>4</v>
      </c>
      <c r="X100" s="6">
        <v>46113</v>
      </c>
    </row>
    <row r="101" spans="1:24" x14ac:dyDescent="0.3">
      <c r="A101" t="s">
        <v>765</v>
      </c>
      <c r="B101" s="6">
        <v>46132</v>
      </c>
      <c r="C101" s="6">
        <v>46133</v>
      </c>
      <c r="D101" s="6">
        <v>46136</v>
      </c>
      <c r="E101" s="6">
        <v>46136</v>
      </c>
      <c r="F101" t="s">
        <v>31</v>
      </c>
      <c r="G101" t="s">
        <v>57</v>
      </c>
      <c r="H101" t="s">
        <v>21</v>
      </c>
      <c r="I101" t="s">
        <v>44</v>
      </c>
      <c r="J101">
        <v>120.5</v>
      </c>
      <c r="K101">
        <v>680.9</v>
      </c>
      <c r="L101">
        <v>1663000</v>
      </c>
      <c r="M101" t="b">
        <v>0</v>
      </c>
      <c r="N101" t="b">
        <v>0</v>
      </c>
      <c r="O101">
        <v>1500</v>
      </c>
      <c r="P101" t="b">
        <v>0</v>
      </c>
      <c r="Q101" t="b">
        <v>0</v>
      </c>
      <c r="R101" t="b">
        <v>0</v>
      </c>
      <c r="S101" t="s">
        <v>96</v>
      </c>
      <c r="T101">
        <v>45.393333333333331</v>
      </c>
      <c r="U101">
        <v>0</v>
      </c>
      <c r="V101">
        <v>0</v>
      </c>
      <c r="W101">
        <v>3</v>
      </c>
      <c r="X101" s="6">
        <v>46113</v>
      </c>
    </row>
    <row r="102" spans="1:24" x14ac:dyDescent="0.3">
      <c r="A102" t="s">
        <v>206</v>
      </c>
      <c r="B102" s="6">
        <v>46141</v>
      </c>
      <c r="C102" s="6">
        <v>46142</v>
      </c>
      <c r="D102" s="6">
        <v>46143</v>
      </c>
      <c r="E102" s="6">
        <v>46142</v>
      </c>
      <c r="F102" t="s">
        <v>34</v>
      </c>
      <c r="G102" t="s">
        <v>61</v>
      </c>
      <c r="H102" t="s">
        <v>22</v>
      </c>
      <c r="I102" t="s">
        <v>43</v>
      </c>
      <c r="J102">
        <v>16.3</v>
      </c>
      <c r="K102">
        <v>3343.1</v>
      </c>
      <c r="L102">
        <v>19856000</v>
      </c>
      <c r="M102" t="b">
        <v>0</v>
      </c>
      <c r="N102" t="b">
        <v>0</v>
      </c>
      <c r="O102">
        <v>5000</v>
      </c>
      <c r="P102" t="b">
        <v>0</v>
      </c>
      <c r="Q102" t="b">
        <v>0</v>
      </c>
      <c r="R102" t="b">
        <v>0</v>
      </c>
      <c r="S102" t="s">
        <v>96</v>
      </c>
      <c r="T102">
        <v>66.861999999999995</v>
      </c>
      <c r="U102">
        <v>0</v>
      </c>
      <c r="V102">
        <v>0</v>
      </c>
      <c r="W102">
        <v>0</v>
      </c>
      <c r="X102" s="6">
        <v>46113</v>
      </c>
    </row>
    <row r="103" spans="1:24" x14ac:dyDescent="0.3">
      <c r="A103" t="s">
        <v>760</v>
      </c>
      <c r="B103" s="6">
        <v>46129</v>
      </c>
      <c r="C103" s="6">
        <v>46130</v>
      </c>
      <c r="D103" s="6">
        <v>46133</v>
      </c>
      <c r="E103" s="6">
        <v>46133</v>
      </c>
      <c r="F103" t="s">
        <v>34</v>
      </c>
      <c r="G103" t="s">
        <v>63</v>
      </c>
      <c r="H103" t="s">
        <v>21</v>
      </c>
      <c r="I103" t="s">
        <v>42</v>
      </c>
      <c r="J103">
        <v>335.5</v>
      </c>
      <c r="K103">
        <v>6521.1</v>
      </c>
      <c r="L103">
        <v>8993000</v>
      </c>
      <c r="M103" t="b">
        <v>0</v>
      </c>
      <c r="N103" t="b">
        <v>0</v>
      </c>
      <c r="O103">
        <v>16000</v>
      </c>
      <c r="P103" t="b">
        <v>0</v>
      </c>
      <c r="Q103" t="b">
        <v>0</v>
      </c>
      <c r="R103" t="b">
        <v>0</v>
      </c>
      <c r="S103" t="s">
        <v>96</v>
      </c>
      <c r="T103">
        <v>40.756875000000001</v>
      </c>
      <c r="U103">
        <v>0</v>
      </c>
      <c r="V103">
        <v>0</v>
      </c>
      <c r="W103">
        <v>3</v>
      </c>
      <c r="X103" s="6">
        <v>46113</v>
      </c>
    </row>
    <row r="104" spans="1:24" x14ac:dyDescent="0.3">
      <c r="A104" t="s">
        <v>208</v>
      </c>
      <c r="B104" s="6">
        <v>46134</v>
      </c>
      <c r="C104" s="6">
        <v>46135</v>
      </c>
      <c r="D104" s="6">
        <v>46136</v>
      </c>
      <c r="E104" s="6">
        <v>46136</v>
      </c>
      <c r="F104" t="s">
        <v>32</v>
      </c>
      <c r="G104" t="s">
        <v>57</v>
      </c>
      <c r="H104" t="s">
        <v>20</v>
      </c>
      <c r="I104" t="s">
        <v>43</v>
      </c>
      <c r="J104">
        <v>12.9</v>
      </c>
      <c r="K104">
        <v>4444.2</v>
      </c>
      <c r="L104">
        <v>2598000</v>
      </c>
      <c r="M104" t="b">
        <v>0</v>
      </c>
      <c r="N104" t="b">
        <v>0</v>
      </c>
      <c r="O104">
        <v>5000</v>
      </c>
      <c r="P104" t="b">
        <v>0</v>
      </c>
      <c r="Q104" t="b">
        <v>0</v>
      </c>
      <c r="R104" t="b">
        <v>0</v>
      </c>
      <c r="S104" t="s">
        <v>96</v>
      </c>
      <c r="T104">
        <v>88.884</v>
      </c>
      <c r="U104">
        <v>0</v>
      </c>
      <c r="V104">
        <v>0</v>
      </c>
      <c r="W104">
        <v>1</v>
      </c>
      <c r="X104" s="6">
        <v>46113</v>
      </c>
    </row>
    <row r="105" spans="1:24" x14ac:dyDescent="0.3">
      <c r="A105" t="s">
        <v>749</v>
      </c>
      <c r="B105" s="6">
        <v>46141</v>
      </c>
      <c r="C105" s="6">
        <v>46142</v>
      </c>
      <c r="D105" s="6">
        <v>46145</v>
      </c>
      <c r="E105" s="6">
        <v>46145</v>
      </c>
      <c r="F105" t="s">
        <v>34</v>
      </c>
      <c r="G105" t="s">
        <v>63</v>
      </c>
      <c r="H105" t="s">
        <v>21</v>
      </c>
      <c r="I105" t="s">
        <v>43</v>
      </c>
      <c r="J105">
        <v>355.5</v>
      </c>
      <c r="K105">
        <v>2063.8000000000002</v>
      </c>
      <c r="L105">
        <v>5583000</v>
      </c>
      <c r="M105" t="b">
        <v>0</v>
      </c>
      <c r="N105" t="b">
        <v>0</v>
      </c>
      <c r="O105">
        <v>5000</v>
      </c>
      <c r="P105" t="b">
        <v>0</v>
      </c>
      <c r="Q105" t="b">
        <v>0</v>
      </c>
      <c r="R105" t="b">
        <v>0</v>
      </c>
      <c r="S105" t="s">
        <v>96</v>
      </c>
      <c r="T105">
        <v>41.276000000000003</v>
      </c>
      <c r="U105">
        <v>0</v>
      </c>
      <c r="V105">
        <v>0</v>
      </c>
      <c r="W105">
        <v>3</v>
      </c>
      <c r="X105" s="6">
        <v>46113</v>
      </c>
    </row>
    <row r="106" spans="1:24" x14ac:dyDescent="0.3">
      <c r="A106" t="s">
        <v>737</v>
      </c>
      <c r="B106" s="6">
        <v>46114</v>
      </c>
      <c r="C106" s="6">
        <v>46115</v>
      </c>
      <c r="D106" s="6">
        <v>46118</v>
      </c>
      <c r="E106" s="6">
        <v>46118</v>
      </c>
      <c r="F106" t="s">
        <v>34</v>
      </c>
      <c r="G106" t="s">
        <v>59</v>
      </c>
      <c r="H106" t="s">
        <v>24</v>
      </c>
      <c r="I106" t="s">
        <v>43</v>
      </c>
      <c r="J106">
        <v>332.3</v>
      </c>
      <c r="K106">
        <v>2789.1</v>
      </c>
      <c r="L106">
        <v>6377000</v>
      </c>
      <c r="M106" t="b">
        <v>0</v>
      </c>
      <c r="N106" t="b">
        <v>0</v>
      </c>
      <c r="O106">
        <v>5000</v>
      </c>
      <c r="P106" t="b">
        <v>0</v>
      </c>
      <c r="Q106" t="b">
        <v>0</v>
      </c>
      <c r="R106" t="b">
        <v>0</v>
      </c>
      <c r="S106" t="s">
        <v>96</v>
      </c>
      <c r="T106">
        <v>55.781999999999996</v>
      </c>
      <c r="U106">
        <v>0</v>
      </c>
      <c r="V106">
        <v>0</v>
      </c>
      <c r="W106">
        <v>3</v>
      </c>
      <c r="X106" s="6">
        <v>46113</v>
      </c>
    </row>
    <row r="107" spans="1:24" x14ac:dyDescent="0.3">
      <c r="A107" t="s">
        <v>736</v>
      </c>
      <c r="B107" s="6">
        <v>46130</v>
      </c>
      <c r="C107" s="6">
        <v>46132</v>
      </c>
      <c r="D107" s="6">
        <v>46137</v>
      </c>
      <c r="E107" s="6">
        <v>46137</v>
      </c>
      <c r="F107" t="s">
        <v>33</v>
      </c>
      <c r="G107" t="s">
        <v>61</v>
      </c>
      <c r="H107" t="s">
        <v>22</v>
      </c>
      <c r="I107" t="s">
        <v>45</v>
      </c>
      <c r="J107">
        <v>601.1</v>
      </c>
      <c r="K107">
        <v>639.6</v>
      </c>
      <c r="L107">
        <v>5956000</v>
      </c>
      <c r="M107" t="b">
        <v>0</v>
      </c>
      <c r="N107" t="b">
        <v>0</v>
      </c>
      <c r="O107">
        <v>1000</v>
      </c>
      <c r="P107" t="b">
        <v>0</v>
      </c>
      <c r="Q107" t="b">
        <v>0</v>
      </c>
      <c r="R107" t="b">
        <v>0</v>
      </c>
      <c r="S107" t="s">
        <v>96</v>
      </c>
      <c r="T107">
        <v>63.960000000000008</v>
      </c>
      <c r="U107">
        <v>0</v>
      </c>
      <c r="V107">
        <v>0</v>
      </c>
      <c r="W107">
        <v>5</v>
      </c>
      <c r="X107" s="6">
        <v>46113</v>
      </c>
    </row>
    <row r="108" spans="1:24" x14ac:dyDescent="0.3">
      <c r="A108" t="s">
        <v>732</v>
      </c>
      <c r="B108" s="6">
        <v>46138</v>
      </c>
      <c r="C108" s="6">
        <v>46140</v>
      </c>
      <c r="D108" s="6">
        <v>46143</v>
      </c>
      <c r="E108" s="6">
        <v>46143</v>
      </c>
      <c r="F108" t="s">
        <v>34</v>
      </c>
      <c r="G108" t="s">
        <v>54</v>
      </c>
      <c r="H108" t="s">
        <v>22</v>
      </c>
      <c r="I108" t="s">
        <v>43</v>
      </c>
      <c r="J108">
        <v>457.1</v>
      </c>
      <c r="K108">
        <v>3144.8</v>
      </c>
      <c r="L108">
        <v>6723000</v>
      </c>
      <c r="M108" t="b">
        <v>0</v>
      </c>
      <c r="N108" t="b">
        <v>0</v>
      </c>
      <c r="O108">
        <v>5000</v>
      </c>
      <c r="P108" t="b">
        <v>0</v>
      </c>
      <c r="Q108" t="b">
        <v>0</v>
      </c>
      <c r="R108" t="b">
        <v>0</v>
      </c>
      <c r="S108" t="s">
        <v>96</v>
      </c>
      <c r="T108">
        <v>62.896000000000008</v>
      </c>
      <c r="U108">
        <v>0</v>
      </c>
      <c r="V108">
        <v>0</v>
      </c>
      <c r="W108">
        <v>3</v>
      </c>
      <c r="X108" s="6">
        <v>46113</v>
      </c>
    </row>
    <row r="109" spans="1:24" x14ac:dyDescent="0.3">
      <c r="A109" t="s">
        <v>213</v>
      </c>
      <c r="B109" s="6">
        <v>46113</v>
      </c>
      <c r="C109" s="6">
        <v>46114</v>
      </c>
      <c r="D109" s="6">
        <v>46118</v>
      </c>
      <c r="E109" s="6">
        <v>46118</v>
      </c>
      <c r="F109" t="s">
        <v>33</v>
      </c>
      <c r="G109" t="s">
        <v>53</v>
      </c>
      <c r="H109" t="s">
        <v>21</v>
      </c>
      <c r="I109" t="s">
        <v>45</v>
      </c>
      <c r="J109">
        <v>605.70000000000005</v>
      </c>
      <c r="K109">
        <v>341.5</v>
      </c>
      <c r="L109">
        <v>5955000</v>
      </c>
      <c r="M109" t="b">
        <v>0</v>
      </c>
      <c r="N109" t="b">
        <v>0</v>
      </c>
      <c r="O109">
        <v>1000</v>
      </c>
      <c r="P109" t="b">
        <v>0</v>
      </c>
      <c r="Q109" t="b">
        <v>0</v>
      </c>
      <c r="R109" t="b">
        <v>0</v>
      </c>
      <c r="S109" t="s">
        <v>96</v>
      </c>
      <c r="T109">
        <v>34.150000000000013</v>
      </c>
      <c r="U109">
        <v>0</v>
      </c>
      <c r="V109">
        <v>0</v>
      </c>
      <c r="W109">
        <v>4</v>
      </c>
      <c r="X109" s="6">
        <v>46113</v>
      </c>
    </row>
    <row r="110" spans="1:24" x14ac:dyDescent="0.3">
      <c r="A110" t="s">
        <v>724</v>
      </c>
      <c r="B110" s="6">
        <v>46125</v>
      </c>
      <c r="C110" s="6">
        <v>46125</v>
      </c>
      <c r="D110" s="6">
        <v>46128</v>
      </c>
      <c r="E110" s="6">
        <v>46128</v>
      </c>
      <c r="F110" t="s">
        <v>34</v>
      </c>
      <c r="G110" t="s">
        <v>54</v>
      </c>
      <c r="H110" t="s">
        <v>22</v>
      </c>
      <c r="I110" t="s">
        <v>42</v>
      </c>
      <c r="J110">
        <v>446</v>
      </c>
      <c r="K110">
        <v>8702.2000000000007</v>
      </c>
      <c r="L110">
        <v>10312000</v>
      </c>
      <c r="M110" t="b">
        <v>0</v>
      </c>
      <c r="N110" t="b">
        <v>0</v>
      </c>
      <c r="O110">
        <v>16000</v>
      </c>
      <c r="P110" t="b">
        <v>0</v>
      </c>
      <c r="Q110" t="b">
        <v>0</v>
      </c>
      <c r="R110" t="b">
        <v>0</v>
      </c>
      <c r="S110" t="s">
        <v>96</v>
      </c>
      <c r="T110">
        <v>54.388750000000009</v>
      </c>
      <c r="U110">
        <v>0</v>
      </c>
      <c r="V110">
        <v>0</v>
      </c>
      <c r="W110">
        <v>3</v>
      </c>
      <c r="X110" s="6">
        <v>46113</v>
      </c>
    </row>
    <row r="111" spans="1:24" x14ac:dyDescent="0.3">
      <c r="A111" t="s">
        <v>721</v>
      </c>
      <c r="B111" s="6">
        <v>46127</v>
      </c>
      <c r="C111" s="6">
        <v>46127</v>
      </c>
      <c r="D111" s="6">
        <v>46130</v>
      </c>
      <c r="E111" s="6">
        <v>46129</v>
      </c>
      <c r="F111" t="s">
        <v>34</v>
      </c>
      <c r="G111" t="s">
        <v>59</v>
      </c>
      <c r="H111" t="s">
        <v>20</v>
      </c>
      <c r="I111" t="s">
        <v>43</v>
      </c>
      <c r="J111">
        <v>325.3</v>
      </c>
      <c r="K111">
        <v>1006.1</v>
      </c>
      <c r="L111">
        <v>5308000</v>
      </c>
      <c r="M111" t="b">
        <v>0</v>
      </c>
      <c r="N111" t="b">
        <v>0</v>
      </c>
      <c r="O111">
        <v>5000</v>
      </c>
      <c r="P111" t="b">
        <v>0</v>
      </c>
      <c r="Q111" t="b">
        <v>0</v>
      </c>
      <c r="R111" t="b">
        <v>0</v>
      </c>
      <c r="S111" t="s">
        <v>96</v>
      </c>
      <c r="T111">
        <v>20.122</v>
      </c>
      <c r="U111">
        <v>0</v>
      </c>
      <c r="V111">
        <v>0</v>
      </c>
      <c r="W111">
        <v>2</v>
      </c>
      <c r="X111" s="6">
        <v>46113</v>
      </c>
    </row>
    <row r="112" spans="1:24" x14ac:dyDescent="0.3">
      <c r="A112" t="s">
        <v>720</v>
      </c>
      <c r="B112" s="6">
        <v>46116</v>
      </c>
      <c r="C112" s="6">
        <v>46118</v>
      </c>
      <c r="D112" s="6">
        <v>46121</v>
      </c>
      <c r="E112" s="6">
        <v>46121</v>
      </c>
      <c r="F112" t="s">
        <v>34</v>
      </c>
      <c r="G112" t="s">
        <v>53</v>
      </c>
      <c r="H112" t="s">
        <v>24</v>
      </c>
      <c r="I112" t="s">
        <v>44</v>
      </c>
      <c r="J112">
        <v>338.7</v>
      </c>
      <c r="K112">
        <v>204.9</v>
      </c>
      <c r="L112">
        <v>3785000</v>
      </c>
      <c r="M112" t="b">
        <v>0</v>
      </c>
      <c r="N112" t="b">
        <v>0</v>
      </c>
      <c r="O112">
        <v>1500</v>
      </c>
      <c r="P112" t="b">
        <v>0</v>
      </c>
      <c r="Q112" t="b">
        <v>0</v>
      </c>
      <c r="R112" t="b">
        <v>0</v>
      </c>
      <c r="S112" t="s">
        <v>96</v>
      </c>
      <c r="T112">
        <v>13.66</v>
      </c>
      <c r="U112">
        <v>0</v>
      </c>
      <c r="V112">
        <v>0</v>
      </c>
      <c r="W112">
        <v>3</v>
      </c>
      <c r="X112" s="6">
        <v>46113</v>
      </c>
    </row>
    <row r="113" spans="1:24" x14ac:dyDescent="0.3">
      <c r="A113" t="s">
        <v>707</v>
      </c>
      <c r="B113" s="6">
        <v>46121</v>
      </c>
      <c r="C113" s="6">
        <v>46122</v>
      </c>
      <c r="D113" s="6">
        <v>46126</v>
      </c>
      <c r="E113" s="6">
        <v>46126</v>
      </c>
      <c r="F113" t="s">
        <v>33</v>
      </c>
      <c r="G113" t="s">
        <v>58</v>
      </c>
      <c r="H113" t="s">
        <v>21</v>
      </c>
      <c r="I113" t="s">
        <v>43</v>
      </c>
      <c r="J113">
        <v>614.4</v>
      </c>
      <c r="K113">
        <v>2784.9</v>
      </c>
      <c r="L113">
        <v>10271000</v>
      </c>
      <c r="M113" t="b">
        <v>0</v>
      </c>
      <c r="N113" t="b">
        <v>0</v>
      </c>
      <c r="O113">
        <v>5000</v>
      </c>
      <c r="P113" t="b">
        <v>0</v>
      </c>
      <c r="Q113" t="b">
        <v>0</v>
      </c>
      <c r="R113" t="b">
        <v>0</v>
      </c>
      <c r="S113" t="s">
        <v>96</v>
      </c>
      <c r="T113">
        <v>55.698</v>
      </c>
      <c r="U113">
        <v>0</v>
      </c>
      <c r="V113">
        <v>0</v>
      </c>
      <c r="W113">
        <v>4</v>
      </c>
      <c r="X113" s="6">
        <v>46113</v>
      </c>
    </row>
    <row r="114" spans="1:24" x14ac:dyDescent="0.3">
      <c r="A114" t="s">
        <v>700</v>
      </c>
      <c r="B114" s="6">
        <v>46132</v>
      </c>
      <c r="C114" s="6">
        <v>46132</v>
      </c>
      <c r="D114" s="6">
        <v>46134</v>
      </c>
      <c r="E114" s="6">
        <v>46134</v>
      </c>
      <c r="F114" t="s">
        <v>34</v>
      </c>
      <c r="G114" t="s">
        <v>52</v>
      </c>
      <c r="H114" t="s">
        <v>23</v>
      </c>
      <c r="I114" t="s">
        <v>42</v>
      </c>
      <c r="J114">
        <v>269.8</v>
      </c>
      <c r="K114">
        <v>9961.1</v>
      </c>
      <c r="L114">
        <v>8109000</v>
      </c>
      <c r="M114" t="b">
        <v>0</v>
      </c>
      <c r="N114" t="b">
        <v>0</v>
      </c>
      <c r="O114">
        <v>16000</v>
      </c>
      <c r="P114" t="b">
        <v>0</v>
      </c>
      <c r="Q114" t="b">
        <v>0</v>
      </c>
      <c r="R114" t="b">
        <v>0</v>
      </c>
      <c r="S114" t="s">
        <v>96</v>
      </c>
      <c r="T114">
        <v>62.256875000000001</v>
      </c>
      <c r="U114">
        <v>0</v>
      </c>
      <c r="V114">
        <v>0</v>
      </c>
      <c r="W114">
        <v>2</v>
      </c>
      <c r="X114" s="6">
        <v>46113</v>
      </c>
    </row>
    <row r="115" spans="1:24" x14ac:dyDescent="0.3">
      <c r="A115" t="s">
        <v>697</v>
      </c>
      <c r="B115" s="6">
        <v>46137</v>
      </c>
      <c r="C115" s="6">
        <v>46138</v>
      </c>
      <c r="D115" s="6">
        <v>46141</v>
      </c>
      <c r="E115" s="6">
        <v>46141</v>
      </c>
      <c r="F115" t="s">
        <v>34</v>
      </c>
      <c r="G115" t="s">
        <v>54</v>
      </c>
      <c r="H115" t="s">
        <v>24</v>
      </c>
      <c r="I115" t="s">
        <v>45</v>
      </c>
      <c r="J115">
        <v>424.6</v>
      </c>
      <c r="K115">
        <v>570.79999999999995</v>
      </c>
      <c r="L115">
        <v>4107000</v>
      </c>
      <c r="M115" t="b">
        <v>0</v>
      </c>
      <c r="N115" t="b">
        <v>0</v>
      </c>
      <c r="O115">
        <v>1000</v>
      </c>
      <c r="P115" t="b">
        <v>0</v>
      </c>
      <c r="Q115" t="b">
        <v>0</v>
      </c>
      <c r="R115" t="b">
        <v>0</v>
      </c>
      <c r="S115" t="s">
        <v>96</v>
      </c>
      <c r="T115">
        <v>57.08</v>
      </c>
      <c r="U115">
        <v>0</v>
      </c>
      <c r="V115">
        <v>0</v>
      </c>
      <c r="W115">
        <v>3</v>
      </c>
      <c r="X115" s="6">
        <v>46113</v>
      </c>
    </row>
    <row r="116" spans="1:24" x14ac:dyDescent="0.3">
      <c r="A116" t="s">
        <v>696</v>
      </c>
      <c r="B116" s="6">
        <v>46129</v>
      </c>
      <c r="C116" s="6">
        <v>46130</v>
      </c>
      <c r="D116" s="6">
        <v>46132</v>
      </c>
      <c r="E116" s="6">
        <v>46132</v>
      </c>
      <c r="F116" t="s">
        <v>31</v>
      </c>
      <c r="G116" t="s">
        <v>63</v>
      </c>
      <c r="H116" t="s">
        <v>21</v>
      </c>
      <c r="I116" t="s">
        <v>44</v>
      </c>
      <c r="J116">
        <v>274.39999999999998</v>
      </c>
      <c r="K116">
        <v>986.9</v>
      </c>
      <c r="L116">
        <v>3444000</v>
      </c>
      <c r="M116" t="b">
        <v>0</v>
      </c>
      <c r="N116" t="b">
        <v>0</v>
      </c>
      <c r="O116">
        <v>1500</v>
      </c>
      <c r="P116" t="b">
        <v>0</v>
      </c>
      <c r="Q116" t="b">
        <v>0</v>
      </c>
      <c r="R116" t="b">
        <v>0</v>
      </c>
      <c r="S116" t="s">
        <v>96</v>
      </c>
      <c r="T116">
        <v>65.793333333333337</v>
      </c>
      <c r="U116">
        <v>0</v>
      </c>
      <c r="V116">
        <v>0</v>
      </c>
      <c r="W116">
        <v>2</v>
      </c>
      <c r="X116" s="6">
        <v>46113</v>
      </c>
    </row>
    <row r="117" spans="1:24" x14ac:dyDescent="0.3">
      <c r="A117" t="s">
        <v>670</v>
      </c>
      <c r="B117" s="6">
        <v>46138</v>
      </c>
      <c r="C117" s="6">
        <v>46138</v>
      </c>
      <c r="D117" s="6">
        <v>46142</v>
      </c>
      <c r="E117" s="6">
        <v>46142</v>
      </c>
      <c r="F117" t="s">
        <v>33</v>
      </c>
      <c r="G117" t="s">
        <v>55</v>
      </c>
      <c r="H117" t="s">
        <v>21</v>
      </c>
      <c r="I117" t="s">
        <v>43</v>
      </c>
      <c r="J117">
        <v>607.6</v>
      </c>
      <c r="K117">
        <v>1129</v>
      </c>
      <c r="L117">
        <v>9480000</v>
      </c>
      <c r="M117" t="b">
        <v>0</v>
      </c>
      <c r="N117" t="b">
        <v>0</v>
      </c>
      <c r="O117">
        <v>5000</v>
      </c>
      <c r="P117" t="b">
        <v>0</v>
      </c>
      <c r="Q117" t="b">
        <v>0</v>
      </c>
      <c r="R117" t="b">
        <v>0</v>
      </c>
      <c r="S117" t="s">
        <v>96</v>
      </c>
      <c r="T117">
        <v>22.58</v>
      </c>
      <c r="U117">
        <v>0</v>
      </c>
      <c r="V117">
        <v>0</v>
      </c>
      <c r="W117">
        <v>4</v>
      </c>
      <c r="X117" s="6">
        <v>46113</v>
      </c>
    </row>
    <row r="118" spans="1:24" x14ac:dyDescent="0.3">
      <c r="A118" t="s">
        <v>655</v>
      </c>
      <c r="B118" s="6">
        <v>46117</v>
      </c>
      <c r="C118" s="6">
        <v>46118</v>
      </c>
      <c r="D118" s="6">
        <v>46122</v>
      </c>
      <c r="E118" s="6">
        <v>46122</v>
      </c>
      <c r="F118" t="s">
        <v>32</v>
      </c>
      <c r="G118" t="s">
        <v>52</v>
      </c>
      <c r="H118" t="s">
        <v>20</v>
      </c>
      <c r="I118" t="s">
        <v>44</v>
      </c>
      <c r="J118">
        <v>355.1</v>
      </c>
      <c r="K118">
        <v>993.2</v>
      </c>
      <c r="L118">
        <v>4705000</v>
      </c>
      <c r="M118" t="b">
        <v>0</v>
      </c>
      <c r="N118" t="b">
        <v>0</v>
      </c>
      <c r="O118">
        <v>1500</v>
      </c>
      <c r="P118" t="b">
        <v>0</v>
      </c>
      <c r="Q118" t="b">
        <v>0</v>
      </c>
      <c r="R118" t="b">
        <v>0</v>
      </c>
      <c r="S118" t="s">
        <v>96</v>
      </c>
      <c r="T118">
        <v>66.213333333333338</v>
      </c>
      <c r="U118">
        <v>0</v>
      </c>
      <c r="V118">
        <v>0</v>
      </c>
      <c r="W118">
        <v>4</v>
      </c>
      <c r="X118" s="6">
        <v>46113</v>
      </c>
    </row>
    <row r="119" spans="1:24" x14ac:dyDescent="0.3">
      <c r="A119" t="s">
        <v>649</v>
      </c>
      <c r="B119" s="6">
        <v>46139</v>
      </c>
      <c r="C119" s="6">
        <v>46140</v>
      </c>
      <c r="D119" s="6">
        <v>46143</v>
      </c>
      <c r="E119" s="6">
        <v>46143</v>
      </c>
      <c r="F119" t="s">
        <v>32</v>
      </c>
      <c r="G119" t="s">
        <v>60</v>
      </c>
      <c r="H119" t="s">
        <v>23</v>
      </c>
      <c r="I119" t="s">
        <v>43</v>
      </c>
      <c r="J119">
        <v>457.3</v>
      </c>
      <c r="K119">
        <v>2606.4</v>
      </c>
      <c r="L119">
        <v>7289000</v>
      </c>
      <c r="M119" t="b">
        <v>0</v>
      </c>
      <c r="N119" t="b">
        <v>0</v>
      </c>
      <c r="O119">
        <v>5000</v>
      </c>
      <c r="P119" t="b">
        <v>0</v>
      </c>
      <c r="Q119" t="b">
        <v>0</v>
      </c>
      <c r="R119" t="b">
        <v>0</v>
      </c>
      <c r="S119" t="s">
        <v>96</v>
      </c>
      <c r="T119">
        <v>52.128</v>
      </c>
      <c r="U119">
        <v>0</v>
      </c>
      <c r="V119">
        <v>0</v>
      </c>
      <c r="W119">
        <v>3</v>
      </c>
      <c r="X119" s="6">
        <v>46113</v>
      </c>
    </row>
    <row r="120" spans="1:24" x14ac:dyDescent="0.3">
      <c r="A120" t="s">
        <v>224</v>
      </c>
      <c r="B120" s="6">
        <v>46125</v>
      </c>
      <c r="C120" s="6">
        <v>46126</v>
      </c>
      <c r="D120" s="6">
        <v>46129</v>
      </c>
      <c r="E120" s="6">
        <v>46129</v>
      </c>
      <c r="F120" t="s">
        <v>34</v>
      </c>
      <c r="G120" t="s">
        <v>59</v>
      </c>
      <c r="H120" t="s">
        <v>22</v>
      </c>
      <c r="I120" t="s">
        <v>43</v>
      </c>
      <c r="J120">
        <v>350</v>
      </c>
      <c r="K120">
        <v>2729.5</v>
      </c>
      <c r="L120">
        <v>6021000</v>
      </c>
      <c r="M120" t="b">
        <v>0</v>
      </c>
      <c r="N120" t="b">
        <v>0</v>
      </c>
      <c r="O120">
        <v>5000</v>
      </c>
      <c r="P120" t="b">
        <v>0</v>
      </c>
      <c r="Q120" t="b">
        <v>0</v>
      </c>
      <c r="R120" t="b">
        <v>0</v>
      </c>
      <c r="S120" t="s">
        <v>96</v>
      </c>
      <c r="T120">
        <v>54.59</v>
      </c>
      <c r="U120">
        <v>0</v>
      </c>
      <c r="V120">
        <v>0</v>
      </c>
      <c r="W120">
        <v>3</v>
      </c>
      <c r="X120" s="6">
        <v>46113</v>
      </c>
    </row>
    <row r="121" spans="1:24" x14ac:dyDescent="0.3">
      <c r="A121" t="s">
        <v>636</v>
      </c>
      <c r="B121" s="6">
        <v>46120</v>
      </c>
      <c r="C121" s="6">
        <v>46120</v>
      </c>
      <c r="D121" s="6">
        <v>46124</v>
      </c>
      <c r="E121" s="6">
        <v>46124</v>
      </c>
      <c r="F121" t="s">
        <v>34</v>
      </c>
      <c r="G121" t="s">
        <v>56</v>
      </c>
      <c r="H121" t="s">
        <v>23</v>
      </c>
      <c r="I121" t="s">
        <v>43</v>
      </c>
      <c r="J121">
        <v>911.1</v>
      </c>
      <c r="K121">
        <v>796.1</v>
      </c>
      <c r="L121">
        <v>12285000</v>
      </c>
      <c r="M121" t="b">
        <v>0</v>
      </c>
      <c r="N121" t="b">
        <v>0</v>
      </c>
      <c r="O121">
        <v>5000</v>
      </c>
      <c r="P121" t="b">
        <v>0</v>
      </c>
      <c r="Q121" t="b">
        <v>0</v>
      </c>
      <c r="R121" t="b">
        <v>0</v>
      </c>
      <c r="S121" t="s">
        <v>96</v>
      </c>
      <c r="T121">
        <v>15.922000000000001</v>
      </c>
      <c r="U121">
        <v>0</v>
      </c>
      <c r="V121">
        <v>0</v>
      </c>
      <c r="W121">
        <v>4</v>
      </c>
      <c r="X121" s="6">
        <v>46113</v>
      </c>
    </row>
    <row r="122" spans="1:24" x14ac:dyDescent="0.3">
      <c r="A122" t="s">
        <v>226</v>
      </c>
      <c r="B122" s="6">
        <v>46134</v>
      </c>
      <c r="C122" s="6">
        <v>46135</v>
      </c>
      <c r="D122" s="6">
        <v>46139</v>
      </c>
      <c r="E122" s="6">
        <v>46139</v>
      </c>
      <c r="F122" t="s">
        <v>34</v>
      </c>
      <c r="G122" t="s">
        <v>56</v>
      </c>
      <c r="H122" t="s">
        <v>22</v>
      </c>
      <c r="I122" t="s">
        <v>44</v>
      </c>
      <c r="J122">
        <v>901.6</v>
      </c>
      <c r="K122">
        <v>1211.9000000000001</v>
      </c>
      <c r="L122">
        <v>10308000</v>
      </c>
      <c r="M122" t="b">
        <v>0</v>
      </c>
      <c r="N122" t="b">
        <v>0</v>
      </c>
      <c r="O122">
        <v>1500</v>
      </c>
      <c r="P122" t="b">
        <v>0</v>
      </c>
      <c r="Q122" t="b">
        <v>0</v>
      </c>
      <c r="R122" t="b">
        <v>0</v>
      </c>
      <c r="S122" t="s">
        <v>96</v>
      </c>
      <c r="T122">
        <v>80.793333333333337</v>
      </c>
      <c r="U122">
        <v>0</v>
      </c>
      <c r="V122">
        <v>0</v>
      </c>
      <c r="W122">
        <v>4</v>
      </c>
      <c r="X122" s="6">
        <v>46113</v>
      </c>
    </row>
    <row r="123" spans="1:24" x14ac:dyDescent="0.3">
      <c r="A123" t="s">
        <v>227</v>
      </c>
      <c r="B123" s="6">
        <v>46129</v>
      </c>
      <c r="C123" s="6">
        <v>46130</v>
      </c>
      <c r="D123" s="6">
        <v>46131</v>
      </c>
      <c r="E123" s="6">
        <v>46131</v>
      </c>
      <c r="F123" t="s">
        <v>34</v>
      </c>
      <c r="G123" t="s">
        <v>55</v>
      </c>
      <c r="H123" t="s">
        <v>20</v>
      </c>
      <c r="I123" t="s">
        <v>43</v>
      </c>
      <c r="J123">
        <v>55.2</v>
      </c>
      <c r="K123">
        <v>1850.6</v>
      </c>
      <c r="L123">
        <v>2370000</v>
      </c>
      <c r="M123" t="b">
        <v>0</v>
      </c>
      <c r="N123" t="b">
        <v>0</v>
      </c>
      <c r="O123">
        <v>5000</v>
      </c>
      <c r="P123" t="b">
        <v>0</v>
      </c>
      <c r="Q123" t="b">
        <v>0</v>
      </c>
      <c r="R123" t="b">
        <v>0</v>
      </c>
      <c r="S123" t="s">
        <v>96</v>
      </c>
      <c r="T123">
        <v>37.012</v>
      </c>
      <c r="U123">
        <v>0</v>
      </c>
      <c r="V123">
        <v>0</v>
      </c>
      <c r="W123">
        <v>1</v>
      </c>
      <c r="X123" s="6">
        <v>46113</v>
      </c>
    </row>
    <row r="124" spans="1:24" x14ac:dyDescent="0.3">
      <c r="A124" t="s">
        <v>625</v>
      </c>
      <c r="B124" s="6">
        <v>46131</v>
      </c>
      <c r="C124" s="6">
        <v>46133</v>
      </c>
      <c r="D124" s="6">
        <v>46137</v>
      </c>
      <c r="E124" s="6">
        <v>46137</v>
      </c>
      <c r="F124" t="s">
        <v>34</v>
      </c>
      <c r="G124" t="s">
        <v>63</v>
      </c>
      <c r="H124" t="s">
        <v>22</v>
      </c>
      <c r="I124" t="s">
        <v>43</v>
      </c>
      <c r="J124">
        <v>338.7</v>
      </c>
      <c r="K124">
        <v>3800.6</v>
      </c>
      <c r="L124">
        <v>6558000</v>
      </c>
      <c r="M124" t="b">
        <v>0</v>
      </c>
      <c r="N124" t="b">
        <v>0</v>
      </c>
      <c r="O124">
        <v>5000</v>
      </c>
      <c r="P124" t="b">
        <v>0</v>
      </c>
      <c r="Q124" t="b">
        <v>0</v>
      </c>
      <c r="R124" t="b">
        <v>0</v>
      </c>
      <c r="S124" t="s">
        <v>96</v>
      </c>
      <c r="T124">
        <v>76.012</v>
      </c>
      <c r="U124">
        <v>0</v>
      </c>
      <c r="V124">
        <v>0</v>
      </c>
      <c r="W124">
        <v>4</v>
      </c>
      <c r="X124" s="6">
        <v>46113</v>
      </c>
    </row>
    <row r="125" spans="1:24" x14ac:dyDescent="0.3">
      <c r="A125" t="s">
        <v>611</v>
      </c>
      <c r="B125" s="6">
        <v>46114</v>
      </c>
      <c r="C125" s="6">
        <v>46116</v>
      </c>
      <c r="D125" s="6">
        <v>46119</v>
      </c>
      <c r="E125" s="6">
        <v>46119</v>
      </c>
      <c r="F125" t="s">
        <v>31</v>
      </c>
      <c r="G125" t="s">
        <v>59</v>
      </c>
      <c r="H125" t="s">
        <v>21</v>
      </c>
      <c r="I125" t="s">
        <v>42</v>
      </c>
      <c r="J125">
        <v>317.2</v>
      </c>
      <c r="K125">
        <v>13161.1</v>
      </c>
      <c r="L125">
        <v>8577000</v>
      </c>
      <c r="M125" t="b">
        <v>0</v>
      </c>
      <c r="N125" t="b">
        <v>0</v>
      </c>
      <c r="O125">
        <v>16000</v>
      </c>
      <c r="P125" t="b">
        <v>0</v>
      </c>
      <c r="Q125" t="b">
        <v>0</v>
      </c>
      <c r="R125" t="b">
        <v>0</v>
      </c>
      <c r="S125" t="s">
        <v>96</v>
      </c>
      <c r="T125">
        <v>82.256875000000008</v>
      </c>
      <c r="U125">
        <v>0</v>
      </c>
      <c r="V125">
        <v>0</v>
      </c>
      <c r="W125">
        <v>3</v>
      </c>
      <c r="X125" s="6">
        <v>46113</v>
      </c>
    </row>
    <row r="126" spans="1:24" x14ac:dyDescent="0.3">
      <c r="A126" t="s">
        <v>596</v>
      </c>
      <c r="B126" s="6">
        <v>46116</v>
      </c>
      <c r="C126" s="6">
        <v>46116</v>
      </c>
      <c r="D126" s="6">
        <v>46120</v>
      </c>
      <c r="E126" s="6">
        <v>46120</v>
      </c>
      <c r="F126" t="s">
        <v>34</v>
      </c>
      <c r="G126" t="s">
        <v>62</v>
      </c>
      <c r="H126" t="s">
        <v>20</v>
      </c>
      <c r="I126" t="s">
        <v>43</v>
      </c>
      <c r="J126">
        <v>715.6</v>
      </c>
      <c r="K126">
        <v>1051.0999999999999</v>
      </c>
      <c r="L126">
        <v>10420000</v>
      </c>
      <c r="M126" t="b">
        <v>0</v>
      </c>
      <c r="N126" t="b">
        <v>0</v>
      </c>
      <c r="O126">
        <v>5000</v>
      </c>
      <c r="P126" t="b">
        <v>0</v>
      </c>
      <c r="Q126" t="b">
        <v>0</v>
      </c>
      <c r="R126" t="b">
        <v>0</v>
      </c>
      <c r="S126" t="s">
        <v>96</v>
      </c>
      <c r="T126">
        <v>21.021999999999998</v>
      </c>
      <c r="U126">
        <v>0</v>
      </c>
      <c r="V126">
        <v>0</v>
      </c>
      <c r="W126">
        <v>4</v>
      </c>
      <c r="X126" s="6">
        <v>46113</v>
      </c>
    </row>
    <row r="127" spans="1:24" x14ac:dyDescent="0.3">
      <c r="A127" t="s">
        <v>591</v>
      </c>
      <c r="B127" s="6">
        <v>46114</v>
      </c>
      <c r="C127" s="6">
        <v>46115</v>
      </c>
      <c r="D127" s="6">
        <v>46119</v>
      </c>
      <c r="E127" s="6">
        <v>46119</v>
      </c>
      <c r="F127" t="s">
        <v>34</v>
      </c>
      <c r="G127" t="s">
        <v>60</v>
      </c>
      <c r="H127" t="s">
        <v>23</v>
      </c>
      <c r="I127" t="s">
        <v>43</v>
      </c>
      <c r="J127">
        <v>632</v>
      </c>
      <c r="K127">
        <v>973.2</v>
      </c>
      <c r="L127">
        <v>7674000</v>
      </c>
      <c r="M127" t="b">
        <v>0</v>
      </c>
      <c r="N127" t="b">
        <v>0</v>
      </c>
      <c r="O127">
        <v>5000</v>
      </c>
      <c r="P127" t="b">
        <v>0</v>
      </c>
      <c r="Q127" t="b">
        <v>0</v>
      </c>
      <c r="R127" t="b">
        <v>0</v>
      </c>
      <c r="S127" t="s">
        <v>96</v>
      </c>
      <c r="T127">
        <v>19.463999999999999</v>
      </c>
      <c r="U127">
        <v>0</v>
      </c>
      <c r="V127">
        <v>0</v>
      </c>
      <c r="W127">
        <v>4</v>
      </c>
      <c r="X127" s="6">
        <v>46113</v>
      </c>
    </row>
    <row r="128" spans="1:24" x14ac:dyDescent="0.3">
      <c r="A128" t="s">
        <v>583</v>
      </c>
      <c r="B128" s="6">
        <v>46119</v>
      </c>
      <c r="C128" s="6">
        <v>46120</v>
      </c>
      <c r="D128" s="6">
        <v>46121</v>
      </c>
      <c r="E128" s="6">
        <v>46121</v>
      </c>
      <c r="F128" t="s">
        <v>34</v>
      </c>
      <c r="G128" t="s">
        <v>55</v>
      </c>
      <c r="H128" t="s">
        <v>107</v>
      </c>
      <c r="I128" t="s">
        <v>43</v>
      </c>
      <c r="J128">
        <v>53</v>
      </c>
      <c r="K128">
        <v>3244.3</v>
      </c>
      <c r="L128">
        <v>2513000</v>
      </c>
      <c r="M128" t="b">
        <v>0</v>
      </c>
      <c r="N128" t="b">
        <v>0</v>
      </c>
      <c r="O128">
        <v>5000</v>
      </c>
      <c r="P128" t="b">
        <v>0</v>
      </c>
      <c r="Q128" t="b">
        <v>0</v>
      </c>
      <c r="R128" t="b">
        <v>0</v>
      </c>
      <c r="S128" t="s">
        <v>96</v>
      </c>
      <c r="T128">
        <v>64.885999999999996</v>
      </c>
      <c r="U128">
        <v>0</v>
      </c>
      <c r="V128">
        <v>0</v>
      </c>
      <c r="W128">
        <v>1</v>
      </c>
      <c r="X128" s="6">
        <v>46113</v>
      </c>
    </row>
    <row r="129" spans="1:24" x14ac:dyDescent="0.3">
      <c r="A129" t="s">
        <v>574</v>
      </c>
      <c r="B129" s="6">
        <v>46119</v>
      </c>
      <c r="C129" s="6">
        <v>46121</v>
      </c>
      <c r="D129" s="6">
        <v>46123</v>
      </c>
      <c r="E129" s="6">
        <v>46123</v>
      </c>
      <c r="F129" t="s">
        <v>31</v>
      </c>
      <c r="G129" t="s">
        <v>58</v>
      </c>
      <c r="H129" t="s">
        <v>22</v>
      </c>
      <c r="I129" t="s">
        <v>45</v>
      </c>
      <c r="J129">
        <v>193.8</v>
      </c>
      <c r="K129">
        <v>87</v>
      </c>
      <c r="L129">
        <v>2087000</v>
      </c>
      <c r="M129" t="b">
        <v>0</v>
      </c>
      <c r="N129" t="b">
        <v>0</v>
      </c>
      <c r="O129">
        <v>1000</v>
      </c>
      <c r="P129" t="b">
        <v>0</v>
      </c>
      <c r="Q129" t="b">
        <v>0</v>
      </c>
      <c r="R129" t="b">
        <v>0</v>
      </c>
      <c r="S129" t="s">
        <v>96</v>
      </c>
      <c r="T129">
        <v>8.6999999999999993</v>
      </c>
      <c r="U129">
        <v>0</v>
      </c>
      <c r="V129">
        <v>0</v>
      </c>
      <c r="W129">
        <v>2</v>
      </c>
      <c r="X129" s="6">
        <v>46113</v>
      </c>
    </row>
    <row r="130" spans="1:24" x14ac:dyDescent="0.3">
      <c r="A130" t="s">
        <v>571</v>
      </c>
      <c r="B130" s="6">
        <v>46136</v>
      </c>
      <c r="C130" s="6">
        <v>46137</v>
      </c>
      <c r="D130" s="6">
        <v>46139</v>
      </c>
      <c r="E130" s="6">
        <v>46139</v>
      </c>
      <c r="F130" t="s">
        <v>32</v>
      </c>
      <c r="G130" t="s">
        <v>53</v>
      </c>
      <c r="H130" t="s">
        <v>20</v>
      </c>
      <c r="I130" t="s">
        <v>43</v>
      </c>
      <c r="J130">
        <v>286.60000000000002</v>
      </c>
      <c r="K130">
        <v>2670.8</v>
      </c>
      <c r="L130">
        <v>5072000</v>
      </c>
      <c r="M130" t="b">
        <v>0</v>
      </c>
      <c r="N130" t="b">
        <v>0</v>
      </c>
      <c r="O130">
        <v>5000</v>
      </c>
      <c r="P130" t="b">
        <v>0</v>
      </c>
      <c r="Q130" t="b">
        <v>0</v>
      </c>
      <c r="R130" t="b">
        <v>0</v>
      </c>
      <c r="S130" t="s">
        <v>96</v>
      </c>
      <c r="T130">
        <v>53.416000000000011</v>
      </c>
      <c r="U130">
        <v>0</v>
      </c>
      <c r="V130">
        <v>0</v>
      </c>
      <c r="W130">
        <v>2</v>
      </c>
      <c r="X130" s="6">
        <v>46113</v>
      </c>
    </row>
    <row r="131" spans="1:24" x14ac:dyDescent="0.3">
      <c r="A131" t="s">
        <v>563</v>
      </c>
      <c r="B131" s="6">
        <v>46118</v>
      </c>
      <c r="C131" s="6">
        <v>46120</v>
      </c>
      <c r="D131" s="6">
        <v>46123</v>
      </c>
      <c r="E131" s="6">
        <v>46123</v>
      </c>
      <c r="F131" t="s">
        <v>31</v>
      </c>
      <c r="G131" t="s">
        <v>53</v>
      </c>
      <c r="H131" t="s">
        <v>107</v>
      </c>
      <c r="I131" t="s">
        <v>44</v>
      </c>
      <c r="J131">
        <v>308.10000000000002</v>
      </c>
      <c r="K131">
        <v>466.5</v>
      </c>
      <c r="L131">
        <v>3417000</v>
      </c>
      <c r="M131" t="b">
        <v>0</v>
      </c>
      <c r="N131" t="b">
        <v>0</v>
      </c>
      <c r="O131">
        <v>1500</v>
      </c>
      <c r="P131" t="b">
        <v>0</v>
      </c>
      <c r="Q131" t="b">
        <v>0</v>
      </c>
      <c r="R131" t="b">
        <v>0</v>
      </c>
      <c r="S131" t="s">
        <v>96</v>
      </c>
      <c r="T131">
        <v>31.1</v>
      </c>
      <c r="U131">
        <v>0</v>
      </c>
      <c r="V131">
        <v>0</v>
      </c>
      <c r="W131">
        <v>3</v>
      </c>
      <c r="X131" s="6">
        <v>46113</v>
      </c>
    </row>
    <row r="132" spans="1:24" x14ac:dyDescent="0.3">
      <c r="A132" t="s">
        <v>236</v>
      </c>
      <c r="B132" s="6">
        <v>46111</v>
      </c>
      <c r="C132" s="6">
        <v>46113</v>
      </c>
      <c r="D132" s="6">
        <v>46116</v>
      </c>
      <c r="E132" s="6">
        <v>46116</v>
      </c>
      <c r="F132" t="s">
        <v>33</v>
      </c>
      <c r="G132" t="s">
        <v>59</v>
      </c>
      <c r="H132" t="s">
        <v>22</v>
      </c>
      <c r="I132" t="s">
        <v>44</v>
      </c>
      <c r="J132">
        <v>482.6</v>
      </c>
      <c r="K132">
        <v>279.2</v>
      </c>
      <c r="L132">
        <v>5189000</v>
      </c>
      <c r="M132" t="b">
        <v>0</v>
      </c>
      <c r="N132" t="b">
        <v>0</v>
      </c>
      <c r="O132">
        <v>1500</v>
      </c>
      <c r="P132" t="b">
        <v>0</v>
      </c>
      <c r="Q132" t="b">
        <v>0</v>
      </c>
      <c r="R132" t="b">
        <v>0</v>
      </c>
      <c r="S132" t="s">
        <v>96</v>
      </c>
      <c r="T132">
        <v>18.61333333333333</v>
      </c>
      <c r="U132">
        <v>0</v>
      </c>
      <c r="V132">
        <v>0</v>
      </c>
      <c r="W132">
        <v>3</v>
      </c>
      <c r="X132" s="6">
        <v>46113</v>
      </c>
    </row>
    <row r="133" spans="1:24" x14ac:dyDescent="0.3">
      <c r="A133" t="s">
        <v>237</v>
      </c>
      <c r="B133" s="6">
        <v>46125</v>
      </c>
      <c r="C133" s="6">
        <v>46126</v>
      </c>
      <c r="D133" s="6">
        <v>46128</v>
      </c>
      <c r="E133" s="6">
        <v>46128</v>
      </c>
      <c r="F133" t="s">
        <v>31</v>
      </c>
      <c r="G133" t="s">
        <v>52</v>
      </c>
      <c r="H133" t="s">
        <v>23</v>
      </c>
      <c r="I133" t="s">
        <v>44</v>
      </c>
      <c r="J133">
        <v>285.5</v>
      </c>
      <c r="K133">
        <v>1085.9000000000001</v>
      </c>
      <c r="L133">
        <v>3584000</v>
      </c>
      <c r="M133" t="b">
        <v>0</v>
      </c>
      <c r="N133" t="b">
        <v>0</v>
      </c>
      <c r="O133">
        <v>1500</v>
      </c>
      <c r="P133" t="b">
        <v>0</v>
      </c>
      <c r="Q133" t="b">
        <v>0</v>
      </c>
      <c r="R133" t="b">
        <v>0</v>
      </c>
      <c r="S133" t="s">
        <v>96</v>
      </c>
      <c r="T133">
        <v>72.393333333333345</v>
      </c>
      <c r="U133">
        <v>0</v>
      </c>
      <c r="V133">
        <v>0</v>
      </c>
      <c r="W133">
        <v>2</v>
      </c>
      <c r="X133" s="6">
        <v>46113</v>
      </c>
    </row>
    <row r="134" spans="1:24" x14ac:dyDescent="0.3">
      <c r="A134" t="s">
        <v>553</v>
      </c>
      <c r="B134" s="6">
        <v>46125</v>
      </c>
      <c r="C134" s="6">
        <v>46126</v>
      </c>
      <c r="D134" s="6">
        <v>46130</v>
      </c>
      <c r="E134" s="6">
        <v>46130</v>
      </c>
      <c r="F134" t="s">
        <v>34</v>
      </c>
      <c r="G134" t="s">
        <v>62</v>
      </c>
      <c r="H134" t="s">
        <v>107</v>
      </c>
      <c r="I134" t="s">
        <v>43</v>
      </c>
      <c r="J134">
        <v>728.7</v>
      </c>
      <c r="K134">
        <v>4086.4</v>
      </c>
      <c r="L134">
        <v>10845000</v>
      </c>
      <c r="M134" t="b">
        <v>0</v>
      </c>
      <c r="N134" t="b">
        <v>0</v>
      </c>
      <c r="O134">
        <v>5000</v>
      </c>
      <c r="P134" t="b">
        <v>0</v>
      </c>
      <c r="Q134" t="b">
        <v>0</v>
      </c>
      <c r="R134" t="b">
        <v>0</v>
      </c>
      <c r="S134" t="s">
        <v>96</v>
      </c>
      <c r="T134">
        <v>81.727999999999994</v>
      </c>
      <c r="U134">
        <v>0</v>
      </c>
      <c r="V134">
        <v>0</v>
      </c>
      <c r="W134">
        <v>4</v>
      </c>
      <c r="X134" s="6">
        <v>46113</v>
      </c>
    </row>
    <row r="135" spans="1:24" x14ac:dyDescent="0.3">
      <c r="A135" t="s">
        <v>550</v>
      </c>
      <c r="B135" s="6">
        <v>46123</v>
      </c>
      <c r="C135" s="6">
        <v>46124</v>
      </c>
      <c r="D135" s="6">
        <v>46126</v>
      </c>
      <c r="E135" s="6">
        <v>46126</v>
      </c>
      <c r="F135" t="s">
        <v>31</v>
      </c>
      <c r="G135" t="s">
        <v>57</v>
      </c>
      <c r="H135" t="s">
        <v>24</v>
      </c>
      <c r="I135" t="s">
        <v>44</v>
      </c>
      <c r="J135">
        <v>131</v>
      </c>
      <c r="K135">
        <v>1000.9</v>
      </c>
      <c r="L135">
        <v>2012000</v>
      </c>
      <c r="M135" t="b">
        <v>0</v>
      </c>
      <c r="N135" t="b">
        <v>0</v>
      </c>
      <c r="O135">
        <v>1500</v>
      </c>
      <c r="P135" t="b">
        <v>0</v>
      </c>
      <c r="Q135" t="b">
        <v>0</v>
      </c>
      <c r="R135" t="b">
        <v>0</v>
      </c>
      <c r="S135" t="s">
        <v>96</v>
      </c>
      <c r="T135">
        <v>66.726666666666674</v>
      </c>
      <c r="U135">
        <v>0</v>
      </c>
      <c r="V135">
        <v>0</v>
      </c>
      <c r="W135">
        <v>2</v>
      </c>
      <c r="X135" s="6">
        <v>46113</v>
      </c>
    </row>
    <row r="136" spans="1:24" x14ac:dyDescent="0.3">
      <c r="A136" t="s">
        <v>548</v>
      </c>
      <c r="B136" s="6">
        <v>46141</v>
      </c>
      <c r="C136" s="6">
        <v>46142</v>
      </c>
      <c r="D136" s="6">
        <v>46146</v>
      </c>
      <c r="E136" s="6">
        <v>46146</v>
      </c>
      <c r="F136" t="s">
        <v>32</v>
      </c>
      <c r="G136" t="s">
        <v>56</v>
      </c>
      <c r="H136" t="s">
        <v>20</v>
      </c>
      <c r="I136" t="s">
        <v>42</v>
      </c>
      <c r="J136">
        <v>1012.4</v>
      </c>
      <c r="K136">
        <v>12319.4</v>
      </c>
      <c r="L136">
        <v>22881000</v>
      </c>
      <c r="M136" t="b">
        <v>0</v>
      </c>
      <c r="N136" t="b">
        <v>0</v>
      </c>
      <c r="O136">
        <v>16000</v>
      </c>
      <c r="P136" t="b">
        <v>0</v>
      </c>
      <c r="Q136" t="b">
        <v>0</v>
      </c>
      <c r="R136" t="b">
        <v>0</v>
      </c>
      <c r="S136" t="s">
        <v>96</v>
      </c>
      <c r="T136">
        <v>76.996250000000003</v>
      </c>
      <c r="U136">
        <v>0</v>
      </c>
      <c r="V136">
        <v>0</v>
      </c>
      <c r="W136">
        <v>4</v>
      </c>
      <c r="X136" s="6">
        <v>46113</v>
      </c>
    </row>
    <row r="137" spans="1:24" x14ac:dyDescent="0.3">
      <c r="A137" t="s">
        <v>539</v>
      </c>
      <c r="B137" s="6">
        <v>46116</v>
      </c>
      <c r="C137" s="6">
        <v>46117</v>
      </c>
      <c r="D137" s="6">
        <v>46121</v>
      </c>
      <c r="E137" s="6">
        <v>46121</v>
      </c>
      <c r="F137" t="s">
        <v>33</v>
      </c>
      <c r="G137" t="s">
        <v>56</v>
      </c>
      <c r="H137" t="s">
        <v>20</v>
      </c>
      <c r="I137" t="s">
        <v>44</v>
      </c>
      <c r="J137">
        <v>1411.3</v>
      </c>
      <c r="K137">
        <v>856.3</v>
      </c>
      <c r="L137">
        <v>15175000</v>
      </c>
      <c r="M137" t="b">
        <v>0</v>
      </c>
      <c r="N137" t="b">
        <v>0</v>
      </c>
      <c r="O137">
        <v>1500</v>
      </c>
      <c r="P137" t="b">
        <v>0</v>
      </c>
      <c r="Q137" t="b">
        <v>0</v>
      </c>
      <c r="R137" t="b">
        <v>0</v>
      </c>
      <c r="S137" t="s">
        <v>96</v>
      </c>
      <c r="T137">
        <v>57.086666666666673</v>
      </c>
      <c r="U137">
        <v>0</v>
      </c>
      <c r="V137">
        <v>0</v>
      </c>
      <c r="W137">
        <v>4</v>
      </c>
      <c r="X137" s="6">
        <v>46113</v>
      </c>
    </row>
    <row r="138" spans="1:24" x14ac:dyDescent="0.3">
      <c r="A138" t="s">
        <v>526</v>
      </c>
      <c r="B138" s="6">
        <v>46117</v>
      </c>
      <c r="C138" s="6">
        <v>46119</v>
      </c>
      <c r="D138" s="6">
        <v>46121</v>
      </c>
      <c r="E138" s="6">
        <v>46121</v>
      </c>
      <c r="F138" t="s">
        <v>32</v>
      </c>
      <c r="G138" t="s">
        <v>55</v>
      </c>
      <c r="H138" t="s">
        <v>23</v>
      </c>
      <c r="I138" t="s">
        <v>42</v>
      </c>
      <c r="J138">
        <v>134.1</v>
      </c>
      <c r="K138">
        <v>8862</v>
      </c>
      <c r="L138">
        <v>5969000</v>
      </c>
      <c r="M138" t="b">
        <v>0</v>
      </c>
      <c r="N138" t="b">
        <v>0</v>
      </c>
      <c r="O138">
        <v>16000</v>
      </c>
      <c r="P138" t="b">
        <v>0</v>
      </c>
      <c r="Q138" t="b">
        <v>0</v>
      </c>
      <c r="R138" t="b">
        <v>0</v>
      </c>
      <c r="S138" t="s">
        <v>96</v>
      </c>
      <c r="T138">
        <v>55.387500000000003</v>
      </c>
      <c r="U138">
        <v>0</v>
      </c>
      <c r="V138">
        <v>0</v>
      </c>
      <c r="W138">
        <v>2</v>
      </c>
      <c r="X138" s="6">
        <v>46113</v>
      </c>
    </row>
    <row r="139" spans="1:24" x14ac:dyDescent="0.3">
      <c r="A139" t="s">
        <v>517</v>
      </c>
      <c r="B139" s="6">
        <v>46126</v>
      </c>
      <c r="C139" s="6">
        <v>46127</v>
      </c>
      <c r="D139" s="6">
        <v>46131</v>
      </c>
      <c r="E139" s="6">
        <v>46131</v>
      </c>
      <c r="F139" t="s">
        <v>34</v>
      </c>
      <c r="G139" t="s">
        <v>62</v>
      </c>
      <c r="H139" t="s">
        <v>20</v>
      </c>
      <c r="I139" t="s">
        <v>43</v>
      </c>
      <c r="J139">
        <v>763.8</v>
      </c>
      <c r="K139">
        <v>840.2</v>
      </c>
      <c r="L139">
        <v>10721000</v>
      </c>
      <c r="M139" t="b">
        <v>0</v>
      </c>
      <c r="N139" t="b">
        <v>0</v>
      </c>
      <c r="O139">
        <v>5000</v>
      </c>
      <c r="P139" t="b">
        <v>0</v>
      </c>
      <c r="Q139" t="b">
        <v>0</v>
      </c>
      <c r="R139" t="b">
        <v>0</v>
      </c>
      <c r="S139" t="s">
        <v>96</v>
      </c>
      <c r="T139">
        <v>16.803999999999998</v>
      </c>
      <c r="U139">
        <v>0</v>
      </c>
      <c r="V139">
        <v>0</v>
      </c>
      <c r="W139">
        <v>4</v>
      </c>
      <c r="X139" s="6">
        <v>46113</v>
      </c>
    </row>
    <row r="140" spans="1:24" x14ac:dyDescent="0.3">
      <c r="A140" t="s">
        <v>501</v>
      </c>
      <c r="B140" s="6">
        <v>46140</v>
      </c>
      <c r="C140" s="6">
        <v>46141</v>
      </c>
      <c r="D140" s="6">
        <v>46143</v>
      </c>
      <c r="E140" s="6">
        <v>46143</v>
      </c>
      <c r="F140" t="s">
        <v>31</v>
      </c>
      <c r="G140" t="s">
        <v>57</v>
      </c>
      <c r="H140" t="s">
        <v>20</v>
      </c>
      <c r="I140" t="s">
        <v>45</v>
      </c>
      <c r="J140">
        <v>121.4</v>
      </c>
      <c r="K140">
        <v>524</v>
      </c>
      <c r="L140">
        <v>1664000</v>
      </c>
      <c r="M140" t="b">
        <v>0</v>
      </c>
      <c r="N140" t="b">
        <v>0</v>
      </c>
      <c r="O140">
        <v>1000</v>
      </c>
      <c r="P140" t="b">
        <v>0</v>
      </c>
      <c r="Q140" t="b">
        <v>0</v>
      </c>
      <c r="R140" t="b">
        <v>0</v>
      </c>
      <c r="S140" t="s">
        <v>96</v>
      </c>
      <c r="T140">
        <v>52.400000000000013</v>
      </c>
      <c r="U140">
        <v>0</v>
      </c>
      <c r="V140">
        <v>0</v>
      </c>
      <c r="W140">
        <v>2</v>
      </c>
      <c r="X140" s="6">
        <v>46113</v>
      </c>
    </row>
    <row r="141" spans="1:24" x14ac:dyDescent="0.3">
      <c r="A141" t="s">
        <v>496</v>
      </c>
      <c r="B141" s="6">
        <v>46129</v>
      </c>
      <c r="C141" s="6">
        <v>46129</v>
      </c>
      <c r="D141" s="6">
        <v>46131</v>
      </c>
      <c r="E141" s="6">
        <v>46131</v>
      </c>
      <c r="F141" t="s">
        <v>34</v>
      </c>
      <c r="G141" t="s">
        <v>53</v>
      </c>
      <c r="H141" t="s">
        <v>21</v>
      </c>
      <c r="I141" t="s">
        <v>43</v>
      </c>
      <c r="J141">
        <v>279.10000000000002</v>
      </c>
      <c r="K141">
        <v>721.9</v>
      </c>
      <c r="L141">
        <v>4254000</v>
      </c>
      <c r="M141" t="b">
        <v>0</v>
      </c>
      <c r="N141" t="b">
        <v>0</v>
      </c>
      <c r="O141">
        <v>5000</v>
      </c>
      <c r="P141" t="b">
        <v>0</v>
      </c>
      <c r="Q141" t="b">
        <v>0</v>
      </c>
      <c r="R141" t="b">
        <v>0</v>
      </c>
      <c r="S141" t="s">
        <v>96</v>
      </c>
      <c r="T141">
        <v>14.438000000000001</v>
      </c>
      <c r="U141">
        <v>0</v>
      </c>
      <c r="V141">
        <v>0</v>
      </c>
      <c r="W141">
        <v>2</v>
      </c>
      <c r="X141" s="6">
        <v>46113</v>
      </c>
    </row>
    <row r="142" spans="1:24" x14ac:dyDescent="0.3">
      <c r="A142" t="s">
        <v>484</v>
      </c>
      <c r="B142" s="6">
        <v>46113</v>
      </c>
      <c r="C142" s="6">
        <v>46115</v>
      </c>
      <c r="D142" s="6">
        <v>46118</v>
      </c>
      <c r="E142" s="6">
        <v>46118</v>
      </c>
      <c r="F142" t="s">
        <v>32</v>
      </c>
      <c r="G142" t="s">
        <v>60</v>
      </c>
      <c r="H142" t="s">
        <v>23</v>
      </c>
      <c r="I142" t="s">
        <v>42</v>
      </c>
      <c r="J142">
        <v>467.5</v>
      </c>
      <c r="K142">
        <v>12837.3</v>
      </c>
      <c r="L142">
        <v>12908000</v>
      </c>
      <c r="M142" t="b">
        <v>0</v>
      </c>
      <c r="N142" t="b">
        <v>0</v>
      </c>
      <c r="O142">
        <v>16000</v>
      </c>
      <c r="P142" t="b">
        <v>0</v>
      </c>
      <c r="Q142" t="b">
        <v>0</v>
      </c>
      <c r="R142" t="b">
        <v>0</v>
      </c>
      <c r="S142" t="s">
        <v>96</v>
      </c>
      <c r="T142">
        <v>80.233125000000001</v>
      </c>
      <c r="U142">
        <v>0</v>
      </c>
      <c r="V142">
        <v>0</v>
      </c>
      <c r="W142">
        <v>3</v>
      </c>
      <c r="X142" s="6">
        <v>46113</v>
      </c>
    </row>
    <row r="143" spans="1:24" x14ac:dyDescent="0.3">
      <c r="A143" t="s">
        <v>477</v>
      </c>
      <c r="B143" s="6">
        <v>46114</v>
      </c>
      <c r="C143" s="6">
        <v>46115</v>
      </c>
      <c r="D143" s="6">
        <v>46116</v>
      </c>
      <c r="E143" s="6">
        <v>46116</v>
      </c>
      <c r="F143" t="s">
        <v>34</v>
      </c>
      <c r="G143" t="s">
        <v>55</v>
      </c>
      <c r="H143" t="s">
        <v>21</v>
      </c>
      <c r="I143" t="s">
        <v>44</v>
      </c>
      <c r="J143">
        <v>58.4</v>
      </c>
      <c r="K143">
        <v>751.1</v>
      </c>
      <c r="L143">
        <v>1423000</v>
      </c>
      <c r="M143" t="b">
        <v>0</v>
      </c>
      <c r="N143" t="b">
        <v>0</v>
      </c>
      <c r="O143">
        <v>1500</v>
      </c>
      <c r="P143" t="b">
        <v>0</v>
      </c>
      <c r="Q143" t="b">
        <v>0</v>
      </c>
      <c r="R143" t="b">
        <v>0</v>
      </c>
      <c r="S143" t="s">
        <v>96</v>
      </c>
      <c r="T143">
        <v>50.073333333333338</v>
      </c>
      <c r="U143">
        <v>0</v>
      </c>
      <c r="V143">
        <v>0</v>
      </c>
      <c r="W143">
        <v>1</v>
      </c>
      <c r="X143" s="6">
        <v>46113</v>
      </c>
    </row>
    <row r="144" spans="1:24" x14ac:dyDescent="0.3">
      <c r="A144" t="s">
        <v>248</v>
      </c>
      <c r="B144" s="6">
        <v>46137</v>
      </c>
      <c r="C144" s="6">
        <v>46138</v>
      </c>
      <c r="D144" s="6">
        <v>46139</v>
      </c>
      <c r="E144" s="6">
        <v>46139</v>
      </c>
      <c r="F144" t="s">
        <v>31</v>
      </c>
      <c r="G144" t="s">
        <v>55</v>
      </c>
      <c r="H144" t="s">
        <v>22</v>
      </c>
      <c r="I144" t="s">
        <v>45</v>
      </c>
      <c r="J144">
        <v>15.7</v>
      </c>
      <c r="K144">
        <v>80</v>
      </c>
      <c r="L144">
        <v>641000</v>
      </c>
      <c r="M144" t="b">
        <v>0</v>
      </c>
      <c r="N144" t="b">
        <v>0</v>
      </c>
      <c r="O144">
        <v>1000</v>
      </c>
      <c r="P144" t="b">
        <v>0</v>
      </c>
      <c r="Q144" t="b">
        <v>0</v>
      </c>
      <c r="R144" t="b">
        <v>0</v>
      </c>
      <c r="S144" t="s">
        <v>96</v>
      </c>
      <c r="T144">
        <v>8</v>
      </c>
      <c r="U144">
        <v>0</v>
      </c>
      <c r="V144">
        <v>0</v>
      </c>
      <c r="W144">
        <v>1</v>
      </c>
      <c r="X144" s="6">
        <v>46113</v>
      </c>
    </row>
    <row r="145" spans="1:24" x14ac:dyDescent="0.3">
      <c r="A145" t="s">
        <v>473</v>
      </c>
      <c r="B145" s="6">
        <v>46134</v>
      </c>
      <c r="C145" s="6">
        <v>46135</v>
      </c>
      <c r="D145" s="6">
        <v>46138</v>
      </c>
      <c r="E145" s="6">
        <v>46138</v>
      </c>
      <c r="F145" t="s">
        <v>34</v>
      </c>
      <c r="G145" t="s">
        <v>53</v>
      </c>
      <c r="H145" t="s">
        <v>20</v>
      </c>
      <c r="I145" t="s">
        <v>43</v>
      </c>
      <c r="J145">
        <v>311</v>
      </c>
      <c r="K145">
        <v>1091</v>
      </c>
      <c r="L145">
        <v>4940000</v>
      </c>
      <c r="M145" t="b">
        <v>0</v>
      </c>
      <c r="N145" t="b">
        <v>0</v>
      </c>
      <c r="O145">
        <v>5000</v>
      </c>
      <c r="P145" t="b">
        <v>0</v>
      </c>
      <c r="Q145" t="b">
        <v>0</v>
      </c>
      <c r="R145" t="b">
        <v>0</v>
      </c>
      <c r="S145" t="s">
        <v>96</v>
      </c>
      <c r="T145">
        <v>21.82</v>
      </c>
      <c r="U145">
        <v>0</v>
      </c>
      <c r="V145">
        <v>0</v>
      </c>
      <c r="W145">
        <v>3</v>
      </c>
      <c r="X145" s="6">
        <v>46113</v>
      </c>
    </row>
    <row r="146" spans="1:24" x14ac:dyDescent="0.3">
      <c r="A146" t="s">
        <v>451</v>
      </c>
      <c r="B146" s="6">
        <v>46122</v>
      </c>
      <c r="C146" s="6">
        <v>46122</v>
      </c>
      <c r="D146" s="6">
        <v>46126</v>
      </c>
      <c r="E146" s="6">
        <v>46126</v>
      </c>
      <c r="F146" t="s">
        <v>31</v>
      </c>
      <c r="G146" t="s">
        <v>62</v>
      </c>
      <c r="H146" t="s">
        <v>23</v>
      </c>
      <c r="I146" t="s">
        <v>42</v>
      </c>
      <c r="J146">
        <v>732.6</v>
      </c>
      <c r="K146">
        <v>12426.9</v>
      </c>
      <c r="L146">
        <v>18832000</v>
      </c>
      <c r="M146" t="b">
        <v>0</v>
      </c>
      <c r="N146" t="b">
        <v>0</v>
      </c>
      <c r="O146">
        <v>16000</v>
      </c>
      <c r="P146" t="b">
        <v>0</v>
      </c>
      <c r="Q146" t="b">
        <v>0</v>
      </c>
      <c r="R146" t="b">
        <v>0</v>
      </c>
      <c r="S146" t="s">
        <v>96</v>
      </c>
      <c r="T146">
        <v>77.668125000000003</v>
      </c>
      <c r="U146">
        <v>0</v>
      </c>
      <c r="V146">
        <v>0</v>
      </c>
      <c r="W146">
        <v>4</v>
      </c>
      <c r="X146" s="6">
        <v>46113</v>
      </c>
    </row>
    <row r="147" spans="1:24" x14ac:dyDescent="0.3">
      <c r="A147" t="s">
        <v>440</v>
      </c>
      <c r="B147" s="6">
        <v>46127</v>
      </c>
      <c r="C147" s="6">
        <v>46128</v>
      </c>
      <c r="D147" s="6">
        <v>46129</v>
      </c>
      <c r="E147" s="6">
        <v>46129</v>
      </c>
      <c r="F147" t="s">
        <v>31</v>
      </c>
      <c r="G147" t="s">
        <v>61</v>
      </c>
      <c r="H147" t="s">
        <v>22</v>
      </c>
      <c r="I147" t="s">
        <v>43</v>
      </c>
      <c r="J147">
        <v>63.8</v>
      </c>
      <c r="K147">
        <v>2465</v>
      </c>
      <c r="L147">
        <v>2713000</v>
      </c>
      <c r="M147" t="b">
        <v>0</v>
      </c>
      <c r="N147" t="b">
        <v>0</v>
      </c>
      <c r="O147">
        <v>5000</v>
      </c>
      <c r="P147" t="b">
        <v>0</v>
      </c>
      <c r="Q147" t="b">
        <v>0</v>
      </c>
      <c r="R147" t="b">
        <v>0</v>
      </c>
      <c r="S147" t="s">
        <v>96</v>
      </c>
      <c r="T147">
        <v>49.3</v>
      </c>
      <c r="U147">
        <v>0</v>
      </c>
      <c r="V147">
        <v>0</v>
      </c>
      <c r="W147">
        <v>1</v>
      </c>
      <c r="X147" s="6">
        <v>46113</v>
      </c>
    </row>
    <row r="148" spans="1:24" x14ac:dyDescent="0.3">
      <c r="A148" t="s">
        <v>434</v>
      </c>
      <c r="B148" s="6">
        <v>46128</v>
      </c>
      <c r="C148" s="6">
        <v>46129</v>
      </c>
      <c r="D148" s="6">
        <v>46132</v>
      </c>
      <c r="E148" s="6">
        <v>46132</v>
      </c>
      <c r="F148" t="s">
        <v>34</v>
      </c>
      <c r="G148" t="s">
        <v>63</v>
      </c>
      <c r="H148" t="s">
        <v>23</v>
      </c>
      <c r="I148" t="s">
        <v>45</v>
      </c>
      <c r="J148">
        <v>331.8</v>
      </c>
      <c r="K148">
        <v>469.1</v>
      </c>
      <c r="L148">
        <v>3714000</v>
      </c>
      <c r="M148" t="b">
        <v>0</v>
      </c>
      <c r="N148" t="b">
        <v>0</v>
      </c>
      <c r="O148">
        <v>1000</v>
      </c>
      <c r="P148" t="b">
        <v>0</v>
      </c>
      <c r="Q148" t="b">
        <v>0</v>
      </c>
      <c r="R148" t="b">
        <v>0</v>
      </c>
      <c r="S148" t="s">
        <v>96</v>
      </c>
      <c r="T148">
        <v>46.91</v>
      </c>
      <c r="U148">
        <v>0</v>
      </c>
      <c r="V148">
        <v>0</v>
      </c>
      <c r="W148">
        <v>3</v>
      </c>
      <c r="X148" s="6">
        <v>46113</v>
      </c>
    </row>
    <row r="149" spans="1:24" x14ac:dyDescent="0.3">
      <c r="A149" t="s">
        <v>426</v>
      </c>
      <c r="B149" s="6">
        <v>46121</v>
      </c>
      <c r="C149" s="6">
        <v>46122</v>
      </c>
      <c r="D149" s="6">
        <v>46124</v>
      </c>
      <c r="E149" s="6">
        <v>46124</v>
      </c>
      <c r="F149" t="s">
        <v>34</v>
      </c>
      <c r="G149" t="s">
        <v>58</v>
      </c>
      <c r="H149" t="s">
        <v>21</v>
      </c>
      <c r="I149" t="s">
        <v>43</v>
      </c>
      <c r="J149">
        <v>153.4</v>
      </c>
      <c r="K149">
        <v>2310.6</v>
      </c>
      <c r="L149">
        <v>3750000</v>
      </c>
      <c r="M149" t="b">
        <v>0</v>
      </c>
      <c r="N149" t="b">
        <v>0</v>
      </c>
      <c r="O149">
        <v>5000</v>
      </c>
      <c r="P149" t="b">
        <v>0</v>
      </c>
      <c r="Q149" t="b">
        <v>0</v>
      </c>
      <c r="R149" t="b">
        <v>0</v>
      </c>
      <c r="S149" t="s">
        <v>96</v>
      </c>
      <c r="T149">
        <v>46.212000000000003</v>
      </c>
      <c r="U149">
        <v>0</v>
      </c>
      <c r="V149">
        <v>0</v>
      </c>
      <c r="W149">
        <v>2</v>
      </c>
      <c r="X149" s="6">
        <v>46113</v>
      </c>
    </row>
    <row r="150" spans="1:24" x14ac:dyDescent="0.3">
      <c r="A150" t="s">
        <v>254</v>
      </c>
      <c r="B150" s="6">
        <v>46134</v>
      </c>
      <c r="C150" s="6">
        <v>46135</v>
      </c>
      <c r="D150" s="6">
        <v>46139</v>
      </c>
      <c r="E150" s="6">
        <v>46139</v>
      </c>
      <c r="F150" t="s">
        <v>34</v>
      </c>
      <c r="G150" t="s">
        <v>62</v>
      </c>
      <c r="H150" t="s">
        <v>20</v>
      </c>
      <c r="I150" t="s">
        <v>44</v>
      </c>
      <c r="J150">
        <v>718.8</v>
      </c>
      <c r="K150">
        <v>364</v>
      </c>
      <c r="L150">
        <v>7570000</v>
      </c>
      <c r="M150" t="b">
        <v>0</v>
      </c>
      <c r="N150" t="b">
        <v>0</v>
      </c>
      <c r="O150">
        <v>1500</v>
      </c>
      <c r="P150" t="b">
        <v>0</v>
      </c>
      <c r="Q150" t="b">
        <v>0</v>
      </c>
      <c r="R150" t="b">
        <v>0</v>
      </c>
      <c r="S150" t="s">
        <v>96</v>
      </c>
      <c r="T150">
        <v>24.266666666666669</v>
      </c>
      <c r="U150">
        <v>0</v>
      </c>
      <c r="V150">
        <v>0</v>
      </c>
      <c r="W150">
        <v>4</v>
      </c>
      <c r="X150" s="6">
        <v>46113</v>
      </c>
    </row>
    <row r="151" spans="1:24" x14ac:dyDescent="0.3">
      <c r="A151" t="s">
        <v>405</v>
      </c>
      <c r="B151" s="6">
        <v>46135</v>
      </c>
      <c r="C151" s="6">
        <v>46136</v>
      </c>
      <c r="D151" s="6">
        <v>46138</v>
      </c>
      <c r="E151" s="6">
        <v>46138</v>
      </c>
      <c r="F151" t="s">
        <v>32</v>
      </c>
      <c r="G151" t="s">
        <v>63</v>
      </c>
      <c r="H151" t="s">
        <v>20</v>
      </c>
      <c r="I151" t="s">
        <v>43</v>
      </c>
      <c r="J151">
        <v>198.4</v>
      </c>
      <c r="K151">
        <v>4211.6000000000004</v>
      </c>
      <c r="L151">
        <v>4581000</v>
      </c>
      <c r="M151" t="b">
        <v>0</v>
      </c>
      <c r="N151" t="b">
        <v>0</v>
      </c>
      <c r="O151">
        <v>5000</v>
      </c>
      <c r="P151" t="b">
        <v>0</v>
      </c>
      <c r="Q151" t="b">
        <v>0</v>
      </c>
      <c r="R151" t="b">
        <v>0</v>
      </c>
      <c r="S151" t="s">
        <v>96</v>
      </c>
      <c r="T151">
        <v>84.232000000000014</v>
      </c>
      <c r="U151">
        <v>0</v>
      </c>
      <c r="V151">
        <v>0</v>
      </c>
      <c r="W151">
        <v>2</v>
      </c>
      <c r="X151" s="6">
        <v>46113</v>
      </c>
    </row>
    <row r="152" spans="1:24" x14ac:dyDescent="0.3">
      <c r="A152" t="s">
        <v>401</v>
      </c>
      <c r="B152" s="6">
        <v>46140</v>
      </c>
      <c r="C152" s="6">
        <v>46141</v>
      </c>
      <c r="D152" s="6">
        <v>46144</v>
      </c>
      <c r="E152" s="6">
        <v>46144</v>
      </c>
      <c r="F152" t="s">
        <v>33</v>
      </c>
      <c r="G152" t="s">
        <v>62</v>
      </c>
      <c r="H152" t="s">
        <v>24</v>
      </c>
      <c r="I152" t="s">
        <v>43</v>
      </c>
      <c r="J152">
        <v>142.4</v>
      </c>
      <c r="K152">
        <v>1397.9</v>
      </c>
      <c r="L152">
        <v>3186000</v>
      </c>
      <c r="M152" t="b">
        <v>0</v>
      </c>
      <c r="N152" t="b">
        <v>0</v>
      </c>
      <c r="O152">
        <v>5000</v>
      </c>
      <c r="P152" t="b">
        <v>0</v>
      </c>
      <c r="Q152" t="b">
        <v>0</v>
      </c>
      <c r="R152" t="b">
        <v>0</v>
      </c>
      <c r="S152" t="s">
        <v>96</v>
      </c>
      <c r="T152">
        <v>27.957999999999998</v>
      </c>
      <c r="U152">
        <v>0</v>
      </c>
      <c r="V152">
        <v>0</v>
      </c>
      <c r="W152">
        <v>3</v>
      </c>
      <c r="X152" s="6">
        <v>46113</v>
      </c>
    </row>
    <row r="153" spans="1:24" x14ac:dyDescent="0.3">
      <c r="A153" t="s">
        <v>387</v>
      </c>
      <c r="B153" s="6">
        <v>46133</v>
      </c>
      <c r="C153" s="6">
        <v>46133</v>
      </c>
      <c r="D153" s="6">
        <v>46137</v>
      </c>
      <c r="E153" s="6">
        <v>46137</v>
      </c>
      <c r="F153" t="s">
        <v>33</v>
      </c>
      <c r="G153" t="s">
        <v>56</v>
      </c>
      <c r="H153" t="s">
        <v>21</v>
      </c>
      <c r="I153" t="s">
        <v>45</v>
      </c>
      <c r="J153">
        <v>1525.3</v>
      </c>
      <c r="K153">
        <v>116.1</v>
      </c>
      <c r="L153">
        <v>13623000</v>
      </c>
      <c r="M153" t="b">
        <v>0</v>
      </c>
      <c r="N153" t="b">
        <v>0</v>
      </c>
      <c r="O153">
        <v>1000</v>
      </c>
      <c r="P153" t="b">
        <v>0</v>
      </c>
      <c r="Q153" t="b">
        <v>0</v>
      </c>
      <c r="R153" t="b">
        <v>0</v>
      </c>
      <c r="S153" t="s">
        <v>96</v>
      </c>
      <c r="T153">
        <v>11.61</v>
      </c>
      <c r="U153">
        <v>0</v>
      </c>
      <c r="V153">
        <v>0</v>
      </c>
      <c r="W153">
        <v>4</v>
      </c>
      <c r="X153" s="6">
        <v>46113</v>
      </c>
    </row>
    <row r="154" spans="1:24" x14ac:dyDescent="0.3">
      <c r="A154" t="s">
        <v>375</v>
      </c>
      <c r="B154" s="6">
        <v>46134</v>
      </c>
      <c r="C154" s="6">
        <v>46135</v>
      </c>
      <c r="D154" s="6">
        <v>46137</v>
      </c>
      <c r="E154" s="6">
        <v>46137</v>
      </c>
      <c r="F154" t="s">
        <v>32</v>
      </c>
      <c r="G154" t="s">
        <v>59</v>
      </c>
      <c r="H154" t="s">
        <v>23</v>
      </c>
      <c r="I154" t="s">
        <v>44</v>
      </c>
      <c r="J154">
        <v>181.2</v>
      </c>
      <c r="K154">
        <v>1267.8</v>
      </c>
      <c r="L154">
        <v>2966000</v>
      </c>
      <c r="M154" t="b">
        <v>0</v>
      </c>
      <c r="N154" t="b">
        <v>0</v>
      </c>
      <c r="O154">
        <v>1500</v>
      </c>
      <c r="P154" t="b">
        <v>0</v>
      </c>
      <c r="Q154" t="b">
        <v>0</v>
      </c>
      <c r="R154" t="b">
        <v>0</v>
      </c>
      <c r="S154" t="s">
        <v>96</v>
      </c>
      <c r="T154">
        <v>84.52</v>
      </c>
      <c r="U154">
        <v>0</v>
      </c>
      <c r="V154">
        <v>0</v>
      </c>
      <c r="W154">
        <v>2</v>
      </c>
      <c r="X154" s="6">
        <v>46113</v>
      </c>
    </row>
    <row r="155" spans="1:24" x14ac:dyDescent="0.3">
      <c r="A155" t="s">
        <v>371</v>
      </c>
      <c r="B155" s="6">
        <v>46119</v>
      </c>
      <c r="C155" s="6">
        <v>46120</v>
      </c>
      <c r="D155" s="6">
        <v>46123</v>
      </c>
      <c r="E155" s="6">
        <v>46123</v>
      </c>
      <c r="F155" t="s">
        <v>34</v>
      </c>
      <c r="G155" t="s">
        <v>53</v>
      </c>
      <c r="H155" t="s">
        <v>23</v>
      </c>
      <c r="I155" t="s">
        <v>42</v>
      </c>
      <c r="J155">
        <v>318.60000000000002</v>
      </c>
      <c r="K155">
        <v>8864.7999999999993</v>
      </c>
      <c r="L155">
        <v>8778000</v>
      </c>
      <c r="M155" t="b">
        <v>0</v>
      </c>
      <c r="N155" t="b">
        <v>0</v>
      </c>
      <c r="O155">
        <v>16000</v>
      </c>
      <c r="P155" t="b">
        <v>0</v>
      </c>
      <c r="Q155" t="b">
        <v>0</v>
      </c>
      <c r="R155" t="b">
        <v>0</v>
      </c>
      <c r="S155" t="s">
        <v>96</v>
      </c>
      <c r="T155">
        <v>55.404999999999987</v>
      </c>
      <c r="U155">
        <v>0</v>
      </c>
      <c r="V155">
        <v>0</v>
      </c>
      <c r="W155">
        <v>3</v>
      </c>
      <c r="X155" s="6">
        <v>46113</v>
      </c>
    </row>
    <row r="156" spans="1:24" x14ac:dyDescent="0.3">
      <c r="A156" t="s">
        <v>368</v>
      </c>
      <c r="B156" s="6">
        <v>46127</v>
      </c>
      <c r="C156" s="6">
        <v>46128</v>
      </c>
      <c r="D156" s="6">
        <v>46132</v>
      </c>
      <c r="E156" s="6">
        <v>46132</v>
      </c>
      <c r="F156" t="s">
        <v>31</v>
      </c>
      <c r="G156" t="s">
        <v>59</v>
      </c>
      <c r="H156" t="s">
        <v>23</v>
      </c>
      <c r="I156" t="s">
        <v>43</v>
      </c>
      <c r="J156">
        <v>303.7</v>
      </c>
      <c r="K156">
        <v>3343.5</v>
      </c>
      <c r="L156">
        <v>5968000</v>
      </c>
      <c r="M156" t="b">
        <v>0</v>
      </c>
      <c r="N156" t="b">
        <v>0</v>
      </c>
      <c r="O156">
        <v>5000</v>
      </c>
      <c r="P156" t="b">
        <v>0</v>
      </c>
      <c r="Q156" t="b">
        <v>0</v>
      </c>
      <c r="R156" t="b">
        <v>0</v>
      </c>
      <c r="S156" t="s">
        <v>96</v>
      </c>
      <c r="T156">
        <v>66.86999999999999</v>
      </c>
      <c r="U156">
        <v>0</v>
      </c>
      <c r="V156">
        <v>0</v>
      </c>
      <c r="W156">
        <v>4</v>
      </c>
      <c r="X156" s="6">
        <v>46113</v>
      </c>
    </row>
    <row r="157" spans="1:24" x14ac:dyDescent="0.3">
      <c r="A157" t="s">
        <v>347</v>
      </c>
      <c r="B157" s="6">
        <v>46139</v>
      </c>
      <c r="C157" s="6">
        <v>46140</v>
      </c>
      <c r="D157" s="6">
        <v>46143</v>
      </c>
      <c r="E157" s="6">
        <v>46143</v>
      </c>
      <c r="F157" t="s">
        <v>34</v>
      </c>
      <c r="G157" t="s">
        <v>53</v>
      </c>
      <c r="H157" t="s">
        <v>20</v>
      </c>
      <c r="I157" t="s">
        <v>43</v>
      </c>
      <c r="J157">
        <v>323.2</v>
      </c>
      <c r="K157">
        <v>1721.8</v>
      </c>
      <c r="L157">
        <v>5364000</v>
      </c>
      <c r="M157" t="b">
        <v>0</v>
      </c>
      <c r="N157" t="b">
        <v>0</v>
      </c>
      <c r="O157">
        <v>5000</v>
      </c>
      <c r="P157" t="b">
        <v>0</v>
      </c>
      <c r="Q157" t="b">
        <v>0</v>
      </c>
      <c r="R157" t="b">
        <v>0</v>
      </c>
      <c r="S157" t="s">
        <v>96</v>
      </c>
      <c r="T157">
        <v>34.436</v>
      </c>
      <c r="U157">
        <v>0</v>
      </c>
      <c r="V157">
        <v>0</v>
      </c>
      <c r="W157">
        <v>3</v>
      </c>
      <c r="X157" s="6">
        <v>46113</v>
      </c>
    </row>
    <row r="158" spans="1:24" x14ac:dyDescent="0.3">
      <c r="A158" t="s">
        <v>341</v>
      </c>
      <c r="B158" s="6">
        <v>46115</v>
      </c>
      <c r="C158" s="6">
        <v>46116</v>
      </c>
      <c r="D158" s="6">
        <v>46119</v>
      </c>
      <c r="E158" s="6">
        <v>46119</v>
      </c>
      <c r="F158" t="s">
        <v>32</v>
      </c>
      <c r="G158" t="s">
        <v>54</v>
      </c>
      <c r="H158" t="s">
        <v>24</v>
      </c>
      <c r="I158" t="s">
        <v>43</v>
      </c>
      <c r="J158">
        <v>544.20000000000005</v>
      </c>
      <c r="K158">
        <v>3271.7</v>
      </c>
      <c r="L158">
        <v>8651000</v>
      </c>
      <c r="M158" t="b">
        <v>0</v>
      </c>
      <c r="N158" t="b">
        <v>0</v>
      </c>
      <c r="O158">
        <v>5000</v>
      </c>
      <c r="P158" t="b">
        <v>0</v>
      </c>
      <c r="Q158" t="b">
        <v>0</v>
      </c>
      <c r="R158" t="b">
        <v>0</v>
      </c>
      <c r="S158" t="s">
        <v>96</v>
      </c>
      <c r="T158">
        <v>65.433999999999997</v>
      </c>
      <c r="U158">
        <v>0</v>
      </c>
      <c r="V158">
        <v>0</v>
      </c>
      <c r="W158">
        <v>3</v>
      </c>
      <c r="X158" s="6">
        <v>46113</v>
      </c>
    </row>
    <row r="159" spans="1:24" x14ac:dyDescent="0.3">
      <c r="A159" t="s">
        <v>333</v>
      </c>
      <c r="B159" s="6">
        <v>46121</v>
      </c>
      <c r="C159" s="6">
        <v>46122</v>
      </c>
      <c r="D159" s="6">
        <v>46126</v>
      </c>
      <c r="E159" s="6">
        <v>46126</v>
      </c>
      <c r="F159" t="s">
        <v>31</v>
      </c>
      <c r="G159" t="s">
        <v>62</v>
      </c>
      <c r="H159" t="s">
        <v>21</v>
      </c>
      <c r="I159" t="s">
        <v>45</v>
      </c>
      <c r="J159">
        <v>686.3</v>
      </c>
      <c r="K159">
        <v>857.1</v>
      </c>
      <c r="L159">
        <v>7016000</v>
      </c>
      <c r="M159" t="b">
        <v>0</v>
      </c>
      <c r="N159" t="b">
        <v>0</v>
      </c>
      <c r="O159">
        <v>1000</v>
      </c>
      <c r="P159" t="b">
        <v>0</v>
      </c>
      <c r="Q159" t="b">
        <v>0</v>
      </c>
      <c r="R159" t="b">
        <v>0</v>
      </c>
      <c r="S159" t="s">
        <v>96</v>
      </c>
      <c r="T159">
        <v>85.71</v>
      </c>
      <c r="U159">
        <v>0</v>
      </c>
      <c r="V159">
        <v>0</v>
      </c>
      <c r="W159">
        <v>4</v>
      </c>
      <c r="X159" s="6">
        <v>46113</v>
      </c>
    </row>
    <row r="160" spans="1:24" x14ac:dyDescent="0.3">
      <c r="A160" t="s">
        <v>324</v>
      </c>
      <c r="B160" s="6">
        <v>46119</v>
      </c>
      <c r="C160" s="6">
        <v>46120</v>
      </c>
      <c r="D160" s="6">
        <v>46121</v>
      </c>
      <c r="E160" s="6">
        <v>46121</v>
      </c>
      <c r="F160" t="s">
        <v>31</v>
      </c>
      <c r="G160" t="s">
        <v>61</v>
      </c>
      <c r="H160" t="s">
        <v>20</v>
      </c>
      <c r="I160" t="s">
        <v>43</v>
      </c>
      <c r="J160">
        <v>53.5</v>
      </c>
      <c r="K160">
        <v>1350.7</v>
      </c>
      <c r="L160">
        <v>1817000</v>
      </c>
      <c r="M160" t="b">
        <v>0</v>
      </c>
      <c r="N160" t="b">
        <v>0</v>
      </c>
      <c r="O160">
        <v>5000</v>
      </c>
      <c r="P160" t="b">
        <v>0</v>
      </c>
      <c r="Q160" t="b">
        <v>0</v>
      </c>
      <c r="R160" t="b">
        <v>0</v>
      </c>
      <c r="S160" t="s">
        <v>96</v>
      </c>
      <c r="T160">
        <v>27.013999999999999</v>
      </c>
      <c r="U160">
        <v>0</v>
      </c>
      <c r="V160">
        <v>0</v>
      </c>
      <c r="W160">
        <v>1</v>
      </c>
      <c r="X160" s="6">
        <v>46113</v>
      </c>
    </row>
    <row r="161" spans="1:24" x14ac:dyDescent="0.3">
      <c r="A161" t="s">
        <v>314</v>
      </c>
      <c r="B161" s="6">
        <v>46135</v>
      </c>
      <c r="C161" s="6">
        <v>46135</v>
      </c>
      <c r="D161" s="6">
        <v>46139</v>
      </c>
      <c r="E161" s="6">
        <v>46139</v>
      </c>
      <c r="F161" t="s">
        <v>33</v>
      </c>
      <c r="G161" t="s">
        <v>58</v>
      </c>
      <c r="H161" t="s">
        <v>22</v>
      </c>
      <c r="I161" t="s">
        <v>42</v>
      </c>
      <c r="J161">
        <v>709.9</v>
      </c>
      <c r="K161">
        <v>2897.3</v>
      </c>
      <c r="L161">
        <v>15363000</v>
      </c>
      <c r="M161" t="b">
        <v>0</v>
      </c>
      <c r="N161" t="b">
        <v>0</v>
      </c>
      <c r="O161">
        <v>16000</v>
      </c>
      <c r="P161" t="b">
        <v>0</v>
      </c>
      <c r="Q161" t="b">
        <v>0</v>
      </c>
      <c r="R161" t="b">
        <v>0</v>
      </c>
      <c r="S161" t="s">
        <v>96</v>
      </c>
      <c r="T161">
        <v>18.108125000000001</v>
      </c>
      <c r="U161">
        <v>0</v>
      </c>
      <c r="V161">
        <v>0</v>
      </c>
      <c r="W161">
        <v>4</v>
      </c>
      <c r="X161" s="6">
        <v>46113</v>
      </c>
    </row>
    <row r="162" spans="1:24" x14ac:dyDescent="0.3">
      <c r="A162" t="s">
        <v>313</v>
      </c>
      <c r="B162" s="6">
        <v>46132</v>
      </c>
      <c r="C162" s="6">
        <v>46132</v>
      </c>
      <c r="D162" s="6">
        <v>46135</v>
      </c>
      <c r="E162" s="6">
        <v>46135</v>
      </c>
      <c r="F162" t="s">
        <v>32</v>
      </c>
      <c r="G162" t="s">
        <v>60</v>
      </c>
      <c r="H162" t="s">
        <v>20</v>
      </c>
      <c r="I162" t="s">
        <v>42</v>
      </c>
      <c r="J162">
        <v>469</v>
      </c>
      <c r="K162">
        <v>3886.7</v>
      </c>
      <c r="L162">
        <v>11040000</v>
      </c>
      <c r="M162" t="b">
        <v>0</v>
      </c>
      <c r="N162" t="b">
        <v>0</v>
      </c>
      <c r="O162">
        <v>16000</v>
      </c>
      <c r="P162" t="b">
        <v>0</v>
      </c>
      <c r="Q162" t="b">
        <v>0</v>
      </c>
      <c r="R162" t="b">
        <v>0</v>
      </c>
      <c r="S162" t="s">
        <v>96</v>
      </c>
      <c r="T162">
        <v>24.291875000000001</v>
      </c>
      <c r="U162">
        <v>0</v>
      </c>
      <c r="V162">
        <v>0</v>
      </c>
      <c r="W162">
        <v>3</v>
      </c>
      <c r="X162" s="6">
        <v>46113</v>
      </c>
    </row>
    <row r="163" spans="1:24" x14ac:dyDescent="0.3">
      <c r="A163" t="s">
        <v>312</v>
      </c>
      <c r="B163" s="6">
        <v>46115</v>
      </c>
      <c r="C163" s="6">
        <v>46117</v>
      </c>
      <c r="D163" s="6">
        <v>46121</v>
      </c>
      <c r="E163" s="6">
        <v>46121</v>
      </c>
      <c r="F163" t="s">
        <v>33</v>
      </c>
      <c r="G163" t="s">
        <v>58</v>
      </c>
      <c r="H163" t="s">
        <v>22</v>
      </c>
      <c r="I163" t="s">
        <v>44</v>
      </c>
      <c r="J163">
        <v>715.3</v>
      </c>
      <c r="K163">
        <v>619.5</v>
      </c>
      <c r="L163">
        <v>8118000</v>
      </c>
      <c r="M163" t="b">
        <v>0</v>
      </c>
      <c r="N163" t="b">
        <v>0</v>
      </c>
      <c r="O163">
        <v>1500</v>
      </c>
      <c r="P163" t="b">
        <v>0</v>
      </c>
      <c r="Q163" t="b">
        <v>0</v>
      </c>
      <c r="R163" t="b">
        <v>0</v>
      </c>
      <c r="S163" t="s">
        <v>96</v>
      </c>
      <c r="T163">
        <v>41.3</v>
      </c>
      <c r="U163">
        <v>0</v>
      </c>
      <c r="V163">
        <v>0</v>
      </c>
      <c r="W163">
        <v>4</v>
      </c>
      <c r="X163" s="6">
        <v>46113</v>
      </c>
    </row>
    <row r="164" spans="1:24" x14ac:dyDescent="0.3">
      <c r="A164" t="s">
        <v>311</v>
      </c>
      <c r="B164" s="6">
        <v>46131</v>
      </c>
      <c r="C164" s="6">
        <v>46133</v>
      </c>
      <c r="D164" s="6">
        <v>46136</v>
      </c>
      <c r="E164" s="6">
        <v>46136</v>
      </c>
      <c r="F164" t="s">
        <v>31</v>
      </c>
      <c r="G164" t="s">
        <v>53</v>
      </c>
      <c r="H164" t="s">
        <v>22</v>
      </c>
      <c r="I164" t="s">
        <v>43</v>
      </c>
      <c r="J164">
        <v>316.5</v>
      </c>
      <c r="K164">
        <v>4267.6000000000004</v>
      </c>
      <c r="L164">
        <v>6694000</v>
      </c>
      <c r="M164" t="b">
        <v>0</v>
      </c>
      <c r="N164" t="b">
        <v>0</v>
      </c>
      <c r="O164">
        <v>5000</v>
      </c>
      <c r="P164" t="b">
        <v>0</v>
      </c>
      <c r="Q164" t="b">
        <v>0</v>
      </c>
      <c r="R164" t="b">
        <v>0</v>
      </c>
      <c r="S164" t="s">
        <v>96</v>
      </c>
      <c r="T164">
        <v>85.352000000000004</v>
      </c>
      <c r="U164">
        <v>0</v>
      </c>
      <c r="V164">
        <v>0</v>
      </c>
      <c r="W164">
        <v>3</v>
      </c>
      <c r="X164" s="6">
        <v>46113</v>
      </c>
    </row>
    <row r="165" spans="1:24" x14ac:dyDescent="0.3">
      <c r="A165" t="s">
        <v>308</v>
      </c>
      <c r="B165" s="6">
        <v>46120</v>
      </c>
      <c r="C165" s="6">
        <v>46122</v>
      </c>
      <c r="D165" s="6">
        <v>46126</v>
      </c>
      <c r="E165" s="6">
        <v>46126</v>
      </c>
      <c r="F165" t="s">
        <v>34</v>
      </c>
      <c r="G165" t="s">
        <v>56</v>
      </c>
      <c r="H165" t="s">
        <v>22</v>
      </c>
      <c r="I165" t="s">
        <v>44</v>
      </c>
      <c r="J165">
        <v>851.5</v>
      </c>
      <c r="K165">
        <v>984.2</v>
      </c>
      <c r="L165">
        <v>8719000</v>
      </c>
      <c r="M165" t="b">
        <v>0</v>
      </c>
      <c r="N165" t="b">
        <v>0</v>
      </c>
      <c r="O165">
        <v>1500</v>
      </c>
      <c r="P165" t="b">
        <v>0</v>
      </c>
      <c r="Q165" t="b">
        <v>0</v>
      </c>
      <c r="R165" t="b">
        <v>0</v>
      </c>
      <c r="S165" t="s">
        <v>96</v>
      </c>
      <c r="T165">
        <v>65.61333333333333</v>
      </c>
      <c r="U165">
        <v>0</v>
      </c>
      <c r="V165">
        <v>0</v>
      </c>
      <c r="W165">
        <v>4</v>
      </c>
      <c r="X165" s="6">
        <v>46113</v>
      </c>
    </row>
    <row r="166" spans="1:24" x14ac:dyDescent="0.3">
      <c r="A166" t="s">
        <v>306</v>
      </c>
      <c r="B166" s="6">
        <v>46113</v>
      </c>
      <c r="C166" s="6">
        <v>46114</v>
      </c>
      <c r="D166" s="6">
        <v>46118</v>
      </c>
      <c r="E166" s="6">
        <v>46118</v>
      </c>
      <c r="F166" t="s">
        <v>34</v>
      </c>
      <c r="G166" t="s">
        <v>60</v>
      </c>
      <c r="H166" t="s">
        <v>22</v>
      </c>
      <c r="I166" t="s">
        <v>45</v>
      </c>
      <c r="J166">
        <v>629.29999999999995</v>
      </c>
      <c r="K166">
        <v>717.9</v>
      </c>
      <c r="L166">
        <v>5625000</v>
      </c>
      <c r="M166" t="b">
        <v>0</v>
      </c>
      <c r="N166" t="b">
        <v>0</v>
      </c>
      <c r="O166">
        <v>1000</v>
      </c>
      <c r="P166" t="b">
        <v>0</v>
      </c>
      <c r="Q166" t="b">
        <v>0</v>
      </c>
      <c r="R166" t="b">
        <v>0</v>
      </c>
      <c r="S166" t="s">
        <v>96</v>
      </c>
      <c r="T166">
        <v>71.789999999999992</v>
      </c>
      <c r="U166">
        <v>0</v>
      </c>
      <c r="V166">
        <v>0</v>
      </c>
      <c r="W166">
        <v>4</v>
      </c>
      <c r="X166" s="6">
        <v>46113</v>
      </c>
    </row>
    <row r="167" spans="1:24" x14ac:dyDescent="0.3">
      <c r="A167" t="s">
        <v>282</v>
      </c>
      <c r="B167" s="6">
        <v>46136</v>
      </c>
      <c r="C167" s="6">
        <v>46136</v>
      </c>
      <c r="D167" s="6">
        <v>46140</v>
      </c>
      <c r="E167" s="6">
        <v>46140</v>
      </c>
      <c r="F167" t="s">
        <v>34</v>
      </c>
      <c r="G167" t="s">
        <v>60</v>
      </c>
      <c r="H167" t="s">
        <v>22</v>
      </c>
      <c r="I167" t="s">
        <v>43</v>
      </c>
      <c r="J167">
        <v>601.29999999999995</v>
      </c>
      <c r="K167">
        <v>3779.9</v>
      </c>
      <c r="L167">
        <v>10390000</v>
      </c>
      <c r="M167" t="b">
        <v>0</v>
      </c>
      <c r="N167" t="b">
        <v>0</v>
      </c>
      <c r="O167">
        <v>5000</v>
      </c>
      <c r="P167" t="b">
        <v>0</v>
      </c>
      <c r="Q167" t="b">
        <v>0</v>
      </c>
      <c r="R167" t="b">
        <v>0</v>
      </c>
      <c r="S167" t="s">
        <v>96</v>
      </c>
      <c r="T167">
        <v>75.597999999999999</v>
      </c>
      <c r="U167">
        <v>0</v>
      </c>
      <c r="V167">
        <v>0</v>
      </c>
      <c r="W167">
        <v>4</v>
      </c>
      <c r="X167" s="6">
        <v>46113</v>
      </c>
    </row>
    <row r="168" spans="1:24" x14ac:dyDescent="0.3">
      <c r="A168" t="s">
        <v>273</v>
      </c>
      <c r="B168" s="6">
        <v>46135</v>
      </c>
      <c r="C168" s="6">
        <v>46136</v>
      </c>
      <c r="D168" s="6">
        <v>46140</v>
      </c>
      <c r="E168" s="6">
        <v>46140</v>
      </c>
      <c r="F168" t="s">
        <v>31</v>
      </c>
      <c r="G168" t="s">
        <v>62</v>
      </c>
      <c r="H168" t="s">
        <v>23</v>
      </c>
      <c r="I168" t="s">
        <v>44</v>
      </c>
      <c r="J168">
        <v>754.6</v>
      </c>
      <c r="K168">
        <v>730.1</v>
      </c>
      <c r="L168">
        <v>7751000</v>
      </c>
      <c r="M168" t="b">
        <v>0</v>
      </c>
      <c r="N168" t="b">
        <v>0</v>
      </c>
      <c r="O168">
        <v>1500</v>
      </c>
      <c r="P168" t="b">
        <v>0</v>
      </c>
      <c r="Q168" t="b">
        <v>0</v>
      </c>
      <c r="R168" t="b">
        <v>0</v>
      </c>
      <c r="S168" t="s">
        <v>96</v>
      </c>
      <c r="T168">
        <v>48.673333333333332</v>
      </c>
      <c r="U168">
        <v>0</v>
      </c>
      <c r="V168">
        <v>0</v>
      </c>
      <c r="W168">
        <v>4</v>
      </c>
      <c r="X168" s="6">
        <v>46113</v>
      </c>
    </row>
    <row r="169" spans="1:24" x14ac:dyDescent="0.3">
      <c r="A169" t="s">
        <v>274</v>
      </c>
      <c r="B169" s="6">
        <v>46113</v>
      </c>
      <c r="C169" s="6">
        <v>46114</v>
      </c>
      <c r="D169" s="6">
        <v>46117</v>
      </c>
      <c r="E169" s="6">
        <v>46117</v>
      </c>
      <c r="F169" t="s">
        <v>33</v>
      </c>
      <c r="G169" t="s">
        <v>53</v>
      </c>
      <c r="H169" t="s">
        <v>20</v>
      </c>
      <c r="I169" t="s">
        <v>45</v>
      </c>
      <c r="J169">
        <v>585.4</v>
      </c>
      <c r="K169">
        <v>264.89999999999998</v>
      </c>
      <c r="L169">
        <v>6447000</v>
      </c>
      <c r="M169" t="b">
        <v>0</v>
      </c>
      <c r="N169" t="b">
        <v>0</v>
      </c>
      <c r="O169">
        <v>1000</v>
      </c>
      <c r="P169" t="b">
        <v>0</v>
      </c>
      <c r="Q169" t="b">
        <v>0</v>
      </c>
      <c r="R169" t="b">
        <v>0</v>
      </c>
      <c r="S169" t="s">
        <v>96</v>
      </c>
      <c r="T169">
        <v>26.49</v>
      </c>
      <c r="U169">
        <v>0</v>
      </c>
      <c r="V169">
        <v>0</v>
      </c>
      <c r="W169">
        <v>3</v>
      </c>
      <c r="X169" s="6">
        <v>46113</v>
      </c>
    </row>
    <row r="170" spans="1:24" x14ac:dyDescent="0.3">
      <c r="A170" t="s">
        <v>281</v>
      </c>
      <c r="B170" s="6">
        <v>46127</v>
      </c>
      <c r="C170" s="6">
        <v>46128</v>
      </c>
      <c r="D170" s="6">
        <v>46131</v>
      </c>
      <c r="E170" s="6">
        <v>46131</v>
      </c>
      <c r="F170" t="s">
        <v>31</v>
      </c>
      <c r="G170" t="s">
        <v>54</v>
      </c>
      <c r="H170" t="s">
        <v>21</v>
      </c>
      <c r="I170" t="s">
        <v>45</v>
      </c>
      <c r="J170">
        <v>483.9</v>
      </c>
      <c r="K170">
        <v>106</v>
      </c>
      <c r="L170">
        <v>5028000</v>
      </c>
      <c r="M170" t="b">
        <v>0</v>
      </c>
      <c r="N170" t="b">
        <v>0</v>
      </c>
      <c r="O170">
        <v>1000</v>
      </c>
      <c r="P170" t="b">
        <v>0</v>
      </c>
      <c r="Q170" t="b">
        <v>0</v>
      </c>
      <c r="R170" t="b">
        <v>0</v>
      </c>
      <c r="S170" t="s">
        <v>96</v>
      </c>
      <c r="T170">
        <v>10.6</v>
      </c>
      <c r="U170">
        <v>0</v>
      </c>
      <c r="V170">
        <v>0</v>
      </c>
      <c r="W170">
        <v>3</v>
      </c>
      <c r="X170" s="6">
        <v>46113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4440-37B2-4A66-9F7D-D3A9D0BF615F}">
  <dimension ref="A2:N23"/>
  <sheetViews>
    <sheetView zoomScale="66" zoomScaleNormal="66" workbookViewId="0">
      <selection activeCell="K17" sqref="K17"/>
    </sheetView>
  </sheetViews>
  <sheetFormatPr defaultRowHeight="14.4" x14ac:dyDescent="0.3"/>
  <cols>
    <col min="1" max="1" width="13.88671875" bestFit="1" customWidth="1"/>
    <col min="2" max="2" width="14.77734375" bestFit="1" customWidth="1"/>
    <col min="3" max="3" width="13.33203125" bestFit="1" customWidth="1"/>
    <col min="4" max="4" width="19.88671875" bestFit="1" customWidth="1"/>
    <col min="5" max="5" width="16.44140625" bestFit="1" customWidth="1"/>
    <col min="6" max="6" width="8.21875" bestFit="1" customWidth="1"/>
    <col min="7" max="7" width="10.88671875" bestFit="1" customWidth="1"/>
    <col min="8" max="8" width="8.21875" bestFit="1" customWidth="1"/>
    <col min="9" max="9" width="10.88671875" bestFit="1" customWidth="1"/>
    <col min="10" max="10" width="8" bestFit="1" customWidth="1"/>
    <col min="11" max="11" width="13.88671875" bestFit="1" customWidth="1"/>
    <col min="12" max="12" width="20.77734375" bestFit="1" customWidth="1"/>
    <col min="14" max="14" width="32.44140625" bestFit="1" customWidth="1"/>
  </cols>
  <sheetData>
    <row r="2" spans="1:14" x14ac:dyDescent="0.3">
      <c r="B2" t="s">
        <v>1582</v>
      </c>
      <c r="G2" t="s">
        <v>1587</v>
      </c>
      <c r="L2" t="s">
        <v>6</v>
      </c>
      <c r="N2" t="s">
        <v>5</v>
      </c>
    </row>
    <row r="3" spans="1:14" x14ac:dyDescent="0.3">
      <c r="A3" s="2" t="s">
        <v>1577</v>
      </c>
      <c r="B3" t="s">
        <v>1580</v>
      </c>
      <c r="C3" t="s">
        <v>1581</v>
      </c>
      <c r="D3" t="s">
        <v>1582</v>
      </c>
      <c r="F3" s="2" t="s">
        <v>1579</v>
      </c>
      <c r="G3" s="2" t="s">
        <v>1583</v>
      </c>
      <c r="K3" s="2" t="s">
        <v>1577</v>
      </c>
      <c r="L3" t="s">
        <v>1585</v>
      </c>
      <c r="N3" t="s">
        <v>1606</v>
      </c>
    </row>
    <row r="4" spans="1:14" x14ac:dyDescent="0.3">
      <c r="A4" s="7">
        <v>46204</v>
      </c>
      <c r="B4" s="45">
        <v>9</v>
      </c>
      <c r="C4" s="45">
        <v>51074000</v>
      </c>
      <c r="D4" s="45">
        <v>5674888.888888889</v>
      </c>
      <c r="F4" s="2" t="s">
        <v>1577</v>
      </c>
      <c r="G4" t="s">
        <v>101</v>
      </c>
      <c r="H4" t="s">
        <v>96</v>
      </c>
      <c r="I4" t="s">
        <v>1578</v>
      </c>
      <c r="K4" s="7">
        <v>46204</v>
      </c>
      <c r="L4" s="45">
        <v>1.5</v>
      </c>
      <c r="N4" s="45">
        <v>3.1465821000704723</v>
      </c>
    </row>
    <row r="5" spans="1:14" x14ac:dyDescent="0.3">
      <c r="A5" s="7">
        <v>46174</v>
      </c>
      <c r="B5" s="45">
        <v>248</v>
      </c>
      <c r="C5" s="45">
        <v>1515865000</v>
      </c>
      <c r="D5" s="45">
        <v>6112358.8709677421</v>
      </c>
      <c r="F5" s="7">
        <v>46023</v>
      </c>
      <c r="G5" s="4">
        <v>0.28225806451612906</v>
      </c>
      <c r="H5" s="4">
        <v>0.717741935483871</v>
      </c>
      <c r="I5" s="4">
        <v>1</v>
      </c>
      <c r="K5" s="7">
        <v>46174</v>
      </c>
      <c r="L5" s="45">
        <v>1.3714285714285714</v>
      </c>
    </row>
    <row r="6" spans="1:14" x14ac:dyDescent="0.3">
      <c r="A6" s="7">
        <v>46143</v>
      </c>
      <c r="B6" s="45">
        <v>261</v>
      </c>
      <c r="C6" s="45">
        <v>1698082000</v>
      </c>
      <c r="D6" s="45">
        <v>6506061.3026819928</v>
      </c>
      <c r="F6" s="7">
        <v>46054</v>
      </c>
      <c r="G6" s="4">
        <v>0.32828282828282829</v>
      </c>
      <c r="H6" s="4">
        <v>0.67171717171717171</v>
      </c>
      <c r="I6" s="4">
        <v>1</v>
      </c>
      <c r="K6" s="7">
        <v>46143</v>
      </c>
      <c r="L6" s="45">
        <v>1.2702702702702702</v>
      </c>
    </row>
    <row r="7" spans="1:14" x14ac:dyDescent="0.3">
      <c r="A7" s="7">
        <v>46023</v>
      </c>
      <c r="B7" s="45">
        <v>255</v>
      </c>
      <c r="C7" s="45">
        <v>1671320000</v>
      </c>
      <c r="D7" s="45">
        <v>6606007.9051383398</v>
      </c>
      <c r="F7" s="7">
        <v>46082</v>
      </c>
      <c r="G7" s="4">
        <v>0.29955947136563876</v>
      </c>
      <c r="H7" s="4">
        <v>0.70044052863436124</v>
      </c>
      <c r="I7" s="4">
        <v>1</v>
      </c>
      <c r="K7" s="7">
        <v>46023</v>
      </c>
      <c r="L7" s="45">
        <v>1.3571428571428572</v>
      </c>
      <c r="N7" t="s">
        <v>1609</v>
      </c>
    </row>
    <row r="8" spans="1:14" x14ac:dyDescent="0.3">
      <c r="A8" s="7">
        <v>46113</v>
      </c>
      <c r="B8" s="45">
        <v>251</v>
      </c>
      <c r="C8" s="45">
        <v>1729494000</v>
      </c>
      <c r="D8" s="45">
        <v>6890414.342629482</v>
      </c>
      <c r="F8" s="7">
        <v>46113</v>
      </c>
      <c r="G8" s="4">
        <v>0.30737704918032788</v>
      </c>
      <c r="H8" s="4">
        <v>0.69262295081967218</v>
      </c>
      <c r="I8" s="4">
        <v>1</v>
      </c>
      <c r="K8" s="7">
        <v>46113</v>
      </c>
      <c r="L8" s="45">
        <v>1.3466666666666667</v>
      </c>
      <c r="N8" t="s">
        <v>1608</v>
      </c>
    </row>
    <row r="9" spans="1:14" x14ac:dyDescent="0.3">
      <c r="A9" s="7">
        <v>46054</v>
      </c>
      <c r="B9" s="45">
        <v>209</v>
      </c>
      <c r="C9" s="45">
        <v>1375881000</v>
      </c>
      <c r="D9" s="45">
        <v>6583162.6794258375</v>
      </c>
      <c r="F9" s="7">
        <v>46143</v>
      </c>
      <c r="G9" s="4">
        <v>0.29482071713147412</v>
      </c>
      <c r="H9" s="4">
        <v>0.70517928286852594</v>
      </c>
      <c r="I9" s="4">
        <v>1</v>
      </c>
      <c r="K9" s="7">
        <v>46054</v>
      </c>
      <c r="L9" s="45">
        <v>1.3538461538461539</v>
      </c>
      <c r="N9" s="9">
        <v>1.8367346938775512E-2</v>
      </c>
    </row>
    <row r="10" spans="1:14" x14ac:dyDescent="0.3">
      <c r="A10" s="7">
        <v>46082</v>
      </c>
      <c r="B10" s="45">
        <v>237</v>
      </c>
      <c r="C10" s="45">
        <v>1487079000</v>
      </c>
      <c r="D10" s="45">
        <v>6274594.936708861</v>
      </c>
      <c r="F10" s="7">
        <v>46174</v>
      </c>
      <c r="G10" s="4">
        <v>0.28925619834710742</v>
      </c>
      <c r="H10" s="4">
        <v>0.71074380165289253</v>
      </c>
      <c r="I10" s="4">
        <v>1</v>
      </c>
      <c r="K10" s="7">
        <v>46082</v>
      </c>
      <c r="L10" s="45">
        <v>1.3823529411764706</v>
      </c>
    </row>
    <row r="11" spans="1:14" x14ac:dyDescent="0.3">
      <c r="A11" s="3" t="s">
        <v>1578</v>
      </c>
      <c r="B11" s="45">
        <v>1470</v>
      </c>
      <c r="C11" s="45">
        <v>9528795000</v>
      </c>
      <c r="D11" s="45">
        <v>6491004.768392371</v>
      </c>
      <c r="F11" s="3" t="s">
        <v>1578</v>
      </c>
      <c r="G11" s="4">
        <v>0.29929078014184396</v>
      </c>
      <c r="H11" s="4">
        <v>0.70070921985815604</v>
      </c>
      <c r="I11" s="4">
        <v>1</v>
      </c>
      <c r="K11" s="3" t="s">
        <v>1578</v>
      </c>
      <c r="L11" s="45">
        <v>1.3474178403755868</v>
      </c>
    </row>
    <row r="16" spans="1:14" x14ac:dyDescent="0.3">
      <c r="A16" s="2" t="s">
        <v>1577</v>
      </c>
      <c r="B16" t="s">
        <v>1580</v>
      </c>
      <c r="E16" s="2" t="s">
        <v>1583</v>
      </c>
    </row>
    <row r="17" spans="1:7" x14ac:dyDescent="0.3">
      <c r="A17" s="7">
        <v>46023</v>
      </c>
      <c r="B17" s="45">
        <v>255</v>
      </c>
      <c r="E17" t="s">
        <v>101</v>
      </c>
      <c r="F17" t="s">
        <v>96</v>
      </c>
      <c r="G17" t="s">
        <v>1578</v>
      </c>
    </row>
    <row r="18" spans="1:7" x14ac:dyDescent="0.3">
      <c r="A18" s="7">
        <v>46054</v>
      </c>
      <c r="B18" s="45">
        <v>209</v>
      </c>
      <c r="D18" t="s">
        <v>1579</v>
      </c>
      <c r="E18" s="4">
        <v>0.30021141649048627</v>
      </c>
      <c r="F18" s="4">
        <v>0.69978858350951378</v>
      </c>
      <c r="G18" s="4">
        <v>1</v>
      </c>
    </row>
    <row r="19" spans="1:7" x14ac:dyDescent="0.3">
      <c r="A19" s="7">
        <v>46082</v>
      </c>
      <c r="B19" s="45">
        <v>237</v>
      </c>
    </row>
    <row r="20" spans="1:7" x14ac:dyDescent="0.3">
      <c r="A20" s="7">
        <v>46113</v>
      </c>
      <c r="B20" s="45">
        <v>251</v>
      </c>
    </row>
    <row r="21" spans="1:7" x14ac:dyDescent="0.3">
      <c r="A21" s="7">
        <v>46143</v>
      </c>
      <c r="B21" s="45">
        <v>261</v>
      </c>
    </row>
    <row r="22" spans="1:7" x14ac:dyDescent="0.3">
      <c r="A22" s="7">
        <v>46174</v>
      </c>
      <c r="B22" s="45">
        <v>248</v>
      </c>
    </row>
    <row r="23" spans="1:7" x14ac:dyDescent="0.3">
      <c r="A23" s="7" t="s">
        <v>1578</v>
      </c>
      <c r="B23" s="45">
        <v>1461</v>
      </c>
    </row>
  </sheetData>
  <pageMargins left="0.7" right="0.7" top="0.75" bottom="0.75" header="0.3" footer="0.3"/>
  <legacyDrawing r:id="rId8"/>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C14D-A090-40D2-954B-BDB682C9BD48}">
  <dimension ref="A2:M11"/>
  <sheetViews>
    <sheetView zoomScale="80" zoomScaleNormal="80" workbookViewId="0">
      <selection activeCell="B6" sqref="B6"/>
    </sheetView>
  </sheetViews>
  <sheetFormatPr defaultRowHeight="14.4" x14ac:dyDescent="0.3"/>
  <cols>
    <col min="1" max="1" width="14.6640625" bestFit="1" customWidth="1"/>
    <col min="2" max="2" width="14.44140625" bestFit="1" customWidth="1"/>
    <col min="4" max="4" width="20.109375" bestFit="1" customWidth="1"/>
    <col min="5" max="5" width="16.33203125" bestFit="1" customWidth="1"/>
    <col min="6" max="6" width="8.21875" bestFit="1" customWidth="1"/>
    <col min="7" max="7" width="11" bestFit="1" customWidth="1"/>
    <col min="8" max="8" width="8" bestFit="1" customWidth="1"/>
    <col min="9" max="9" width="14.6640625" bestFit="1" customWidth="1"/>
    <col min="10" max="10" width="20.21875" bestFit="1" customWidth="1"/>
    <col min="12" max="12" width="14.6640625" bestFit="1" customWidth="1"/>
    <col min="13" max="13" width="20.44140625" bestFit="1" customWidth="1"/>
  </cols>
  <sheetData>
    <row r="2" spans="1:13" x14ac:dyDescent="0.3">
      <c r="A2" t="s">
        <v>1586</v>
      </c>
      <c r="E2" t="s">
        <v>1587</v>
      </c>
      <c r="J2" t="s">
        <v>6</v>
      </c>
      <c r="M2" t="s">
        <v>1582</v>
      </c>
    </row>
    <row r="3" spans="1:13" x14ac:dyDescent="0.3">
      <c r="A3" s="2" t="s">
        <v>1577</v>
      </c>
      <c r="B3" t="s">
        <v>1584</v>
      </c>
      <c r="D3" s="2" t="s">
        <v>1579</v>
      </c>
      <c r="E3" s="2" t="s">
        <v>1583</v>
      </c>
      <c r="I3" s="2" t="s">
        <v>1577</v>
      </c>
      <c r="J3" t="s">
        <v>1585</v>
      </c>
      <c r="L3" s="2" t="s">
        <v>1577</v>
      </c>
      <c r="M3" t="s">
        <v>1582</v>
      </c>
    </row>
    <row r="4" spans="1:13" x14ac:dyDescent="0.3">
      <c r="A4" s="3" t="s">
        <v>20</v>
      </c>
      <c r="B4" s="45">
        <v>333</v>
      </c>
      <c r="D4" s="2" t="s">
        <v>1577</v>
      </c>
      <c r="E4" t="s">
        <v>101</v>
      </c>
      <c r="F4" t="s">
        <v>96</v>
      </c>
      <c r="G4" t="s">
        <v>1578</v>
      </c>
      <c r="I4" s="3" t="s">
        <v>20</v>
      </c>
      <c r="J4" s="45">
        <v>1.1857142857142857</v>
      </c>
      <c r="L4" s="3" t="s">
        <v>20</v>
      </c>
      <c r="M4" s="45">
        <v>5878492.4471299089</v>
      </c>
    </row>
    <row r="5" spans="1:13" x14ac:dyDescent="0.3">
      <c r="A5" s="3" t="s">
        <v>21</v>
      </c>
      <c r="B5" s="45">
        <v>279</v>
      </c>
      <c r="D5" s="3" t="s">
        <v>20</v>
      </c>
      <c r="E5" s="4">
        <v>0.21943573667711599</v>
      </c>
      <c r="F5" s="4">
        <v>0.78056426332288398</v>
      </c>
      <c r="G5" s="4">
        <v>1</v>
      </c>
      <c r="I5" s="3" t="s">
        <v>21</v>
      </c>
      <c r="J5" s="45">
        <v>1.027027027027027</v>
      </c>
      <c r="L5" s="3" t="s">
        <v>21</v>
      </c>
      <c r="M5" s="45">
        <v>6788050.1792114694</v>
      </c>
    </row>
    <row r="6" spans="1:13" x14ac:dyDescent="0.3">
      <c r="A6" s="3" t="s">
        <v>22</v>
      </c>
      <c r="B6" s="45">
        <v>311</v>
      </c>
      <c r="D6" s="3" t="s">
        <v>21</v>
      </c>
      <c r="E6" s="4">
        <v>0.13909774436090225</v>
      </c>
      <c r="F6" s="4">
        <v>0.86090225563909772</v>
      </c>
      <c r="G6" s="4">
        <v>1</v>
      </c>
      <c r="I6" s="3" t="s">
        <v>22</v>
      </c>
      <c r="J6" s="45">
        <v>1.4789915966386555</v>
      </c>
      <c r="L6" s="3" t="s">
        <v>22</v>
      </c>
      <c r="M6" s="45">
        <v>6792778.1350482311</v>
      </c>
    </row>
    <row r="7" spans="1:13" x14ac:dyDescent="0.3">
      <c r="A7" s="3" t="s">
        <v>23</v>
      </c>
      <c r="B7" s="45">
        <v>284</v>
      </c>
      <c r="D7" s="3" t="s">
        <v>22</v>
      </c>
      <c r="E7" s="4">
        <v>0.39144736842105265</v>
      </c>
      <c r="F7" s="4">
        <v>0.60855263157894735</v>
      </c>
      <c r="G7" s="4">
        <v>1</v>
      </c>
      <c r="I7" s="3" t="s">
        <v>23</v>
      </c>
      <c r="J7" s="45">
        <v>1.2795698924731183</v>
      </c>
      <c r="L7" s="3" t="s">
        <v>23</v>
      </c>
      <c r="M7" s="45">
        <v>6743014.0845070425</v>
      </c>
    </row>
    <row r="8" spans="1:13" x14ac:dyDescent="0.3">
      <c r="A8" s="3" t="s">
        <v>24</v>
      </c>
      <c r="B8" s="45">
        <v>251</v>
      </c>
      <c r="D8" s="3" t="s">
        <v>23</v>
      </c>
      <c r="E8" s="4">
        <v>0.33818181818181819</v>
      </c>
      <c r="F8" s="4">
        <v>0.66181818181818186</v>
      </c>
      <c r="G8" s="4">
        <v>1</v>
      </c>
      <c r="I8" s="3" t="s">
        <v>24</v>
      </c>
      <c r="J8" s="45">
        <v>1.4761904761904763</v>
      </c>
      <c r="L8" s="3" t="s">
        <v>24</v>
      </c>
      <c r="M8" s="45">
        <v>6316306.7729083663</v>
      </c>
    </row>
    <row r="9" spans="1:13" x14ac:dyDescent="0.3">
      <c r="A9" s="3" t="s">
        <v>107</v>
      </c>
      <c r="B9" s="45">
        <v>12</v>
      </c>
      <c r="D9" s="3" t="s">
        <v>24</v>
      </c>
      <c r="E9" s="4">
        <v>0.43209876543209874</v>
      </c>
      <c r="F9" s="4">
        <v>0.5679012345679012</v>
      </c>
      <c r="G9" s="4">
        <v>1</v>
      </c>
      <c r="I9" s="3" t="s">
        <v>107</v>
      </c>
      <c r="J9" s="45">
        <v>1.5</v>
      </c>
      <c r="L9" s="3" t="s">
        <v>107</v>
      </c>
      <c r="M9" s="45">
        <v>6348750</v>
      </c>
    </row>
    <row r="10" spans="1:13" x14ac:dyDescent="0.3">
      <c r="A10" s="3" t="s">
        <v>1578</v>
      </c>
      <c r="B10" s="45">
        <v>1470</v>
      </c>
      <c r="D10" s="3" t="s">
        <v>107</v>
      </c>
      <c r="E10" s="4">
        <v>0.16666666666666666</v>
      </c>
      <c r="F10" s="4">
        <v>0.83333333333333337</v>
      </c>
      <c r="G10" s="4">
        <v>1</v>
      </c>
      <c r="I10" s="3" t="s">
        <v>1578</v>
      </c>
      <c r="J10" s="45">
        <v>1.3474178403755868</v>
      </c>
      <c r="L10" s="3" t="s">
        <v>1578</v>
      </c>
      <c r="M10" s="45">
        <v>6491004.768392371</v>
      </c>
    </row>
    <row r="11" spans="1:13" x14ac:dyDescent="0.3">
      <c r="D11" s="3" t="s">
        <v>1578</v>
      </c>
      <c r="E11" s="4">
        <v>0.30021141649048627</v>
      </c>
      <c r="F11" s="4">
        <v>0.69978858350951378</v>
      </c>
      <c r="G11" s="4">
        <v>1</v>
      </c>
    </row>
  </sheetData>
  <pageMargins left="0.7" right="0.7" top="0.75" bottom="0.75" header="0.3" footer="0.3"/>
  <drawing r:id="rId5"/>
  <legacyDrawing r:id="rId6"/>
  <extLst>
    <ext xmlns:x14="http://schemas.microsoft.com/office/spreadsheetml/2009/9/main" uri="{A8765BA9-456A-4dab-B4F3-ACF838C121DE}">
      <x14:slicerList>
        <x14:slicer r:id="rId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2DF1-377A-4EA0-A30E-88E30E9F069E}">
  <dimension ref="A2:M9"/>
  <sheetViews>
    <sheetView zoomScale="80" zoomScaleNormal="80" workbookViewId="0">
      <selection activeCell="B5" sqref="B5"/>
    </sheetView>
  </sheetViews>
  <sheetFormatPr defaultRowHeight="14.4" x14ac:dyDescent="0.3"/>
  <cols>
    <col min="1" max="1" width="13.77734375" bestFit="1" customWidth="1"/>
    <col min="2" max="2" width="15" bestFit="1" customWidth="1"/>
    <col min="4" max="4" width="20.109375" bestFit="1" customWidth="1"/>
    <col min="5" max="5" width="16.33203125" bestFit="1" customWidth="1"/>
    <col min="6" max="6" width="8.21875" bestFit="1" customWidth="1"/>
    <col min="7" max="7" width="11" bestFit="1" customWidth="1"/>
    <col min="8" max="8" width="8" bestFit="1" customWidth="1"/>
    <col min="9" max="9" width="13.77734375" bestFit="1" customWidth="1"/>
    <col min="10" max="10" width="17.6640625" bestFit="1" customWidth="1"/>
    <col min="12" max="12" width="13.77734375" bestFit="1" customWidth="1"/>
    <col min="13" max="13" width="20.44140625" bestFit="1" customWidth="1"/>
  </cols>
  <sheetData>
    <row r="2" spans="1:13" x14ac:dyDescent="0.3">
      <c r="A2" t="s">
        <v>1588</v>
      </c>
      <c r="E2" t="s">
        <v>1589</v>
      </c>
      <c r="I2" t="s">
        <v>1591</v>
      </c>
      <c r="L2" t="s">
        <v>30</v>
      </c>
    </row>
    <row r="3" spans="1:13" x14ac:dyDescent="0.3">
      <c r="A3" s="2" t="s">
        <v>1577</v>
      </c>
      <c r="B3" t="s">
        <v>1580</v>
      </c>
      <c r="D3" s="2" t="s">
        <v>1579</v>
      </c>
      <c r="E3" s="2" t="s">
        <v>1583</v>
      </c>
      <c r="I3" s="2" t="s">
        <v>1577</v>
      </c>
      <c r="J3" t="s">
        <v>1590</v>
      </c>
      <c r="L3" s="2" t="s">
        <v>1577</v>
      </c>
      <c r="M3" t="s">
        <v>1582</v>
      </c>
    </row>
    <row r="4" spans="1:13" x14ac:dyDescent="0.3">
      <c r="A4" s="3" t="s">
        <v>31</v>
      </c>
      <c r="B4" s="45">
        <v>369</v>
      </c>
      <c r="D4" s="2" t="s">
        <v>1577</v>
      </c>
      <c r="E4" t="s">
        <v>101</v>
      </c>
      <c r="F4" t="s">
        <v>96</v>
      </c>
      <c r="G4" t="s">
        <v>1578</v>
      </c>
      <c r="I4" s="3" t="s">
        <v>31</v>
      </c>
      <c r="J4" s="45">
        <v>1.2788461538461537</v>
      </c>
      <c r="L4" s="3" t="s">
        <v>31</v>
      </c>
      <c r="M4" s="45">
        <v>5866592.3913043477</v>
      </c>
    </row>
    <row r="5" spans="1:13" x14ac:dyDescent="0.3">
      <c r="A5" s="3" t="s">
        <v>32</v>
      </c>
      <c r="B5" s="45">
        <v>279</v>
      </c>
      <c r="D5" s="3" t="s">
        <v>31</v>
      </c>
      <c r="E5" s="4">
        <v>0.29213483146067415</v>
      </c>
      <c r="F5" s="4">
        <v>0.7078651685393258</v>
      </c>
      <c r="G5" s="4">
        <v>1</v>
      </c>
      <c r="I5" s="3" t="s">
        <v>32</v>
      </c>
      <c r="J5" s="45">
        <v>1.3209876543209877</v>
      </c>
      <c r="L5" s="3" t="s">
        <v>32</v>
      </c>
      <c r="M5" s="45">
        <v>5971992.8315412188</v>
      </c>
    </row>
    <row r="6" spans="1:13" x14ac:dyDescent="0.3">
      <c r="A6" s="3" t="s">
        <v>33</v>
      </c>
      <c r="B6" s="45">
        <v>256</v>
      </c>
      <c r="D6" s="3" t="s">
        <v>32</v>
      </c>
      <c r="E6" s="4">
        <v>0.30223880597014924</v>
      </c>
      <c r="F6" s="4">
        <v>0.69776119402985071</v>
      </c>
      <c r="G6" s="4">
        <v>1</v>
      </c>
      <c r="I6" s="3" t="s">
        <v>33</v>
      </c>
      <c r="J6" s="45">
        <v>1.3452380952380953</v>
      </c>
      <c r="L6" s="3" t="s">
        <v>33</v>
      </c>
      <c r="M6" s="45">
        <v>9080546.875</v>
      </c>
    </row>
    <row r="7" spans="1:13" x14ac:dyDescent="0.3">
      <c r="A7" s="3" t="s">
        <v>34</v>
      </c>
      <c r="B7" s="45">
        <v>566</v>
      </c>
      <c r="D7" s="3" t="s">
        <v>33</v>
      </c>
      <c r="E7" s="4">
        <v>0.34285714285714286</v>
      </c>
      <c r="F7" s="4">
        <v>0.65714285714285714</v>
      </c>
      <c r="G7" s="4">
        <v>1</v>
      </c>
      <c r="I7" s="3" t="s">
        <v>34</v>
      </c>
      <c r="J7" s="45">
        <v>1.4076433121019107</v>
      </c>
      <c r="L7" s="3" t="s">
        <v>34</v>
      </c>
      <c r="M7" s="45">
        <v>5980677.8761061952</v>
      </c>
    </row>
    <row r="8" spans="1:13" x14ac:dyDescent="0.3">
      <c r="A8" s="3" t="s">
        <v>1578</v>
      </c>
      <c r="B8" s="45">
        <v>1470</v>
      </c>
      <c r="D8" s="3" t="s">
        <v>34</v>
      </c>
      <c r="E8" s="4">
        <v>0.28545454545454546</v>
      </c>
      <c r="F8" s="4">
        <v>0.71454545454545459</v>
      </c>
      <c r="G8" s="4">
        <v>1</v>
      </c>
      <c r="I8" s="3" t="s">
        <v>1578</v>
      </c>
      <c r="J8" s="45">
        <v>1.3474178403755868</v>
      </c>
      <c r="L8" s="3" t="s">
        <v>1578</v>
      </c>
      <c r="M8" s="45">
        <v>6491004.768392371</v>
      </c>
    </row>
    <row r="9" spans="1:13" x14ac:dyDescent="0.3">
      <c r="D9" s="3" t="s">
        <v>1578</v>
      </c>
      <c r="E9" s="4">
        <v>0.30021141649048627</v>
      </c>
      <c r="F9" s="4">
        <v>0.69978858350951378</v>
      </c>
      <c r="G9" s="4">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FCBD-9A23-45ED-B5D4-F43C3F7AF5E2}">
  <dimension ref="A2:P18"/>
  <sheetViews>
    <sheetView zoomScale="80" zoomScaleNormal="80" workbookViewId="0">
      <selection activeCell="B3" sqref="B3"/>
    </sheetView>
  </sheetViews>
  <sheetFormatPr defaultRowHeight="14.4" x14ac:dyDescent="0.3"/>
  <cols>
    <col min="1" max="1" width="13.33203125" bestFit="1" customWidth="1"/>
    <col min="2" max="2" width="21.6640625" bestFit="1" customWidth="1"/>
    <col min="3" max="3" width="24.5546875" bestFit="1" customWidth="1"/>
    <col min="4" max="4" width="20.109375" bestFit="1" customWidth="1"/>
    <col min="5" max="5" width="16.33203125" bestFit="1" customWidth="1"/>
    <col min="6" max="6" width="8.21875" bestFit="1" customWidth="1"/>
    <col min="7" max="7" width="11" bestFit="1" customWidth="1"/>
    <col min="8" max="8" width="8" bestFit="1" customWidth="1"/>
    <col min="9" max="9" width="13.33203125" bestFit="1" customWidth="1"/>
    <col min="10" max="10" width="20.21875" bestFit="1" customWidth="1"/>
    <col min="12" max="12" width="13.33203125" bestFit="1" customWidth="1"/>
    <col min="13" max="13" width="15" bestFit="1" customWidth="1"/>
    <col min="15" max="15" width="13.33203125" bestFit="1" customWidth="1"/>
    <col min="16" max="16" width="30" bestFit="1" customWidth="1"/>
  </cols>
  <sheetData>
    <row r="2" spans="1:16" x14ac:dyDescent="0.3">
      <c r="A2" t="s">
        <v>36</v>
      </c>
      <c r="D2" t="s">
        <v>1593</v>
      </c>
      <c r="I2" t="s">
        <v>1592</v>
      </c>
      <c r="L2" t="s">
        <v>36</v>
      </c>
      <c r="P2" t="s">
        <v>1596</v>
      </c>
    </row>
    <row r="3" spans="1:16" x14ac:dyDescent="0.3">
      <c r="A3" s="2" t="s">
        <v>1577</v>
      </c>
      <c r="B3" t="s">
        <v>1580</v>
      </c>
      <c r="D3" s="2" t="s">
        <v>1579</v>
      </c>
      <c r="E3" s="2" t="s">
        <v>1583</v>
      </c>
      <c r="I3" s="2" t="s">
        <v>1577</v>
      </c>
      <c r="J3" t="s">
        <v>1585</v>
      </c>
      <c r="L3" s="2" t="s">
        <v>1577</v>
      </c>
      <c r="M3" t="s">
        <v>1580</v>
      </c>
      <c r="O3" s="2" t="s">
        <v>1577</v>
      </c>
      <c r="P3" t="s">
        <v>1595</v>
      </c>
    </row>
    <row r="4" spans="1:16" x14ac:dyDescent="0.3">
      <c r="A4" s="3" t="s">
        <v>42</v>
      </c>
      <c r="B4" s="45">
        <v>284</v>
      </c>
      <c r="D4" s="2" t="s">
        <v>1577</v>
      </c>
      <c r="E4" t="s">
        <v>101</v>
      </c>
      <c r="F4" t="s">
        <v>96</v>
      </c>
      <c r="G4" t="s">
        <v>1578</v>
      </c>
      <c r="I4" s="3" t="s">
        <v>42</v>
      </c>
      <c r="J4" s="45">
        <v>1.3950617283950617</v>
      </c>
      <c r="L4" s="3" t="s">
        <v>42</v>
      </c>
      <c r="M4" s="45">
        <v>284</v>
      </c>
      <c r="O4" s="3" t="s">
        <v>42</v>
      </c>
      <c r="P4" s="45">
        <v>54.056650528169037</v>
      </c>
    </row>
    <row r="5" spans="1:16" x14ac:dyDescent="0.3">
      <c r="A5" s="3" t="s">
        <v>43</v>
      </c>
      <c r="B5" s="45">
        <v>566</v>
      </c>
      <c r="D5" s="3" t="s">
        <v>42</v>
      </c>
      <c r="E5" s="4">
        <v>0.29032258064516131</v>
      </c>
      <c r="F5" s="4">
        <v>0.70967741935483875</v>
      </c>
      <c r="G5" s="4">
        <v>1</v>
      </c>
      <c r="I5" s="3" t="s">
        <v>43</v>
      </c>
      <c r="J5" s="45">
        <v>1.3818181818181818</v>
      </c>
      <c r="L5" s="3" t="s">
        <v>43</v>
      </c>
      <c r="M5" s="45">
        <v>566</v>
      </c>
      <c r="O5" s="3" t="s">
        <v>43</v>
      </c>
      <c r="P5" s="45">
        <v>50.013711743772255</v>
      </c>
    </row>
    <row r="6" spans="1:16" x14ac:dyDescent="0.3">
      <c r="A6" s="3" t="s">
        <v>44</v>
      </c>
      <c r="B6" s="45">
        <v>350</v>
      </c>
      <c r="D6" s="3" t="s">
        <v>43</v>
      </c>
      <c r="E6" s="4">
        <v>0.30330882352941174</v>
      </c>
      <c r="F6" s="4">
        <v>0.6966911764705882</v>
      </c>
      <c r="G6" s="4">
        <v>1</v>
      </c>
      <c r="I6" s="3" t="s">
        <v>44</v>
      </c>
      <c r="J6" s="45">
        <v>1.2884615384615385</v>
      </c>
      <c r="L6" s="3" t="s">
        <v>44</v>
      </c>
      <c r="M6" s="45">
        <v>350</v>
      </c>
      <c r="O6" s="3" t="s">
        <v>44</v>
      </c>
      <c r="P6" s="45">
        <v>50.659847182425999</v>
      </c>
    </row>
    <row r="7" spans="1:16" x14ac:dyDescent="0.3">
      <c r="A7" s="3" t="s">
        <v>45</v>
      </c>
      <c r="B7" s="45">
        <v>270</v>
      </c>
      <c r="D7" s="3" t="s">
        <v>44</v>
      </c>
      <c r="E7" s="4">
        <v>0.31137724550898205</v>
      </c>
      <c r="F7" s="4">
        <v>0.68862275449101795</v>
      </c>
      <c r="G7" s="4">
        <v>1</v>
      </c>
      <c r="I7" s="3" t="s">
        <v>45</v>
      </c>
      <c r="J7" s="45">
        <v>1.3026315789473684</v>
      </c>
      <c r="L7" s="3" t="s">
        <v>45</v>
      </c>
      <c r="M7" s="45">
        <v>270</v>
      </c>
      <c r="O7" s="3" t="s">
        <v>45</v>
      </c>
      <c r="P7" s="45">
        <v>48.926617100371772</v>
      </c>
    </row>
    <row r="8" spans="1:16" x14ac:dyDescent="0.3">
      <c r="A8" s="3" t="s">
        <v>1578</v>
      </c>
      <c r="B8" s="45">
        <v>1470</v>
      </c>
      <c r="D8" s="3" t="s">
        <v>45</v>
      </c>
      <c r="E8" s="4">
        <v>0.29007633587786258</v>
      </c>
      <c r="F8" s="4">
        <v>0.70992366412213737</v>
      </c>
      <c r="G8" s="4">
        <v>1</v>
      </c>
      <c r="I8" s="3" t="s">
        <v>1578</v>
      </c>
      <c r="J8" s="45">
        <v>1.3474178403755868</v>
      </c>
      <c r="L8" s="3" t="s">
        <v>1578</v>
      </c>
      <c r="M8" s="45">
        <v>1470</v>
      </c>
      <c r="O8" s="3" t="s">
        <v>1578</v>
      </c>
      <c r="P8" s="45">
        <v>50.752282388433585</v>
      </c>
    </row>
    <row r="9" spans="1:16" x14ac:dyDescent="0.3">
      <c r="D9" s="3" t="s">
        <v>1578</v>
      </c>
      <c r="E9" s="4">
        <v>0.30021141649048627</v>
      </c>
      <c r="F9" s="4">
        <v>0.69978858350951378</v>
      </c>
      <c r="G9" s="4">
        <v>1</v>
      </c>
    </row>
    <row r="12" spans="1:16" x14ac:dyDescent="0.3">
      <c r="B12" t="s">
        <v>1598</v>
      </c>
    </row>
    <row r="13" spans="1:16" x14ac:dyDescent="0.3">
      <c r="A13" s="2" t="s">
        <v>1577</v>
      </c>
      <c r="B13" t="s">
        <v>1599</v>
      </c>
    </row>
    <row r="14" spans="1:16" x14ac:dyDescent="0.3">
      <c r="A14" s="3" t="s">
        <v>42</v>
      </c>
      <c r="B14" s="4">
        <v>0</v>
      </c>
    </row>
    <row r="15" spans="1:16" x14ac:dyDescent="0.3">
      <c r="A15" s="3" t="s">
        <v>43</v>
      </c>
      <c r="B15" s="4">
        <v>7.0671378091872791E-3</v>
      </c>
    </row>
    <row r="16" spans="1:16" x14ac:dyDescent="0.3">
      <c r="A16" s="3" t="s">
        <v>44</v>
      </c>
      <c r="B16" s="4">
        <v>0</v>
      </c>
    </row>
    <row r="17" spans="1:2" x14ac:dyDescent="0.3">
      <c r="A17" s="3" t="s">
        <v>45</v>
      </c>
      <c r="B17" s="4">
        <v>0</v>
      </c>
    </row>
    <row r="18" spans="1:2" x14ac:dyDescent="0.3">
      <c r="A18" s="3" t="s">
        <v>1578</v>
      </c>
      <c r="B18" s="4">
        <v>2.7210884353741495E-3</v>
      </c>
    </row>
  </sheetData>
  <pageMargins left="0.7" right="0.7" top="0.75" bottom="0.75" header="0.3" footer="0.3"/>
  <pageSetup paperSize="9" orientation="portrait"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69670-5687-453F-9D85-24A153F5A856}">
  <dimension ref="A2:S57"/>
  <sheetViews>
    <sheetView topLeftCell="L1" zoomScale="90" zoomScaleNormal="90" workbookViewId="0">
      <selection activeCell="S4" sqref="S4"/>
    </sheetView>
  </sheetViews>
  <sheetFormatPr defaultRowHeight="14.4" x14ac:dyDescent="0.3"/>
  <cols>
    <col min="1" max="1" width="15.77734375" bestFit="1" customWidth="1"/>
    <col min="2" max="2" width="15.33203125" bestFit="1" customWidth="1"/>
    <col min="4" max="4" width="15.77734375" bestFit="1" customWidth="1"/>
    <col min="5" max="5" width="17.77734375" bestFit="1" customWidth="1"/>
    <col min="7" max="7" width="15.77734375" bestFit="1" customWidth="1"/>
    <col min="8" max="8" width="20.77734375" bestFit="1" customWidth="1"/>
    <col min="10" max="10" width="17.21875" bestFit="1" customWidth="1"/>
    <col min="11" max="11" width="16.109375" bestFit="1" customWidth="1"/>
    <col min="12" max="12" width="8.5546875" bestFit="1" customWidth="1"/>
    <col min="13" max="13" width="11.21875" bestFit="1" customWidth="1"/>
    <col min="14" max="14" width="8.5546875" bestFit="1" customWidth="1"/>
    <col min="15" max="15" width="15.77734375" bestFit="1" customWidth="1"/>
    <col min="16" max="16" width="20.88671875" bestFit="1" customWidth="1"/>
    <col min="18" max="18" width="25.88671875" bestFit="1" customWidth="1"/>
    <col min="19" max="19" width="20.77734375" bestFit="1" customWidth="1"/>
  </cols>
  <sheetData>
    <row r="2" spans="1:19" x14ac:dyDescent="0.3">
      <c r="A2" t="s">
        <v>47</v>
      </c>
      <c r="D2" t="s">
        <v>48</v>
      </c>
      <c r="G2" t="s">
        <v>49</v>
      </c>
      <c r="J2" t="s">
        <v>1600</v>
      </c>
      <c r="O2" t="s">
        <v>1602</v>
      </c>
    </row>
    <row r="3" spans="1:19" x14ac:dyDescent="0.3">
      <c r="A3" s="2" t="s">
        <v>1577</v>
      </c>
      <c r="B3" t="s">
        <v>1580</v>
      </c>
      <c r="D3" s="2" t="s">
        <v>1577</v>
      </c>
      <c r="E3" t="s">
        <v>7</v>
      </c>
      <c r="G3" s="2" t="s">
        <v>1577</v>
      </c>
      <c r="H3" t="s">
        <v>1582</v>
      </c>
      <c r="J3" s="2" t="s">
        <v>1601</v>
      </c>
      <c r="K3" s="2" t="s">
        <v>1583</v>
      </c>
      <c r="O3" s="2" t="s">
        <v>1577</v>
      </c>
      <c r="P3" t="s">
        <v>1585</v>
      </c>
      <c r="R3" s="2" t="s">
        <v>1577</v>
      </c>
      <c r="S3" t="s">
        <v>1582</v>
      </c>
    </row>
    <row r="4" spans="1:19" x14ac:dyDescent="0.3">
      <c r="A4" s="3" t="s">
        <v>31</v>
      </c>
      <c r="B4" s="45">
        <v>369</v>
      </c>
      <c r="D4" s="3" t="s">
        <v>31</v>
      </c>
      <c r="E4" s="45">
        <v>2158906000</v>
      </c>
      <c r="G4" s="3" t="s">
        <v>31</v>
      </c>
      <c r="H4" s="45">
        <v>5866592.3913043477</v>
      </c>
      <c r="J4" s="2" t="s">
        <v>1577</v>
      </c>
      <c r="K4" t="s">
        <v>101</v>
      </c>
      <c r="L4" t="s">
        <v>96</v>
      </c>
      <c r="M4" t="s">
        <v>1578</v>
      </c>
      <c r="O4" s="3" t="s">
        <v>31</v>
      </c>
      <c r="P4" s="45">
        <v>1.2788461538461537</v>
      </c>
      <c r="R4" s="3" t="s">
        <v>1654</v>
      </c>
      <c r="S4" s="45">
        <v>18612074.074074075</v>
      </c>
    </row>
    <row r="5" spans="1:19" x14ac:dyDescent="0.3">
      <c r="A5" s="8" t="s">
        <v>52</v>
      </c>
      <c r="B5" s="45">
        <v>33</v>
      </c>
      <c r="D5" s="8" t="s">
        <v>52</v>
      </c>
      <c r="E5" s="45">
        <v>159118000</v>
      </c>
      <c r="G5" s="8" t="s">
        <v>52</v>
      </c>
      <c r="H5" s="45">
        <v>4821757.5757575762</v>
      </c>
      <c r="J5" s="3" t="s">
        <v>31</v>
      </c>
      <c r="K5" s="4">
        <v>0.29213483146067415</v>
      </c>
      <c r="L5" s="4">
        <v>0.7078651685393258</v>
      </c>
      <c r="M5" s="4">
        <v>1</v>
      </c>
      <c r="O5" s="8" t="s">
        <v>52</v>
      </c>
      <c r="P5" s="45">
        <v>1.1666666666666667</v>
      </c>
      <c r="R5" s="3" t="s">
        <v>1658</v>
      </c>
      <c r="S5" s="45">
        <v>13745400</v>
      </c>
    </row>
    <row r="6" spans="1:19" x14ac:dyDescent="0.3">
      <c r="A6" s="8" t="s">
        <v>53</v>
      </c>
      <c r="B6" s="45">
        <v>28</v>
      </c>
      <c r="D6" s="8" t="s">
        <v>53</v>
      </c>
      <c r="E6" s="45">
        <v>153147000</v>
      </c>
      <c r="G6" s="8" t="s">
        <v>53</v>
      </c>
      <c r="H6" s="45">
        <v>5469535.7142857146</v>
      </c>
      <c r="J6" s="8" t="s">
        <v>52</v>
      </c>
      <c r="K6" s="4">
        <v>0.375</v>
      </c>
      <c r="L6" s="4">
        <v>0.625</v>
      </c>
      <c r="M6" s="4">
        <v>1</v>
      </c>
      <c r="O6" s="8" t="s">
        <v>53</v>
      </c>
      <c r="P6" s="45">
        <v>1.2857142857142858</v>
      </c>
      <c r="R6" s="3" t="s">
        <v>1646</v>
      </c>
      <c r="S6" s="45">
        <v>12791409.090909092</v>
      </c>
    </row>
    <row r="7" spans="1:19" x14ac:dyDescent="0.3">
      <c r="A7" s="8" t="s">
        <v>54</v>
      </c>
      <c r="B7" s="45">
        <v>33</v>
      </c>
      <c r="D7" s="8" t="s">
        <v>54</v>
      </c>
      <c r="E7" s="45">
        <v>214768000</v>
      </c>
      <c r="G7" s="8" t="s">
        <v>54</v>
      </c>
      <c r="H7" s="45">
        <v>6508121.2121212119</v>
      </c>
      <c r="J7" s="8" t="s">
        <v>53</v>
      </c>
      <c r="K7" s="4">
        <v>0.25925925925925924</v>
      </c>
      <c r="L7" s="4">
        <v>0.7407407407407407</v>
      </c>
      <c r="M7" s="4">
        <v>1</v>
      </c>
      <c r="O7" s="8" t="s">
        <v>54</v>
      </c>
      <c r="P7" s="45">
        <v>1.2</v>
      </c>
      <c r="R7" s="3" t="s">
        <v>1642</v>
      </c>
      <c r="S7" s="45">
        <v>12334041.666666666</v>
      </c>
    </row>
    <row r="8" spans="1:19" x14ac:dyDescent="0.3">
      <c r="A8" s="8" t="s">
        <v>55</v>
      </c>
      <c r="B8" s="45">
        <v>24</v>
      </c>
      <c r="D8" s="8" t="s">
        <v>55</v>
      </c>
      <c r="E8" s="45">
        <v>62602000</v>
      </c>
      <c r="G8" s="8" t="s">
        <v>55</v>
      </c>
      <c r="H8" s="45">
        <v>2608416.6666666665</v>
      </c>
      <c r="J8" s="8" t="s">
        <v>54</v>
      </c>
      <c r="K8" s="4">
        <v>0.30303030303030304</v>
      </c>
      <c r="L8" s="4">
        <v>0.69696969696969702</v>
      </c>
      <c r="M8" s="4">
        <v>1</v>
      </c>
      <c r="O8" s="8" t="s">
        <v>55</v>
      </c>
      <c r="P8" s="45">
        <v>1.3</v>
      </c>
      <c r="R8" s="3" t="s">
        <v>1614</v>
      </c>
      <c r="S8" s="45">
        <v>12132347.826086957</v>
      </c>
    </row>
    <row r="9" spans="1:19" x14ac:dyDescent="0.3">
      <c r="A9" s="8" t="s">
        <v>56</v>
      </c>
      <c r="B9" s="45">
        <v>23</v>
      </c>
      <c r="D9" s="8" t="s">
        <v>56</v>
      </c>
      <c r="E9" s="45">
        <v>279044000</v>
      </c>
      <c r="G9" s="8" t="s">
        <v>56</v>
      </c>
      <c r="H9" s="45">
        <v>12132347.826086957</v>
      </c>
      <c r="J9" s="8" t="s">
        <v>55</v>
      </c>
      <c r="K9" s="4">
        <v>0.45454545454545453</v>
      </c>
      <c r="L9" s="4">
        <v>0.54545454545454541</v>
      </c>
      <c r="M9" s="4">
        <v>1</v>
      </c>
      <c r="O9" s="8" t="s">
        <v>56</v>
      </c>
      <c r="P9" s="45">
        <v>1.1111111111111112</v>
      </c>
      <c r="R9" s="3" t="s">
        <v>1578</v>
      </c>
      <c r="S9" s="45">
        <v>13879108.695652174</v>
      </c>
    </row>
    <row r="10" spans="1:19" x14ac:dyDescent="0.3">
      <c r="A10" s="8" t="s">
        <v>57</v>
      </c>
      <c r="B10" s="45">
        <v>29</v>
      </c>
      <c r="D10" s="8" t="s">
        <v>57</v>
      </c>
      <c r="E10" s="45">
        <v>91206000</v>
      </c>
      <c r="G10" s="8" t="s">
        <v>57</v>
      </c>
      <c r="H10" s="45">
        <v>3145034.4827586208</v>
      </c>
      <c r="J10" s="8" t="s">
        <v>56</v>
      </c>
      <c r="K10" s="4">
        <v>0.40909090909090912</v>
      </c>
      <c r="L10" s="4">
        <v>0.59090909090909094</v>
      </c>
      <c r="M10" s="4">
        <v>1</v>
      </c>
      <c r="O10" s="8" t="s">
        <v>57</v>
      </c>
      <c r="P10" s="45">
        <v>1.5</v>
      </c>
    </row>
    <row r="11" spans="1:19" x14ac:dyDescent="0.3">
      <c r="A11" s="8" t="s">
        <v>58</v>
      </c>
      <c r="B11" s="45">
        <v>34</v>
      </c>
      <c r="D11" s="8" t="s">
        <v>58</v>
      </c>
      <c r="E11" s="45">
        <v>135172000</v>
      </c>
      <c r="G11" s="8" t="s">
        <v>58</v>
      </c>
      <c r="H11" s="45">
        <v>3975647.0588235296</v>
      </c>
      <c r="J11" s="8" t="s">
        <v>57</v>
      </c>
      <c r="K11" s="4">
        <v>0.14814814814814814</v>
      </c>
      <c r="L11" s="4">
        <v>0.85185185185185186</v>
      </c>
      <c r="M11" s="4">
        <v>1</v>
      </c>
      <c r="O11" s="8" t="s">
        <v>58</v>
      </c>
      <c r="P11" s="45">
        <v>1.625</v>
      </c>
    </row>
    <row r="12" spans="1:19" x14ac:dyDescent="0.3">
      <c r="A12" s="8" t="s">
        <v>59</v>
      </c>
      <c r="B12" s="45">
        <v>28</v>
      </c>
      <c r="D12" s="8" t="s">
        <v>59</v>
      </c>
      <c r="E12" s="45">
        <v>139484000</v>
      </c>
      <c r="G12" s="8" t="s">
        <v>59</v>
      </c>
      <c r="H12" s="45">
        <v>4981571.4285714282</v>
      </c>
      <c r="J12" s="8" t="s">
        <v>58</v>
      </c>
      <c r="K12" s="4">
        <v>0.23529411764705882</v>
      </c>
      <c r="L12" s="4">
        <v>0.76470588235294112</v>
      </c>
      <c r="M12" s="4">
        <v>1</v>
      </c>
      <c r="O12" s="8" t="s">
        <v>59</v>
      </c>
      <c r="P12" s="45">
        <v>1.2222222222222223</v>
      </c>
    </row>
    <row r="13" spans="1:19" x14ac:dyDescent="0.3">
      <c r="A13" s="8" t="s">
        <v>60</v>
      </c>
      <c r="B13" s="45">
        <v>36</v>
      </c>
      <c r="D13" s="8" t="s">
        <v>60</v>
      </c>
      <c r="E13" s="45">
        <v>308998000</v>
      </c>
      <c r="G13" s="8" t="s">
        <v>60</v>
      </c>
      <c r="H13" s="45">
        <v>8828514.2857142854</v>
      </c>
      <c r="J13" s="8" t="s">
        <v>59</v>
      </c>
      <c r="K13" s="4">
        <v>0.34615384615384615</v>
      </c>
      <c r="L13" s="4">
        <v>0.65384615384615385</v>
      </c>
      <c r="M13" s="4">
        <v>1</v>
      </c>
      <c r="O13" s="8" t="s">
        <v>60</v>
      </c>
      <c r="P13" s="45">
        <v>1.1428571428571428</v>
      </c>
    </row>
    <row r="14" spans="1:19" x14ac:dyDescent="0.3">
      <c r="A14" s="8" t="s">
        <v>61</v>
      </c>
      <c r="B14" s="45">
        <v>28</v>
      </c>
      <c r="D14" s="8" t="s">
        <v>61</v>
      </c>
      <c r="E14" s="45">
        <v>61489000</v>
      </c>
      <c r="G14" s="8" t="s">
        <v>61</v>
      </c>
      <c r="H14" s="45">
        <v>2196035.7142857141</v>
      </c>
      <c r="J14" s="8" t="s">
        <v>60</v>
      </c>
      <c r="K14" s="4">
        <v>0.2</v>
      </c>
      <c r="L14" s="4">
        <v>0.8</v>
      </c>
      <c r="M14" s="4">
        <v>1</v>
      </c>
      <c r="O14" s="8" t="s">
        <v>61</v>
      </c>
      <c r="P14" s="45">
        <v>1.4</v>
      </c>
    </row>
    <row r="15" spans="1:19" x14ac:dyDescent="0.3">
      <c r="A15" s="8" t="s">
        <v>62</v>
      </c>
      <c r="B15" s="45">
        <v>39</v>
      </c>
      <c r="D15" s="8" t="s">
        <v>62</v>
      </c>
      <c r="E15" s="45">
        <v>385055000</v>
      </c>
      <c r="G15" s="8" t="s">
        <v>62</v>
      </c>
      <c r="H15" s="45">
        <v>9873205.128205128</v>
      </c>
      <c r="J15" s="8" t="s">
        <v>61</v>
      </c>
      <c r="K15" s="4">
        <v>0.35714285714285715</v>
      </c>
      <c r="L15" s="4">
        <v>0.6428571428571429</v>
      </c>
      <c r="M15" s="4">
        <v>1</v>
      </c>
      <c r="O15" s="8" t="s">
        <v>62</v>
      </c>
      <c r="P15" s="45">
        <v>1.3</v>
      </c>
    </row>
    <row r="16" spans="1:19" x14ac:dyDescent="0.3">
      <c r="A16" s="8" t="s">
        <v>63</v>
      </c>
      <c r="B16" s="45">
        <v>34</v>
      </c>
      <c r="D16" s="8" t="s">
        <v>63</v>
      </c>
      <c r="E16" s="45">
        <v>168823000</v>
      </c>
      <c r="G16" s="8" t="s">
        <v>63</v>
      </c>
      <c r="H16" s="45">
        <v>4965382.3529411769</v>
      </c>
      <c r="J16" s="8" t="s">
        <v>62</v>
      </c>
      <c r="K16" s="4">
        <v>0.27027027027027029</v>
      </c>
      <c r="L16" s="4">
        <v>0.72972972972972971</v>
      </c>
      <c r="M16" s="4">
        <v>1</v>
      </c>
      <c r="O16" s="8" t="s">
        <v>63</v>
      </c>
      <c r="P16" s="45">
        <v>1.25</v>
      </c>
    </row>
    <row r="17" spans="1:16" x14ac:dyDescent="0.3">
      <c r="A17" s="3" t="s">
        <v>32</v>
      </c>
      <c r="B17" s="45">
        <v>279</v>
      </c>
      <c r="D17" s="3" t="s">
        <v>32</v>
      </c>
      <c r="E17" s="45">
        <v>1666186000</v>
      </c>
      <c r="G17" s="3" t="s">
        <v>32</v>
      </c>
      <c r="H17" s="45">
        <v>5971992.8315412188</v>
      </c>
      <c r="J17" s="8" t="s">
        <v>63</v>
      </c>
      <c r="K17" s="4">
        <v>0.24242424242424243</v>
      </c>
      <c r="L17" s="4">
        <v>0.75757575757575757</v>
      </c>
      <c r="M17" s="4">
        <v>1</v>
      </c>
      <c r="O17" s="3" t="s">
        <v>32</v>
      </c>
      <c r="P17" s="45">
        <v>1.3209876543209877</v>
      </c>
    </row>
    <row r="18" spans="1:16" x14ac:dyDescent="0.3">
      <c r="A18" s="8" t="s">
        <v>52</v>
      </c>
      <c r="B18" s="45">
        <v>21</v>
      </c>
      <c r="D18" s="8" t="s">
        <v>52</v>
      </c>
      <c r="E18" s="45">
        <v>114860000</v>
      </c>
      <c r="G18" s="8" t="s">
        <v>52</v>
      </c>
      <c r="H18" s="45">
        <v>5469523.8095238097</v>
      </c>
      <c r="J18" s="3" t="s">
        <v>32</v>
      </c>
      <c r="K18" s="4">
        <v>0.30223880597014924</v>
      </c>
      <c r="L18" s="4">
        <v>0.69776119402985071</v>
      </c>
      <c r="M18" s="4">
        <v>1</v>
      </c>
      <c r="O18" s="8" t="s">
        <v>52</v>
      </c>
      <c r="P18" s="45">
        <v>1.4285714285714286</v>
      </c>
    </row>
    <row r="19" spans="1:16" x14ac:dyDescent="0.3">
      <c r="A19" s="8" t="s">
        <v>53</v>
      </c>
      <c r="B19" s="45">
        <v>27</v>
      </c>
      <c r="D19" s="8" t="s">
        <v>53</v>
      </c>
      <c r="E19" s="45">
        <v>144124000</v>
      </c>
      <c r="G19" s="8" t="s">
        <v>53</v>
      </c>
      <c r="H19" s="45">
        <v>5337925.9259259263</v>
      </c>
      <c r="J19" s="8" t="s">
        <v>52</v>
      </c>
      <c r="K19" s="4">
        <v>0.33333333333333331</v>
      </c>
      <c r="L19" s="4">
        <v>0.66666666666666663</v>
      </c>
      <c r="M19" s="4">
        <v>1</v>
      </c>
      <c r="O19" s="8" t="s">
        <v>53</v>
      </c>
      <c r="P19" s="45">
        <v>1.2222222222222223</v>
      </c>
    </row>
    <row r="20" spans="1:16" x14ac:dyDescent="0.3">
      <c r="A20" s="8" t="s">
        <v>54</v>
      </c>
      <c r="B20" s="45">
        <v>26</v>
      </c>
      <c r="D20" s="8" t="s">
        <v>54</v>
      </c>
      <c r="E20" s="45">
        <v>243619000</v>
      </c>
      <c r="G20" s="8" t="s">
        <v>54</v>
      </c>
      <c r="H20" s="45">
        <v>9369961.538461538</v>
      </c>
      <c r="J20" s="8" t="s">
        <v>53</v>
      </c>
      <c r="K20" s="4">
        <v>0.36</v>
      </c>
      <c r="L20" s="4">
        <v>0.64</v>
      </c>
      <c r="M20" s="4">
        <v>1</v>
      </c>
      <c r="O20" s="8" t="s">
        <v>54</v>
      </c>
      <c r="P20" s="45">
        <v>1.4444444444444444</v>
      </c>
    </row>
    <row r="21" spans="1:16" x14ac:dyDescent="0.3">
      <c r="A21" s="8" t="s">
        <v>55</v>
      </c>
      <c r="B21" s="45">
        <v>21</v>
      </c>
      <c r="D21" s="8" t="s">
        <v>55</v>
      </c>
      <c r="E21" s="45">
        <v>81139000</v>
      </c>
      <c r="G21" s="8" t="s">
        <v>55</v>
      </c>
      <c r="H21" s="45">
        <v>3863761.9047619049</v>
      </c>
      <c r="J21" s="8" t="s">
        <v>54</v>
      </c>
      <c r="K21" s="4">
        <v>0.375</v>
      </c>
      <c r="L21" s="4">
        <v>0.625</v>
      </c>
      <c r="M21" s="4">
        <v>1</v>
      </c>
      <c r="O21" s="8" t="s">
        <v>55</v>
      </c>
      <c r="P21" s="45">
        <v>1.3333333333333333</v>
      </c>
    </row>
    <row r="22" spans="1:16" x14ac:dyDescent="0.3">
      <c r="A22" s="8" t="s">
        <v>56</v>
      </c>
      <c r="B22" s="45">
        <v>20</v>
      </c>
      <c r="D22" s="8" t="s">
        <v>56</v>
      </c>
      <c r="E22" s="45">
        <v>274908000</v>
      </c>
      <c r="G22" s="8" t="s">
        <v>56</v>
      </c>
      <c r="H22" s="45">
        <v>13745400</v>
      </c>
      <c r="J22" s="8" t="s">
        <v>55</v>
      </c>
      <c r="K22" s="4">
        <v>0.2857142857142857</v>
      </c>
      <c r="L22" s="4">
        <v>0.7142857142857143</v>
      </c>
      <c r="M22" s="4">
        <v>1</v>
      </c>
      <c r="O22" s="8" t="s">
        <v>56</v>
      </c>
      <c r="P22" s="45">
        <v>1.8333333333333333</v>
      </c>
    </row>
    <row r="23" spans="1:16" x14ac:dyDescent="0.3">
      <c r="A23" s="8" t="s">
        <v>57</v>
      </c>
      <c r="B23" s="45">
        <v>28</v>
      </c>
      <c r="D23" s="8" t="s">
        <v>57</v>
      </c>
      <c r="E23" s="45">
        <v>52083000</v>
      </c>
      <c r="G23" s="8" t="s">
        <v>57</v>
      </c>
      <c r="H23" s="45">
        <v>1860107.142857143</v>
      </c>
      <c r="J23" s="8" t="s">
        <v>56</v>
      </c>
      <c r="K23" s="4">
        <v>0.31578947368421051</v>
      </c>
      <c r="L23" s="4">
        <v>0.68421052631578949</v>
      </c>
      <c r="M23" s="4">
        <v>1</v>
      </c>
      <c r="O23" s="8" t="s">
        <v>57</v>
      </c>
      <c r="P23" s="45">
        <v>1.1666666666666667</v>
      </c>
    </row>
    <row r="24" spans="1:16" x14ac:dyDescent="0.3">
      <c r="A24" s="8" t="s">
        <v>58</v>
      </c>
      <c r="B24" s="45">
        <v>19</v>
      </c>
      <c r="D24" s="8" t="s">
        <v>58</v>
      </c>
      <c r="E24" s="45">
        <v>106264000</v>
      </c>
      <c r="G24" s="8" t="s">
        <v>58</v>
      </c>
      <c r="H24" s="45">
        <v>5592842.1052631577</v>
      </c>
      <c r="J24" s="8" t="s">
        <v>57</v>
      </c>
      <c r="K24" s="4">
        <v>0.24</v>
      </c>
      <c r="L24" s="4">
        <v>0.76</v>
      </c>
      <c r="M24" s="4">
        <v>1</v>
      </c>
      <c r="O24" s="8" t="s">
        <v>58</v>
      </c>
      <c r="P24" s="45">
        <v>1.5</v>
      </c>
    </row>
    <row r="25" spans="1:16" x14ac:dyDescent="0.3">
      <c r="A25" s="8" t="s">
        <v>59</v>
      </c>
      <c r="B25" s="45">
        <v>25</v>
      </c>
      <c r="D25" s="8" t="s">
        <v>59</v>
      </c>
      <c r="E25" s="45">
        <v>87132000</v>
      </c>
      <c r="G25" s="8" t="s">
        <v>59</v>
      </c>
      <c r="H25" s="45">
        <v>3485280</v>
      </c>
      <c r="J25" s="8" t="s">
        <v>58</v>
      </c>
      <c r="K25" s="4">
        <v>0.21052631578947367</v>
      </c>
      <c r="L25" s="4">
        <v>0.78947368421052633</v>
      </c>
      <c r="M25" s="4">
        <v>1</v>
      </c>
      <c r="O25" s="8" t="s">
        <v>59</v>
      </c>
      <c r="P25" s="45">
        <v>1.1111111111111112</v>
      </c>
    </row>
    <row r="26" spans="1:16" x14ac:dyDescent="0.3">
      <c r="A26" s="8" t="s">
        <v>60</v>
      </c>
      <c r="B26" s="45">
        <v>34</v>
      </c>
      <c r="D26" s="8" t="s">
        <v>60</v>
      </c>
      <c r="E26" s="45">
        <v>246563000</v>
      </c>
      <c r="G26" s="8" t="s">
        <v>60</v>
      </c>
      <c r="H26" s="45">
        <v>7251852.9411764704</v>
      </c>
      <c r="J26" s="8" t="s">
        <v>59</v>
      </c>
      <c r="K26" s="4">
        <v>0.36</v>
      </c>
      <c r="L26" s="4">
        <v>0.64</v>
      </c>
      <c r="M26" s="4">
        <v>1</v>
      </c>
      <c r="O26" s="8" t="s">
        <v>60</v>
      </c>
      <c r="P26" s="45">
        <v>1.25</v>
      </c>
    </row>
    <row r="27" spans="1:16" x14ac:dyDescent="0.3">
      <c r="A27" s="8" t="s">
        <v>61</v>
      </c>
      <c r="B27" s="45">
        <v>21</v>
      </c>
      <c r="D27" s="8" t="s">
        <v>61</v>
      </c>
      <c r="E27" s="45">
        <v>79486000</v>
      </c>
      <c r="G27" s="8" t="s">
        <v>61</v>
      </c>
      <c r="H27" s="45">
        <v>3785047.6190476189</v>
      </c>
      <c r="J27" s="8" t="s">
        <v>60</v>
      </c>
      <c r="K27" s="4">
        <v>0.23529411764705882</v>
      </c>
      <c r="L27" s="4">
        <v>0.76470588235294112</v>
      </c>
      <c r="M27" s="4">
        <v>1</v>
      </c>
      <c r="O27" s="8" t="s">
        <v>61</v>
      </c>
      <c r="P27" s="45">
        <v>1</v>
      </c>
    </row>
    <row r="28" spans="1:16" x14ac:dyDescent="0.3">
      <c r="A28" s="8" t="s">
        <v>62</v>
      </c>
      <c r="B28" s="45">
        <v>15</v>
      </c>
      <c r="D28" s="8" t="s">
        <v>62</v>
      </c>
      <c r="E28" s="45">
        <v>149237000</v>
      </c>
      <c r="G28" s="8" t="s">
        <v>62</v>
      </c>
      <c r="H28" s="45">
        <v>9949133.333333334</v>
      </c>
      <c r="J28" s="8" t="s">
        <v>61</v>
      </c>
      <c r="K28" s="4">
        <v>0.3</v>
      </c>
      <c r="L28" s="4">
        <v>0.7</v>
      </c>
      <c r="M28" s="4">
        <v>1</v>
      </c>
      <c r="O28" s="8" t="s">
        <v>62</v>
      </c>
      <c r="P28" s="45">
        <v>1.4</v>
      </c>
    </row>
    <row r="29" spans="1:16" x14ac:dyDescent="0.3">
      <c r="A29" s="8" t="s">
        <v>63</v>
      </c>
      <c r="B29" s="45">
        <v>22</v>
      </c>
      <c r="D29" s="8" t="s">
        <v>63</v>
      </c>
      <c r="E29" s="45">
        <v>86771000</v>
      </c>
      <c r="G29" s="8" t="s">
        <v>63</v>
      </c>
      <c r="H29" s="45">
        <v>3944136.3636363638</v>
      </c>
      <c r="J29" s="8" t="s">
        <v>62</v>
      </c>
      <c r="K29" s="4">
        <v>0.38461538461538464</v>
      </c>
      <c r="L29" s="4">
        <v>0.61538461538461542</v>
      </c>
      <c r="M29" s="4">
        <v>1</v>
      </c>
      <c r="O29" s="8" t="s">
        <v>63</v>
      </c>
      <c r="P29" s="45">
        <v>1.3333333333333333</v>
      </c>
    </row>
    <row r="30" spans="1:16" x14ac:dyDescent="0.3">
      <c r="A30" s="3" t="s">
        <v>33</v>
      </c>
      <c r="B30" s="45">
        <v>256</v>
      </c>
      <c r="D30" s="3" t="s">
        <v>33</v>
      </c>
      <c r="E30" s="45">
        <v>2324620000</v>
      </c>
      <c r="G30" s="3" t="s">
        <v>33</v>
      </c>
      <c r="H30" s="45">
        <v>9080546.875</v>
      </c>
      <c r="J30" s="8" t="s">
        <v>63</v>
      </c>
      <c r="K30" s="4">
        <v>0.27272727272727271</v>
      </c>
      <c r="L30" s="4">
        <v>0.72727272727272729</v>
      </c>
      <c r="M30" s="4">
        <v>1</v>
      </c>
      <c r="O30" s="3" t="s">
        <v>33</v>
      </c>
      <c r="P30" s="45">
        <v>1.3452380952380953</v>
      </c>
    </row>
    <row r="31" spans="1:16" x14ac:dyDescent="0.3">
      <c r="A31" s="8" t="s">
        <v>52</v>
      </c>
      <c r="B31" s="45">
        <v>16</v>
      </c>
      <c r="D31" s="8" t="s">
        <v>52</v>
      </c>
      <c r="E31" s="45">
        <v>147181000</v>
      </c>
      <c r="G31" s="8" t="s">
        <v>52</v>
      </c>
      <c r="H31" s="45">
        <v>9198812.5</v>
      </c>
      <c r="J31" s="3" t="s">
        <v>33</v>
      </c>
      <c r="K31" s="4">
        <v>0.34285714285714286</v>
      </c>
      <c r="L31" s="4">
        <v>0.65714285714285714</v>
      </c>
      <c r="M31" s="4">
        <v>1</v>
      </c>
      <c r="O31" s="8" t="s">
        <v>52</v>
      </c>
      <c r="P31" s="45">
        <v>1.2857142857142858</v>
      </c>
    </row>
    <row r="32" spans="1:16" x14ac:dyDescent="0.3">
      <c r="A32" s="8" t="s">
        <v>53</v>
      </c>
      <c r="B32" s="45">
        <v>27</v>
      </c>
      <c r="D32" s="8" t="s">
        <v>53</v>
      </c>
      <c r="E32" s="45">
        <v>220318000</v>
      </c>
      <c r="G32" s="8" t="s">
        <v>53</v>
      </c>
      <c r="H32" s="45">
        <v>8159925.9259259263</v>
      </c>
      <c r="J32" s="8" t="s">
        <v>52</v>
      </c>
      <c r="K32" s="4">
        <v>0.4375</v>
      </c>
      <c r="L32" s="4">
        <v>0.5625</v>
      </c>
      <c r="M32" s="4">
        <v>1</v>
      </c>
      <c r="O32" s="8" t="s">
        <v>53</v>
      </c>
      <c r="P32" s="45">
        <v>1.3333333333333333</v>
      </c>
    </row>
    <row r="33" spans="1:16" x14ac:dyDescent="0.3">
      <c r="A33" s="8" t="s">
        <v>54</v>
      </c>
      <c r="B33" s="45">
        <v>24</v>
      </c>
      <c r="D33" s="8" t="s">
        <v>54</v>
      </c>
      <c r="E33" s="45">
        <v>296017000</v>
      </c>
      <c r="G33" s="8" t="s">
        <v>54</v>
      </c>
      <c r="H33" s="45">
        <v>12334041.666666666</v>
      </c>
      <c r="J33" s="8" t="s">
        <v>53</v>
      </c>
      <c r="K33" s="4">
        <v>0.23076923076923078</v>
      </c>
      <c r="L33" s="4">
        <v>0.76923076923076927</v>
      </c>
      <c r="M33" s="4">
        <v>1</v>
      </c>
      <c r="O33" s="8" t="s">
        <v>54</v>
      </c>
      <c r="P33" s="45">
        <v>1.3</v>
      </c>
    </row>
    <row r="34" spans="1:16" x14ac:dyDescent="0.3">
      <c r="A34" s="8" t="s">
        <v>55</v>
      </c>
      <c r="B34" s="45">
        <v>27</v>
      </c>
      <c r="D34" s="8" t="s">
        <v>55</v>
      </c>
      <c r="E34" s="45">
        <v>245264000</v>
      </c>
      <c r="G34" s="8" t="s">
        <v>55</v>
      </c>
      <c r="H34" s="45">
        <v>9083851.8518518526</v>
      </c>
      <c r="J34" s="8" t="s">
        <v>54</v>
      </c>
      <c r="K34" s="4">
        <v>0.43478260869565216</v>
      </c>
      <c r="L34" s="4">
        <v>0.56521739130434778</v>
      </c>
      <c r="M34" s="4">
        <v>1</v>
      </c>
      <c r="O34" s="8" t="s">
        <v>55</v>
      </c>
      <c r="P34" s="45">
        <v>1.2857142857142858</v>
      </c>
    </row>
    <row r="35" spans="1:16" x14ac:dyDescent="0.3">
      <c r="A35" s="8" t="s">
        <v>56</v>
      </c>
      <c r="B35" s="45">
        <v>27</v>
      </c>
      <c r="D35" s="8" t="s">
        <v>56</v>
      </c>
      <c r="E35" s="45">
        <v>502526000</v>
      </c>
      <c r="G35" s="8" t="s">
        <v>56</v>
      </c>
      <c r="H35" s="45">
        <v>18612074.074074075</v>
      </c>
      <c r="J35" s="8" t="s">
        <v>55</v>
      </c>
      <c r="K35" s="4">
        <v>0.26923076923076922</v>
      </c>
      <c r="L35" s="4">
        <v>0.73076923076923073</v>
      </c>
      <c r="M35" s="4">
        <v>1</v>
      </c>
      <c r="O35" s="8" t="s">
        <v>56</v>
      </c>
      <c r="P35" s="45">
        <v>1.3</v>
      </c>
    </row>
    <row r="36" spans="1:16" x14ac:dyDescent="0.3">
      <c r="A36" s="8" t="s">
        <v>57</v>
      </c>
      <c r="B36" s="45">
        <v>25</v>
      </c>
      <c r="D36" s="8" t="s">
        <v>57</v>
      </c>
      <c r="E36" s="45">
        <v>194714000</v>
      </c>
      <c r="G36" s="8" t="s">
        <v>57</v>
      </c>
      <c r="H36" s="45">
        <v>7788560</v>
      </c>
      <c r="J36" s="8" t="s">
        <v>56</v>
      </c>
      <c r="K36" s="4">
        <v>0.37037037037037035</v>
      </c>
      <c r="L36" s="4">
        <v>0.62962962962962965</v>
      </c>
      <c r="M36" s="4">
        <v>1</v>
      </c>
      <c r="O36" s="8" t="s">
        <v>57</v>
      </c>
      <c r="P36" s="45">
        <v>1.2857142857142858</v>
      </c>
    </row>
    <row r="37" spans="1:16" x14ac:dyDescent="0.3">
      <c r="A37" s="8" t="s">
        <v>58</v>
      </c>
      <c r="B37" s="45">
        <v>23</v>
      </c>
      <c r="D37" s="8" t="s">
        <v>58</v>
      </c>
      <c r="E37" s="45">
        <v>235198000</v>
      </c>
      <c r="G37" s="8" t="s">
        <v>58</v>
      </c>
      <c r="H37" s="45">
        <v>10226000</v>
      </c>
      <c r="J37" s="8" t="s">
        <v>57</v>
      </c>
      <c r="K37" s="4">
        <v>0.28000000000000003</v>
      </c>
      <c r="L37" s="4">
        <v>0.72</v>
      </c>
      <c r="M37" s="4">
        <v>1</v>
      </c>
      <c r="O37" s="8" t="s">
        <v>58</v>
      </c>
      <c r="P37" s="45">
        <v>1.25</v>
      </c>
    </row>
    <row r="38" spans="1:16" x14ac:dyDescent="0.3">
      <c r="A38" s="8" t="s">
        <v>59</v>
      </c>
      <c r="B38" s="45">
        <v>15</v>
      </c>
      <c r="D38" s="8" t="s">
        <v>59</v>
      </c>
      <c r="E38" s="45">
        <v>110319000</v>
      </c>
      <c r="G38" s="8" t="s">
        <v>59</v>
      </c>
      <c r="H38" s="45">
        <v>7354600</v>
      </c>
      <c r="J38" s="8" t="s">
        <v>58</v>
      </c>
      <c r="K38" s="4">
        <v>0.18181818181818182</v>
      </c>
      <c r="L38" s="4">
        <v>0.81818181818181823</v>
      </c>
      <c r="M38" s="4">
        <v>1</v>
      </c>
      <c r="O38" s="8" t="s">
        <v>59</v>
      </c>
      <c r="P38" s="45">
        <v>1.4</v>
      </c>
    </row>
    <row r="39" spans="1:16" x14ac:dyDescent="0.3">
      <c r="A39" s="8" t="s">
        <v>60</v>
      </c>
      <c r="B39" s="45">
        <v>16</v>
      </c>
      <c r="D39" s="8" t="s">
        <v>60</v>
      </c>
      <c r="E39" s="45">
        <v>36832000</v>
      </c>
      <c r="G39" s="8" t="s">
        <v>60</v>
      </c>
      <c r="H39" s="45">
        <v>2302000</v>
      </c>
      <c r="J39" s="8" t="s">
        <v>59</v>
      </c>
      <c r="K39" s="4">
        <v>0.33333333333333331</v>
      </c>
      <c r="L39" s="4">
        <v>0.66666666666666663</v>
      </c>
      <c r="M39" s="4">
        <v>1</v>
      </c>
      <c r="O39" s="8" t="s">
        <v>60</v>
      </c>
      <c r="P39" s="45">
        <v>1.3333333333333333</v>
      </c>
    </row>
    <row r="40" spans="1:16" x14ac:dyDescent="0.3">
      <c r="A40" s="8" t="s">
        <v>61</v>
      </c>
      <c r="B40" s="45">
        <v>22</v>
      </c>
      <c r="D40" s="8" t="s">
        <v>61</v>
      </c>
      <c r="E40" s="45">
        <v>201502000</v>
      </c>
      <c r="G40" s="8" t="s">
        <v>61</v>
      </c>
      <c r="H40" s="45">
        <v>9159181.8181818184</v>
      </c>
      <c r="J40" s="8" t="s">
        <v>60</v>
      </c>
      <c r="K40" s="4">
        <v>0.4</v>
      </c>
      <c r="L40" s="4">
        <v>0.6</v>
      </c>
      <c r="M40" s="4">
        <v>1</v>
      </c>
      <c r="O40" s="8" t="s">
        <v>61</v>
      </c>
      <c r="P40" s="45">
        <v>1.375</v>
      </c>
    </row>
    <row r="41" spans="1:16" x14ac:dyDescent="0.3">
      <c r="A41" s="8" t="s">
        <v>62</v>
      </c>
      <c r="B41" s="45">
        <v>18</v>
      </c>
      <c r="D41" s="8" t="s">
        <v>62</v>
      </c>
      <c r="E41" s="45">
        <v>66219000</v>
      </c>
      <c r="G41" s="8" t="s">
        <v>62</v>
      </c>
      <c r="H41" s="45">
        <v>3678833.3333333335</v>
      </c>
      <c r="J41" s="8" t="s">
        <v>61</v>
      </c>
      <c r="K41" s="4">
        <v>0.42105263157894735</v>
      </c>
      <c r="L41" s="4">
        <v>0.57894736842105265</v>
      </c>
      <c r="M41" s="4">
        <v>1</v>
      </c>
      <c r="O41" s="8" t="s">
        <v>62</v>
      </c>
      <c r="P41" s="45">
        <v>1.4285714285714286</v>
      </c>
    </row>
    <row r="42" spans="1:16" x14ac:dyDescent="0.3">
      <c r="A42" s="8" t="s">
        <v>63</v>
      </c>
      <c r="B42" s="45">
        <v>16</v>
      </c>
      <c r="D42" s="8" t="s">
        <v>63</v>
      </c>
      <c r="E42" s="45">
        <v>68530000</v>
      </c>
      <c r="G42" s="8" t="s">
        <v>63</v>
      </c>
      <c r="H42" s="45">
        <v>4283125</v>
      </c>
      <c r="J42" s="8" t="s">
        <v>62</v>
      </c>
      <c r="K42" s="4">
        <v>0.41176470588235292</v>
      </c>
      <c r="L42" s="4">
        <v>0.58823529411764708</v>
      </c>
      <c r="M42" s="4">
        <v>1</v>
      </c>
      <c r="O42" s="8" t="s">
        <v>63</v>
      </c>
      <c r="P42" s="45">
        <v>1.5714285714285714</v>
      </c>
    </row>
    <row r="43" spans="1:16" x14ac:dyDescent="0.3">
      <c r="A43" s="3" t="s">
        <v>34</v>
      </c>
      <c r="B43" s="45">
        <v>566</v>
      </c>
      <c r="D43" s="3" t="s">
        <v>34</v>
      </c>
      <c r="E43" s="45">
        <v>3379083000</v>
      </c>
      <c r="G43" s="3" t="s">
        <v>34</v>
      </c>
      <c r="H43" s="45">
        <v>5980677.8761061952</v>
      </c>
      <c r="J43" s="8" t="s">
        <v>63</v>
      </c>
      <c r="K43" s="4">
        <v>0.5</v>
      </c>
      <c r="L43" s="4">
        <v>0.5</v>
      </c>
      <c r="M43" s="4">
        <v>1</v>
      </c>
      <c r="O43" s="3" t="s">
        <v>34</v>
      </c>
      <c r="P43" s="45">
        <v>1.4076433121019107</v>
      </c>
    </row>
    <row r="44" spans="1:16" x14ac:dyDescent="0.3">
      <c r="A44" s="8" t="s">
        <v>52</v>
      </c>
      <c r="B44" s="45">
        <v>48</v>
      </c>
      <c r="D44" s="8" t="s">
        <v>52</v>
      </c>
      <c r="E44" s="45">
        <v>236970000</v>
      </c>
      <c r="G44" s="8" t="s">
        <v>52</v>
      </c>
      <c r="H44" s="45">
        <v>4936875</v>
      </c>
      <c r="J44" s="3" t="s">
        <v>34</v>
      </c>
      <c r="K44" s="4">
        <v>0.28545454545454546</v>
      </c>
      <c r="L44" s="4">
        <v>0.71454545454545459</v>
      </c>
      <c r="M44" s="4">
        <v>1</v>
      </c>
      <c r="O44" s="8" t="s">
        <v>52</v>
      </c>
      <c r="P44" s="45">
        <v>1.4705882352941178</v>
      </c>
    </row>
    <row r="45" spans="1:16" x14ac:dyDescent="0.3">
      <c r="A45" s="8" t="s">
        <v>53</v>
      </c>
      <c r="B45" s="45">
        <v>38</v>
      </c>
      <c r="D45" s="8" t="s">
        <v>53</v>
      </c>
      <c r="E45" s="45">
        <v>228582000</v>
      </c>
      <c r="G45" s="8" t="s">
        <v>53</v>
      </c>
      <c r="H45" s="45">
        <v>6177891.8918918921</v>
      </c>
      <c r="J45" s="8" t="s">
        <v>52</v>
      </c>
      <c r="K45" s="4">
        <v>0.36170212765957449</v>
      </c>
      <c r="L45" s="4">
        <v>0.63829787234042556</v>
      </c>
      <c r="M45" s="4">
        <v>1</v>
      </c>
      <c r="O45" s="8" t="s">
        <v>53</v>
      </c>
      <c r="P45" s="45">
        <v>1.2857142857142858</v>
      </c>
    </row>
    <row r="46" spans="1:16" x14ac:dyDescent="0.3">
      <c r="A46" s="8" t="s">
        <v>54</v>
      </c>
      <c r="B46" s="45">
        <v>45</v>
      </c>
      <c r="D46" s="8" t="s">
        <v>54</v>
      </c>
      <c r="E46" s="45">
        <v>316704000</v>
      </c>
      <c r="G46" s="8" t="s">
        <v>54</v>
      </c>
      <c r="H46" s="45">
        <v>7037866.666666667</v>
      </c>
      <c r="J46" s="8" t="s">
        <v>53</v>
      </c>
      <c r="K46" s="4">
        <v>0.1891891891891892</v>
      </c>
      <c r="L46" s="4">
        <v>0.81081081081081086</v>
      </c>
      <c r="M46" s="4">
        <v>1</v>
      </c>
      <c r="O46" s="8" t="s">
        <v>54</v>
      </c>
      <c r="P46" s="45">
        <v>1.5</v>
      </c>
    </row>
    <row r="47" spans="1:16" x14ac:dyDescent="0.3">
      <c r="A47" s="8" t="s">
        <v>55</v>
      </c>
      <c r="B47" s="45">
        <v>46</v>
      </c>
      <c r="D47" s="8" t="s">
        <v>55</v>
      </c>
      <c r="E47" s="45">
        <v>122465000</v>
      </c>
      <c r="G47" s="8" t="s">
        <v>55</v>
      </c>
      <c r="H47" s="45">
        <v>2662282.6086956523</v>
      </c>
      <c r="J47" s="8" t="s">
        <v>54</v>
      </c>
      <c r="K47" s="4">
        <v>0.36363636363636365</v>
      </c>
      <c r="L47" s="4">
        <v>0.63636363636363635</v>
      </c>
      <c r="M47" s="4">
        <v>1</v>
      </c>
      <c r="O47" s="8" t="s">
        <v>55</v>
      </c>
      <c r="P47" s="45">
        <v>1.5454545454545454</v>
      </c>
    </row>
    <row r="48" spans="1:16" x14ac:dyDescent="0.3">
      <c r="A48" s="8" t="s">
        <v>56</v>
      </c>
      <c r="B48" s="45">
        <v>44</v>
      </c>
      <c r="D48" s="8" t="s">
        <v>56</v>
      </c>
      <c r="E48" s="45">
        <v>562822000</v>
      </c>
      <c r="G48" s="8" t="s">
        <v>56</v>
      </c>
      <c r="H48" s="45">
        <v>12791409.090909092</v>
      </c>
      <c r="J48" s="8" t="s">
        <v>55</v>
      </c>
      <c r="K48" s="4">
        <v>0.25</v>
      </c>
      <c r="L48" s="4">
        <v>0.75</v>
      </c>
      <c r="M48" s="4">
        <v>1</v>
      </c>
      <c r="O48" s="8" t="s">
        <v>56</v>
      </c>
      <c r="P48" s="45">
        <v>1.4285714285714286</v>
      </c>
    </row>
    <row r="49" spans="1:16" x14ac:dyDescent="0.3">
      <c r="A49" s="8" t="s">
        <v>57</v>
      </c>
      <c r="B49" s="45">
        <v>39</v>
      </c>
      <c r="D49" s="8" t="s">
        <v>57</v>
      </c>
      <c r="E49" s="45">
        <v>150030000</v>
      </c>
      <c r="G49" s="8" t="s">
        <v>57</v>
      </c>
      <c r="H49" s="45">
        <v>3846923.076923077</v>
      </c>
      <c r="J49" s="8" t="s">
        <v>56</v>
      </c>
      <c r="K49" s="4">
        <v>0.32558139534883723</v>
      </c>
      <c r="L49" s="4">
        <v>0.67441860465116277</v>
      </c>
      <c r="M49" s="4">
        <v>1</v>
      </c>
      <c r="O49" s="8" t="s">
        <v>57</v>
      </c>
      <c r="P49" s="45">
        <v>1.5714285714285714</v>
      </c>
    </row>
    <row r="50" spans="1:16" x14ac:dyDescent="0.3">
      <c r="A50" s="8" t="s">
        <v>58</v>
      </c>
      <c r="B50" s="45">
        <v>61</v>
      </c>
      <c r="D50" s="8" t="s">
        <v>58</v>
      </c>
      <c r="E50" s="45">
        <v>213214000</v>
      </c>
      <c r="G50" s="8" t="s">
        <v>58</v>
      </c>
      <c r="H50" s="45">
        <v>3495311.475409836</v>
      </c>
      <c r="J50" s="8" t="s">
        <v>57</v>
      </c>
      <c r="K50" s="4">
        <v>0.17948717948717949</v>
      </c>
      <c r="L50" s="4">
        <v>0.82051282051282048</v>
      </c>
      <c r="M50" s="4">
        <v>1</v>
      </c>
      <c r="O50" s="8" t="s">
        <v>58</v>
      </c>
      <c r="P50" s="45">
        <v>1.3888888888888888</v>
      </c>
    </row>
    <row r="51" spans="1:16" x14ac:dyDescent="0.3">
      <c r="A51" s="8" t="s">
        <v>59</v>
      </c>
      <c r="B51" s="45">
        <v>50</v>
      </c>
      <c r="D51" s="8" t="s">
        <v>59</v>
      </c>
      <c r="E51" s="45">
        <v>313224000</v>
      </c>
      <c r="G51" s="8" t="s">
        <v>59</v>
      </c>
      <c r="H51" s="45">
        <v>6264480</v>
      </c>
      <c r="J51" s="8" t="s">
        <v>58</v>
      </c>
      <c r="K51" s="4">
        <v>0.30508474576271188</v>
      </c>
      <c r="L51" s="4">
        <v>0.69491525423728817</v>
      </c>
      <c r="M51" s="4">
        <v>1</v>
      </c>
      <c r="O51" s="8" t="s">
        <v>59</v>
      </c>
      <c r="P51" s="45">
        <v>1.4375</v>
      </c>
    </row>
    <row r="52" spans="1:16" x14ac:dyDescent="0.3">
      <c r="A52" s="8" t="s">
        <v>60</v>
      </c>
      <c r="B52" s="45">
        <v>40</v>
      </c>
      <c r="D52" s="8" t="s">
        <v>60</v>
      </c>
      <c r="E52" s="45">
        <v>348219000</v>
      </c>
      <c r="G52" s="8" t="s">
        <v>60</v>
      </c>
      <c r="H52" s="45">
        <v>8705475</v>
      </c>
      <c r="J52" s="8" t="s">
        <v>59</v>
      </c>
      <c r="K52" s="4">
        <v>0.32653061224489793</v>
      </c>
      <c r="L52" s="4">
        <v>0.67346938775510201</v>
      </c>
      <c r="M52" s="4">
        <v>1</v>
      </c>
      <c r="O52" s="8" t="s">
        <v>60</v>
      </c>
      <c r="P52" s="45">
        <v>1.125</v>
      </c>
    </row>
    <row r="53" spans="1:16" x14ac:dyDescent="0.3">
      <c r="A53" s="8" t="s">
        <v>61</v>
      </c>
      <c r="B53" s="45">
        <v>51</v>
      </c>
      <c r="D53" s="8" t="s">
        <v>61</v>
      </c>
      <c r="E53" s="45">
        <v>109473000</v>
      </c>
      <c r="G53" s="8" t="s">
        <v>61</v>
      </c>
      <c r="H53" s="45">
        <v>2146529.411764706</v>
      </c>
      <c r="J53" s="8" t="s">
        <v>60</v>
      </c>
      <c r="K53" s="4">
        <v>0.20512820512820512</v>
      </c>
      <c r="L53" s="4">
        <v>0.79487179487179482</v>
      </c>
      <c r="M53" s="4">
        <v>1</v>
      </c>
      <c r="O53" s="8" t="s">
        <v>61</v>
      </c>
      <c r="P53" s="45">
        <v>1.3333333333333333</v>
      </c>
    </row>
    <row r="54" spans="1:16" x14ac:dyDescent="0.3">
      <c r="A54" s="8" t="s">
        <v>62</v>
      </c>
      <c r="B54" s="45">
        <v>51</v>
      </c>
      <c r="D54" s="8" t="s">
        <v>62</v>
      </c>
      <c r="E54" s="45">
        <v>493424000</v>
      </c>
      <c r="G54" s="8" t="s">
        <v>62</v>
      </c>
      <c r="H54" s="45">
        <v>9674980.3921568636</v>
      </c>
      <c r="J54" s="8" t="s">
        <v>61</v>
      </c>
      <c r="K54" s="4">
        <v>0.24489795918367346</v>
      </c>
      <c r="L54" s="4">
        <v>0.75510204081632648</v>
      </c>
      <c r="M54" s="4">
        <v>1</v>
      </c>
      <c r="O54" s="8" t="s">
        <v>62</v>
      </c>
      <c r="P54" s="45">
        <v>1.1764705882352942</v>
      </c>
    </row>
    <row r="55" spans="1:16" x14ac:dyDescent="0.3">
      <c r="A55" s="8" t="s">
        <v>63</v>
      </c>
      <c r="B55" s="45">
        <v>53</v>
      </c>
      <c r="D55" s="8" t="s">
        <v>63</v>
      </c>
      <c r="E55" s="45">
        <v>283956000</v>
      </c>
      <c r="G55" s="8" t="s">
        <v>63</v>
      </c>
      <c r="H55" s="45">
        <v>5357660.3773584906</v>
      </c>
      <c r="J55" s="8" t="s">
        <v>62</v>
      </c>
      <c r="K55" s="4">
        <v>0.35416666666666669</v>
      </c>
      <c r="L55" s="4">
        <v>0.64583333333333337</v>
      </c>
      <c r="M55" s="4">
        <v>1</v>
      </c>
      <c r="O55" s="8" t="s">
        <v>63</v>
      </c>
      <c r="P55" s="45">
        <v>1.5714285714285714</v>
      </c>
    </row>
    <row r="56" spans="1:16" x14ac:dyDescent="0.3">
      <c r="A56" s="3" t="s">
        <v>1578</v>
      </c>
      <c r="B56" s="45">
        <v>1470</v>
      </c>
      <c r="D56" s="3" t="s">
        <v>1578</v>
      </c>
      <c r="E56" s="45">
        <v>9528795000</v>
      </c>
      <c r="G56" s="3" t="s">
        <v>1578</v>
      </c>
      <c r="H56" s="45">
        <v>6491004.768392371</v>
      </c>
      <c r="J56" s="8" t="s">
        <v>63</v>
      </c>
      <c r="K56" s="4">
        <v>0.26923076923076922</v>
      </c>
      <c r="L56" s="4">
        <v>0.73076923076923073</v>
      </c>
      <c r="M56" s="4">
        <v>1</v>
      </c>
      <c r="O56" s="3" t="s">
        <v>1578</v>
      </c>
      <c r="P56" s="45">
        <v>1.3474178403755868</v>
      </c>
    </row>
    <row r="57" spans="1:16" x14ac:dyDescent="0.3">
      <c r="J57" s="3" t="s">
        <v>1578</v>
      </c>
      <c r="K57" s="4">
        <v>0.30021141649048627</v>
      </c>
      <c r="L57" s="4">
        <v>0.69978858350951378</v>
      </c>
      <c r="M57" s="4">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0028-8459-46C4-BB78-183EB63E4506}">
  <dimension ref="A1:Z1471"/>
  <sheetViews>
    <sheetView topLeftCell="L1380" zoomScale="90" zoomScaleNormal="90" workbookViewId="0">
      <selection activeCell="V1462" sqref="V1462"/>
    </sheetView>
  </sheetViews>
  <sheetFormatPr defaultRowHeight="14.4" x14ac:dyDescent="0.3"/>
  <cols>
    <col min="1" max="1" width="14.88671875" bestFit="1" customWidth="1"/>
    <col min="2" max="3" width="15.21875" bestFit="1" customWidth="1"/>
    <col min="4" max="4" width="24.33203125" bestFit="1" customWidth="1"/>
    <col min="5" max="5" width="22.6640625" bestFit="1" customWidth="1"/>
    <col min="6" max="6" width="13.6640625" bestFit="1" customWidth="1"/>
    <col min="7" max="7" width="18.109375" bestFit="1" customWidth="1"/>
    <col min="8" max="8" width="15" bestFit="1" customWidth="1"/>
    <col min="9" max="9" width="15.21875" bestFit="1" customWidth="1"/>
    <col min="10" max="10" width="15" bestFit="1" customWidth="1"/>
    <col min="11" max="11" width="13.33203125" bestFit="1" customWidth="1"/>
    <col min="12" max="12" width="15.77734375" bestFit="1" customWidth="1"/>
    <col min="13" max="13" width="13.109375" bestFit="1" customWidth="1"/>
    <col min="14" max="14" width="16.33203125" bestFit="1" customWidth="1"/>
    <col min="15" max="15" width="22" bestFit="1" customWidth="1"/>
    <col min="16" max="16" width="16.109375" bestFit="1" customWidth="1"/>
    <col min="17" max="17" width="18.33203125" bestFit="1" customWidth="1"/>
    <col min="18" max="18" width="20.5546875" bestFit="1" customWidth="1"/>
    <col min="19" max="19" width="21.88671875" bestFit="1" customWidth="1"/>
    <col min="20" max="20" width="26.109375" bestFit="1" customWidth="1"/>
    <col min="21" max="21" width="24.6640625" bestFit="1" customWidth="1"/>
    <col min="22" max="22" width="20.77734375" bestFit="1" customWidth="1"/>
    <col min="23" max="23" width="25.21875" bestFit="1" customWidth="1"/>
    <col min="24" max="24" width="21.5546875" bestFit="1" customWidth="1"/>
    <col min="25" max="25" width="19" bestFit="1" customWidth="1"/>
    <col min="26" max="26" width="13.6640625" bestFit="1" customWidth="1"/>
  </cols>
  <sheetData>
    <row r="1" spans="1:26" x14ac:dyDescent="0.3">
      <c r="A1" t="s">
        <v>80</v>
      </c>
      <c r="B1" t="s">
        <v>81</v>
      </c>
      <c r="C1" t="s">
        <v>82</v>
      </c>
      <c r="D1" t="s">
        <v>83</v>
      </c>
      <c r="E1" t="s">
        <v>84</v>
      </c>
      <c r="F1" t="s">
        <v>25</v>
      </c>
      <c r="G1" t="s">
        <v>85</v>
      </c>
      <c r="H1" t="s">
        <v>14</v>
      </c>
      <c r="I1" t="s">
        <v>86</v>
      </c>
      <c r="J1" t="s">
        <v>87</v>
      </c>
      <c r="K1" t="s">
        <v>88</v>
      </c>
      <c r="L1" t="s">
        <v>89</v>
      </c>
      <c r="M1" t="s">
        <v>76</v>
      </c>
      <c r="N1" t="s">
        <v>77</v>
      </c>
      <c r="O1" t="s">
        <v>90</v>
      </c>
      <c r="P1" t="s">
        <v>78</v>
      </c>
      <c r="Q1" t="s">
        <v>79</v>
      </c>
      <c r="R1" t="s">
        <v>91</v>
      </c>
      <c r="S1" t="s">
        <v>92</v>
      </c>
      <c r="T1" t="s">
        <v>1610</v>
      </c>
      <c r="U1" t="s">
        <v>1594</v>
      </c>
      <c r="V1" t="s">
        <v>1597</v>
      </c>
      <c r="W1" t="s">
        <v>1607</v>
      </c>
      <c r="X1" t="s">
        <v>1605</v>
      </c>
      <c r="Y1" t="s">
        <v>93</v>
      </c>
      <c r="Z1" t="s">
        <v>94</v>
      </c>
    </row>
    <row r="2" spans="1:26" x14ac:dyDescent="0.3">
      <c r="A2" t="s">
        <v>95</v>
      </c>
      <c r="B2" s="5">
        <v>46203</v>
      </c>
      <c r="C2" s="5">
        <v>46204</v>
      </c>
      <c r="D2" s="5">
        <v>46207</v>
      </c>
      <c r="E2" s="5">
        <v>46207</v>
      </c>
      <c r="F2" t="s">
        <v>32</v>
      </c>
      <c r="G2" t="s">
        <v>52</v>
      </c>
      <c r="H2" t="s">
        <v>23</v>
      </c>
      <c r="I2" t="s">
        <v>44</v>
      </c>
      <c r="J2">
        <v>319.3</v>
      </c>
      <c r="K2">
        <v>169.4</v>
      </c>
      <c r="L2">
        <v>3656000</v>
      </c>
      <c r="M2" t="b">
        <v>0</v>
      </c>
      <c r="N2" t="b">
        <v>0</v>
      </c>
      <c r="O2">
        <v>1500</v>
      </c>
      <c r="P2" t="b">
        <v>0</v>
      </c>
      <c r="Q2" t="b">
        <v>0</v>
      </c>
      <c r="R2" t="b">
        <v>0</v>
      </c>
      <c r="S2" t="s">
        <v>96</v>
      </c>
      <c r="T2" t="s">
        <v>1611</v>
      </c>
      <c r="U2">
        <v>11.293333333333329</v>
      </c>
      <c r="V2">
        <v>0</v>
      </c>
      <c r="W2">
        <v>0</v>
      </c>
      <c r="X2">
        <v>3</v>
      </c>
      <c r="Y2" s="6">
        <v>46204</v>
      </c>
    </row>
    <row r="3" spans="1:26" x14ac:dyDescent="0.3">
      <c r="A3" t="s">
        <v>98</v>
      </c>
      <c r="B3" s="5">
        <v>46197</v>
      </c>
      <c r="C3" s="5">
        <v>46198</v>
      </c>
      <c r="D3" s="5">
        <v>46200</v>
      </c>
      <c r="E3" s="5">
        <v>46200</v>
      </c>
      <c r="F3" t="s">
        <v>32</v>
      </c>
      <c r="G3" t="s">
        <v>53</v>
      </c>
      <c r="H3" t="s">
        <v>24</v>
      </c>
      <c r="I3" t="s">
        <v>43</v>
      </c>
      <c r="J3">
        <v>281.60000000000002</v>
      </c>
      <c r="K3">
        <v>3274.1</v>
      </c>
      <c r="L3">
        <v>4799000</v>
      </c>
      <c r="M3" t="b">
        <v>0</v>
      </c>
      <c r="N3" t="b">
        <v>0</v>
      </c>
      <c r="O3">
        <v>5000</v>
      </c>
      <c r="P3" t="b">
        <v>0</v>
      </c>
      <c r="Q3" t="b">
        <v>0</v>
      </c>
      <c r="R3" t="b">
        <v>0</v>
      </c>
      <c r="S3" t="s">
        <v>96</v>
      </c>
      <c r="T3" t="s">
        <v>1612</v>
      </c>
      <c r="U3">
        <v>65.481999999999999</v>
      </c>
      <c r="V3">
        <v>0</v>
      </c>
      <c r="W3">
        <v>0</v>
      </c>
      <c r="X3">
        <v>2</v>
      </c>
      <c r="Y3" s="6">
        <v>46174</v>
      </c>
    </row>
    <row r="4" spans="1:26" x14ac:dyDescent="0.3">
      <c r="A4" t="s">
        <v>100</v>
      </c>
      <c r="B4" s="5">
        <v>46161</v>
      </c>
      <c r="C4" s="5">
        <v>46162</v>
      </c>
      <c r="D4" s="5">
        <v>46166</v>
      </c>
      <c r="E4" s="5">
        <v>46167</v>
      </c>
      <c r="F4" t="s">
        <v>34</v>
      </c>
      <c r="G4" t="s">
        <v>63</v>
      </c>
      <c r="H4" t="s">
        <v>22</v>
      </c>
      <c r="I4" t="s">
        <v>43</v>
      </c>
      <c r="J4">
        <v>329.3</v>
      </c>
      <c r="K4">
        <v>757.5</v>
      </c>
      <c r="L4">
        <v>5485000</v>
      </c>
      <c r="M4" t="b">
        <v>0</v>
      </c>
      <c r="N4" t="b">
        <v>0</v>
      </c>
      <c r="O4">
        <v>5000</v>
      </c>
      <c r="P4" t="b">
        <v>0</v>
      </c>
      <c r="Q4" t="b">
        <v>0</v>
      </c>
      <c r="R4" t="b">
        <v>0</v>
      </c>
      <c r="S4" t="s">
        <v>101</v>
      </c>
      <c r="T4" t="s">
        <v>1613</v>
      </c>
      <c r="U4">
        <v>15.15</v>
      </c>
      <c r="V4">
        <v>0</v>
      </c>
      <c r="W4">
        <v>0</v>
      </c>
      <c r="X4">
        <v>5</v>
      </c>
      <c r="Y4" s="6">
        <v>46143</v>
      </c>
      <c r="Z4">
        <v>1</v>
      </c>
    </row>
    <row r="5" spans="1:26" x14ac:dyDescent="0.3">
      <c r="A5" t="s">
        <v>103</v>
      </c>
      <c r="B5" s="5">
        <v>46046</v>
      </c>
      <c r="C5" s="5">
        <v>46048</v>
      </c>
      <c r="D5" s="5">
        <v>46052</v>
      </c>
      <c r="E5" s="5">
        <v>46053</v>
      </c>
      <c r="F5" t="s">
        <v>31</v>
      </c>
      <c r="G5" t="s">
        <v>56</v>
      </c>
      <c r="H5" t="s">
        <v>23</v>
      </c>
      <c r="I5" t="s">
        <v>43</v>
      </c>
      <c r="J5">
        <v>918.5</v>
      </c>
      <c r="K5">
        <v>952.2</v>
      </c>
      <c r="L5">
        <v>12727000</v>
      </c>
      <c r="M5" t="b">
        <v>0</v>
      </c>
      <c r="N5" t="b">
        <v>0</v>
      </c>
      <c r="O5">
        <v>5000</v>
      </c>
      <c r="P5" t="b">
        <v>0</v>
      </c>
      <c r="Q5" t="b">
        <v>0</v>
      </c>
      <c r="R5" t="b">
        <v>0</v>
      </c>
      <c r="S5" t="s">
        <v>101</v>
      </c>
      <c r="T5" t="s">
        <v>1614</v>
      </c>
      <c r="U5">
        <v>19.044</v>
      </c>
      <c r="V5">
        <v>0</v>
      </c>
      <c r="W5">
        <v>0</v>
      </c>
      <c r="X5">
        <v>5</v>
      </c>
      <c r="Y5" s="6">
        <v>46023</v>
      </c>
      <c r="Z5">
        <v>1</v>
      </c>
    </row>
    <row r="6" spans="1:26" x14ac:dyDescent="0.3">
      <c r="A6" t="s">
        <v>105</v>
      </c>
      <c r="B6" s="5">
        <v>46190</v>
      </c>
      <c r="C6" s="5">
        <v>46192</v>
      </c>
      <c r="D6" s="5">
        <v>46196</v>
      </c>
      <c r="E6" s="5">
        <v>46196</v>
      </c>
      <c r="F6" t="s">
        <v>31</v>
      </c>
      <c r="G6" t="s">
        <v>62</v>
      </c>
      <c r="H6" t="s">
        <v>21</v>
      </c>
      <c r="I6" t="s">
        <v>42</v>
      </c>
      <c r="J6">
        <v>731.9</v>
      </c>
      <c r="K6">
        <v>3685.3</v>
      </c>
      <c r="L6">
        <v>13013000</v>
      </c>
      <c r="M6" t="b">
        <v>0</v>
      </c>
      <c r="N6" t="b">
        <v>0</v>
      </c>
      <c r="O6">
        <v>16000</v>
      </c>
      <c r="P6" t="b">
        <v>0</v>
      </c>
      <c r="Q6" t="b">
        <v>0</v>
      </c>
      <c r="R6" t="b">
        <v>0</v>
      </c>
      <c r="S6" t="s">
        <v>96</v>
      </c>
      <c r="T6" t="s">
        <v>1615</v>
      </c>
      <c r="U6">
        <v>23.033124999999998</v>
      </c>
      <c r="V6">
        <v>0</v>
      </c>
      <c r="W6">
        <v>0</v>
      </c>
      <c r="X6">
        <v>4</v>
      </c>
      <c r="Y6" s="6">
        <v>46174</v>
      </c>
    </row>
    <row r="7" spans="1:26" x14ac:dyDescent="0.3">
      <c r="A7" t="s">
        <v>106</v>
      </c>
      <c r="B7" s="5">
        <v>46190</v>
      </c>
      <c r="C7" s="5">
        <v>46191</v>
      </c>
      <c r="D7" s="5">
        <v>46194</v>
      </c>
      <c r="E7" s="5">
        <v>46194</v>
      </c>
      <c r="F7" t="s">
        <v>34</v>
      </c>
      <c r="G7" t="s">
        <v>59</v>
      </c>
      <c r="H7" t="s">
        <v>107</v>
      </c>
      <c r="I7" t="s">
        <v>42</v>
      </c>
      <c r="J7">
        <v>328.3</v>
      </c>
      <c r="K7">
        <v>10157.700000000001</v>
      </c>
      <c r="L7">
        <v>9514000</v>
      </c>
      <c r="M7" t="b">
        <v>0</v>
      </c>
      <c r="N7" t="b">
        <v>0</v>
      </c>
      <c r="O7">
        <v>16000</v>
      </c>
      <c r="P7" t="b">
        <v>0</v>
      </c>
      <c r="Q7" t="b">
        <v>0</v>
      </c>
      <c r="R7" t="b">
        <v>0</v>
      </c>
      <c r="S7" t="s">
        <v>96</v>
      </c>
      <c r="T7" t="s">
        <v>1616</v>
      </c>
      <c r="U7">
        <v>63.485624999999999</v>
      </c>
      <c r="V7">
        <v>0</v>
      </c>
      <c r="W7">
        <v>0</v>
      </c>
      <c r="X7">
        <v>3</v>
      </c>
      <c r="Y7" s="6">
        <v>46174</v>
      </c>
    </row>
    <row r="8" spans="1:26" x14ac:dyDescent="0.3">
      <c r="A8" t="s">
        <v>108</v>
      </c>
      <c r="B8" s="5">
        <v>46150</v>
      </c>
      <c r="C8" s="5">
        <v>46151</v>
      </c>
      <c r="D8" s="5">
        <v>46153</v>
      </c>
      <c r="E8" s="5">
        <v>46155</v>
      </c>
      <c r="F8" t="s">
        <v>31</v>
      </c>
      <c r="G8" t="s">
        <v>57</v>
      </c>
      <c r="H8" t="s">
        <v>23</v>
      </c>
      <c r="I8" t="s">
        <v>44</v>
      </c>
      <c r="J8">
        <v>128.1</v>
      </c>
      <c r="K8">
        <v>942.5</v>
      </c>
      <c r="L8">
        <v>2198000</v>
      </c>
      <c r="M8" t="b">
        <v>0</v>
      </c>
      <c r="N8" t="b">
        <v>0</v>
      </c>
      <c r="O8">
        <v>1500</v>
      </c>
      <c r="P8" t="b">
        <v>0</v>
      </c>
      <c r="Q8" t="b">
        <v>0</v>
      </c>
      <c r="R8" t="b">
        <v>0</v>
      </c>
      <c r="S8" t="s">
        <v>101</v>
      </c>
      <c r="T8" t="s">
        <v>1617</v>
      </c>
      <c r="U8">
        <v>62.833333333333329</v>
      </c>
      <c r="V8">
        <v>0</v>
      </c>
      <c r="W8">
        <v>0</v>
      </c>
      <c r="X8">
        <v>4</v>
      </c>
      <c r="Y8" s="6">
        <v>46143</v>
      </c>
      <c r="Z8">
        <v>2</v>
      </c>
    </row>
    <row r="9" spans="1:26" x14ac:dyDescent="0.3">
      <c r="A9" t="s">
        <v>109</v>
      </c>
      <c r="B9" s="5">
        <v>46161</v>
      </c>
      <c r="C9" s="5">
        <v>46162</v>
      </c>
      <c r="D9" s="5">
        <v>46164</v>
      </c>
      <c r="E9" s="5">
        <v>46164</v>
      </c>
      <c r="F9" t="s">
        <v>31</v>
      </c>
      <c r="G9" t="s">
        <v>52</v>
      </c>
      <c r="H9" t="s">
        <v>20</v>
      </c>
      <c r="I9" t="s">
        <v>45</v>
      </c>
      <c r="J9">
        <v>274.60000000000002</v>
      </c>
      <c r="K9">
        <v>192.3</v>
      </c>
      <c r="L9">
        <v>2690000</v>
      </c>
      <c r="M9" t="b">
        <v>0</v>
      </c>
      <c r="N9" t="b">
        <v>0</v>
      </c>
      <c r="O9">
        <v>1000</v>
      </c>
      <c r="P9" t="b">
        <v>0</v>
      </c>
      <c r="Q9" t="b">
        <v>0</v>
      </c>
      <c r="R9" t="b">
        <v>0</v>
      </c>
      <c r="S9" t="s">
        <v>96</v>
      </c>
      <c r="T9" t="s">
        <v>1618</v>
      </c>
      <c r="U9">
        <v>19.23</v>
      </c>
      <c r="V9">
        <v>0</v>
      </c>
      <c r="W9">
        <v>0</v>
      </c>
      <c r="X9">
        <v>2</v>
      </c>
      <c r="Y9" s="6">
        <v>46143</v>
      </c>
    </row>
    <row r="10" spans="1:26" x14ac:dyDescent="0.3">
      <c r="A10" t="s">
        <v>110</v>
      </c>
      <c r="B10" s="5">
        <v>46191</v>
      </c>
      <c r="C10" s="5">
        <v>46193</v>
      </c>
      <c r="D10" s="5">
        <v>46196</v>
      </c>
      <c r="E10" s="5">
        <v>46196</v>
      </c>
      <c r="F10" t="s">
        <v>34</v>
      </c>
      <c r="G10" t="s">
        <v>63</v>
      </c>
      <c r="H10" t="s">
        <v>22</v>
      </c>
      <c r="I10" t="s">
        <v>45</v>
      </c>
      <c r="J10">
        <v>341.7</v>
      </c>
      <c r="K10">
        <v>140.6</v>
      </c>
      <c r="L10">
        <v>2662000</v>
      </c>
      <c r="M10" t="b">
        <v>0</v>
      </c>
      <c r="N10" t="b">
        <v>0</v>
      </c>
      <c r="O10">
        <v>1000</v>
      </c>
      <c r="P10" t="b">
        <v>0</v>
      </c>
      <c r="Q10" t="b">
        <v>0</v>
      </c>
      <c r="R10" t="b">
        <v>0</v>
      </c>
      <c r="S10" t="s">
        <v>96</v>
      </c>
      <c r="T10" t="s">
        <v>1613</v>
      </c>
      <c r="U10">
        <v>14.06</v>
      </c>
      <c r="V10">
        <v>0</v>
      </c>
      <c r="W10">
        <v>0</v>
      </c>
      <c r="X10">
        <v>3</v>
      </c>
      <c r="Y10" s="6">
        <v>46174</v>
      </c>
    </row>
    <row r="11" spans="1:26" x14ac:dyDescent="0.3">
      <c r="A11" t="s">
        <v>111</v>
      </c>
      <c r="B11" s="5">
        <v>46129</v>
      </c>
      <c r="C11" s="5">
        <v>46130</v>
      </c>
      <c r="D11" s="5">
        <v>46132</v>
      </c>
      <c r="E11" s="5">
        <v>46132</v>
      </c>
      <c r="F11" t="s">
        <v>32</v>
      </c>
      <c r="G11" t="s">
        <v>59</v>
      </c>
      <c r="H11" t="s">
        <v>24</v>
      </c>
      <c r="I11" t="s">
        <v>44</v>
      </c>
      <c r="J11">
        <v>186.8</v>
      </c>
      <c r="K11">
        <v>711.4</v>
      </c>
      <c r="L11">
        <v>2404000</v>
      </c>
      <c r="M11" t="b">
        <v>0</v>
      </c>
      <c r="N11" t="b">
        <v>0</v>
      </c>
      <c r="O11">
        <v>1500</v>
      </c>
      <c r="P11" t="b">
        <v>0</v>
      </c>
      <c r="Q11" t="b">
        <v>0</v>
      </c>
      <c r="R11" t="b">
        <v>0</v>
      </c>
      <c r="S11" t="s">
        <v>96</v>
      </c>
      <c r="T11" t="s">
        <v>1619</v>
      </c>
      <c r="U11">
        <v>47.426666666666669</v>
      </c>
      <c r="V11">
        <v>0</v>
      </c>
      <c r="W11">
        <v>0</v>
      </c>
      <c r="X11">
        <v>2</v>
      </c>
      <c r="Y11" s="6">
        <v>46113</v>
      </c>
    </row>
    <row r="12" spans="1:26" x14ac:dyDescent="0.3">
      <c r="A12" t="s">
        <v>113</v>
      </c>
      <c r="B12" s="5">
        <v>46025</v>
      </c>
      <c r="C12" s="5">
        <v>46026</v>
      </c>
      <c r="D12" s="5">
        <v>46028</v>
      </c>
      <c r="E12" s="5">
        <v>46028</v>
      </c>
      <c r="F12" t="s">
        <v>34</v>
      </c>
      <c r="G12" t="s">
        <v>57</v>
      </c>
      <c r="H12" t="s">
        <v>24</v>
      </c>
      <c r="I12" t="s">
        <v>44</v>
      </c>
      <c r="J12">
        <v>151.80000000000001</v>
      </c>
      <c r="K12">
        <v>180.3</v>
      </c>
      <c r="L12">
        <v>1937000</v>
      </c>
      <c r="M12" t="b">
        <v>0</v>
      </c>
      <c r="N12" t="b">
        <v>0</v>
      </c>
      <c r="O12">
        <v>1500</v>
      </c>
      <c r="P12" t="b">
        <v>0</v>
      </c>
      <c r="Q12" t="b">
        <v>0</v>
      </c>
      <c r="R12" t="b">
        <v>0</v>
      </c>
      <c r="S12" t="s">
        <v>96</v>
      </c>
      <c r="T12" t="s">
        <v>1620</v>
      </c>
      <c r="U12">
        <v>12.02</v>
      </c>
      <c r="V12">
        <v>0</v>
      </c>
      <c r="W12">
        <v>0</v>
      </c>
      <c r="X12">
        <v>2</v>
      </c>
      <c r="Y12" s="6">
        <v>46023</v>
      </c>
    </row>
    <row r="13" spans="1:26" x14ac:dyDescent="0.3">
      <c r="A13" t="s">
        <v>114</v>
      </c>
      <c r="B13" s="5">
        <v>46053</v>
      </c>
      <c r="C13" s="5">
        <v>46054</v>
      </c>
      <c r="D13" s="5">
        <v>46056</v>
      </c>
      <c r="E13" s="5">
        <v>46056</v>
      </c>
      <c r="F13" t="s">
        <v>31</v>
      </c>
      <c r="G13" t="s">
        <v>58</v>
      </c>
      <c r="H13" t="s">
        <v>22</v>
      </c>
      <c r="I13" t="s">
        <v>44</v>
      </c>
      <c r="J13">
        <v>201</v>
      </c>
      <c r="K13">
        <v>989.1</v>
      </c>
      <c r="L13">
        <v>2685000</v>
      </c>
      <c r="M13" t="b">
        <v>0</v>
      </c>
      <c r="N13" t="b">
        <v>0</v>
      </c>
      <c r="O13">
        <v>1500</v>
      </c>
      <c r="P13" t="b">
        <v>0</v>
      </c>
      <c r="Q13" t="b">
        <v>0</v>
      </c>
      <c r="R13" t="b">
        <v>0</v>
      </c>
      <c r="S13" t="s">
        <v>96</v>
      </c>
      <c r="T13" t="s">
        <v>1621</v>
      </c>
      <c r="U13">
        <v>65.94</v>
      </c>
      <c r="V13">
        <v>0</v>
      </c>
      <c r="W13">
        <v>0</v>
      </c>
      <c r="X13">
        <v>2</v>
      </c>
      <c r="Y13" s="6">
        <v>46054</v>
      </c>
    </row>
    <row r="14" spans="1:26" x14ac:dyDescent="0.3">
      <c r="A14" t="s">
        <v>116</v>
      </c>
      <c r="B14" s="5">
        <v>46154</v>
      </c>
      <c r="C14" s="5">
        <v>46155</v>
      </c>
      <c r="D14" s="5">
        <v>46157</v>
      </c>
      <c r="E14" s="5">
        <v>46158</v>
      </c>
      <c r="F14" t="s">
        <v>31</v>
      </c>
      <c r="G14" t="s">
        <v>52</v>
      </c>
      <c r="H14" t="s">
        <v>23</v>
      </c>
      <c r="I14" t="s">
        <v>43</v>
      </c>
      <c r="J14">
        <v>282.7</v>
      </c>
      <c r="K14">
        <v>3200.1</v>
      </c>
      <c r="L14">
        <v>6295000</v>
      </c>
      <c r="M14" t="b">
        <v>0</v>
      </c>
      <c r="N14" t="b">
        <v>0</v>
      </c>
      <c r="O14">
        <v>5000</v>
      </c>
      <c r="P14" t="b">
        <v>0</v>
      </c>
      <c r="Q14" t="b">
        <v>0</v>
      </c>
      <c r="R14" t="b">
        <v>0</v>
      </c>
      <c r="S14" t="s">
        <v>101</v>
      </c>
      <c r="T14" t="s">
        <v>1618</v>
      </c>
      <c r="U14">
        <v>64.00200000000001</v>
      </c>
      <c r="V14">
        <v>0</v>
      </c>
      <c r="W14">
        <v>0</v>
      </c>
      <c r="X14">
        <v>3</v>
      </c>
      <c r="Y14" s="6">
        <v>46143</v>
      </c>
      <c r="Z14">
        <v>1</v>
      </c>
    </row>
    <row r="15" spans="1:26" x14ac:dyDescent="0.3">
      <c r="A15" t="s">
        <v>117</v>
      </c>
      <c r="B15" s="5">
        <v>46085</v>
      </c>
      <c r="C15" s="5">
        <v>46086</v>
      </c>
      <c r="D15" s="5">
        <v>46089</v>
      </c>
      <c r="E15" s="5">
        <v>46092</v>
      </c>
      <c r="F15" t="s">
        <v>34</v>
      </c>
      <c r="G15" t="s">
        <v>63</v>
      </c>
      <c r="H15" t="s">
        <v>22</v>
      </c>
      <c r="I15" t="s">
        <v>45</v>
      </c>
      <c r="J15">
        <v>352.4</v>
      </c>
      <c r="K15">
        <v>512.6</v>
      </c>
      <c r="L15">
        <v>3607000</v>
      </c>
      <c r="M15" t="b">
        <v>0</v>
      </c>
      <c r="N15" t="b">
        <v>0</v>
      </c>
      <c r="O15">
        <v>1000</v>
      </c>
      <c r="P15" t="b">
        <v>0</v>
      </c>
      <c r="Q15" t="b">
        <v>0</v>
      </c>
      <c r="R15" t="b">
        <v>0</v>
      </c>
      <c r="S15" t="s">
        <v>101</v>
      </c>
      <c r="T15" t="s">
        <v>1613</v>
      </c>
      <c r="U15">
        <v>51.260000000000012</v>
      </c>
      <c r="V15">
        <v>0</v>
      </c>
      <c r="W15">
        <v>0</v>
      </c>
      <c r="X15">
        <v>6</v>
      </c>
      <c r="Y15" s="6">
        <v>46082</v>
      </c>
      <c r="Z15">
        <v>3</v>
      </c>
    </row>
    <row r="16" spans="1:26" x14ac:dyDescent="0.3">
      <c r="A16" t="s">
        <v>119</v>
      </c>
      <c r="B16" s="5">
        <v>46167</v>
      </c>
      <c r="C16" s="5">
        <v>46168</v>
      </c>
      <c r="D16" s="5">
        <v>46171</v>
      </c>
      <c r="E16" s="5">
        <v>46171</v>
      </c>
      <c r="F16" t="s">
        <v>34</v>
      </c>
      <c r="G16" t="s">
        <v>59</v>
      </c>
      <c r="H16" t="s">
        <v>23</v>
      </c>
      <c r="I16" t="s">
        <v>43</v>
      </c>
      <c r="J16">
        <v>331.8</v>
      </c>
      <c r="K16">
        <v>42000</v>
      </c>
      <c r="L16">
        <v>5976000</v>
      </c>
      <c r="M16" t="b">
        <v>0</v>
      </c>
      <c r="N16" t="b">
        <v>0</v>
      </c>
      <c r="O16">
        <v>5000</v>
      </c>
      <c r="P16" t="b">
        <v>1</v>
      </c>
      <c r="Q16" t="b">
        <v>0</v>
      </c>
      <c r="R16" t="b">
        <v>1</v>
      </c>
      <c r="S16" t="s">
        <v>96</v>
      </c>
      <c r="T16" t="s">
        <v>1616</v>
      </c>
      <c r="V16">
        <v>1</v>
      </c>
      <c r="W16">
        <v>1</v>
      </c>
      <c r="X16">
        <v>3</v>
      </c>
      <c r="Y16" s="6">
        <v>46143</v>
      </c>
    </row>
    <row r="17" spans="1:26" x14ac:dyDescent="0.3">
      <c r="A17" t="s">
        <v>120</v>
      </c>
      <c r="B17" s="5">
        <v>46195</v>
      </c>
      <c r="C17" s="5">
        <v>46196</v>
      </c>
      <c r="D17" s="5">
        <v>46199</v>
      </c>
      <c r="E17" s="5">
        <v>46198</v>
      </c>
      <c r="F17" t="s">
        <v>33</v>
      </c>
      <c r="G17" t="s">
        <v>52</v>
      </c>
      <c r="H17" t="s">
        <v>22</v>
      </c>
      <c r="I17" t="s">
        <v>43</v>
      </c>
      <c r="J17">
        <v>579.9</v>
      </c>
      <c r="K17">
        <v>4271.3999999999996</v>
      </c>
      <c r="L17">
        <v>9809000</v>
      </c>
      <c r="M17" t="b">
        <v>0</v>
      </c>
      <c r="N17" t="b">
        <v>0</v>
      </c>
      <c r="O17">
        <v>5000</v>
      </c>
      <c r="P17" t="b">
        <v>0</v>
      </c>
      <c r="Q17" t="b">
        <v>0</v>
      </c>
      <c r="R17" t="b">
        <v>0</v>
      </c>
      <c r="S17" t="s">
        <v>96</v>
      </c>
      <c r="T17" t="s">
        <v>1622</v>
      </c>
      <c r="U17">
        <v>85.427999999999997</v>
      </c>
      <c r="V17">
        <v>0</v>
      </c>
      <c r="W17">
        <v>0</v>
      </c>
      <c r="X17">
        <v>2</v>
      </c>
      <c r="Y17" s="6">
        <v>46174</v>
      </c>
    </row>
    <row r="18" spans="1:26" x14ac:dyDescent="0.3">
      <c r="A18" t="s">
        <v>121</v>
      </c>
      <c r="B18" s="5">
        <v>46172</v>
      </c>
      <c r="C18" s="5">
        <v>46174</v>
      </c>
      <c r="D18" s="5">
        <v>46177</v>
      </c>
      <c r="E18" s="5">
        <v>46178</v>
      </c>
      <c r="F18" t="s">
        <v>34</v>
      </c>
      <c r="G18" t="s">
        <v>52</v>
      </c>
      <c r="H18" t="s">
        <v>23</v>
      </c>
      <c r="I18" t="s">
        <v>44</v>
      </c>
      <c r="J18">
        <v>315.7</v>
      </c>
      <c r="K18">
        <v>1151.3</v>
      </c>
      <c r="L18">
        <v>4680000</v>
      </c>
      <c r="M18" t="b">
        <v>0</v>
      </c>
      <c r="N18" t="b">
        <v>0</v>
      </c>
      <c r="O18">
        <v>1500</v>
      </c>
      <c r="P18" t="b">
        <v>0</v>
      </c>
      <c r="Q18" t="b">
        <v>0</v>
      </c>
      <c r="R18" t="b">
        <v>0</v>
      </c>
      <c r="S18" t="s">
        <v>101</v>
      </c>
      <c r="T18" t="s">
        <v>1623</v>
      </c>
      <c r="U18">
        <v>76.75333333333333</v>
      </c>
      <c r="V18">
        <v>0</v>
      </c>
      <c r="W18">
        <v>0</v>
      </c>
      <c r="X18">
        <v>4</v>
      </c>
      <c r="Y18" s="6">
        <v>46174</v>
      </c>
      <c r="Z18">
        <v>1</v>
      </c>
    </row>
    <row r="19" spans="1:26" x14ac:dyDescent="0.3">
      <c r="A19" t="s">
        <v>122</v>
      </c>
      <c r="B19" s="5">
        <v>46116</v>
      </c>
      <c r="C19" s="5">
        <v>46117</v>
      </c>
      <c r="D19" s="5">
        <v>46119</v>
      </c>
      <c r="E19" s="5">
        <v>46119</v>
      </c>
      <c r="F19" t="s">
        <v>31</v>
      </c>
      <c r="G19" t="s">
        <v>58</v>
      </c>
      <c r="H19" t="s">
        <v>24</v>
      </c>
      <c r="I19" t="s">
        <v>43</v>
      </c>
      <c r="J19">
        <v>193.3</v>
      </c>
      <c r="K19">
        <v>1050.0999999999999</v>
      </c>
      <c r="L19">
        <v>3779000</v>
      </c>
      <c r="M19" t="b">
        <v>0</v>
      </c>
      <c r="N19" t="b">
        <v>0</v>
      </c>
      <c r="O19">
        <v>5000</v>
      </c>
      <c r="P19" t="b">
        <v>0</v>
      </c>
      <c r="Q19" t="b">
        <v>0</v>
      </c>
      <c r="R19" t="b">
        <v>0</v>
      </c>
      <c r="S19" t="s">
        <v>96</v>
      </c>
      <c r="T19" t="s">
        <v>1621</v>
      </c>
      <c r="U19">
        <v>21.001999999999999</v>
      </c>
      <c r="V19">
        <v>0</v>
      </c>
      <c r="W19">
        <v>0</v>
      </c>
      <c r="X19">
        <v>2</v>
      </c>
      <c r="Y19" s="6">
        <v>46113</v>
      </c>
    </row>
    <row r="20" spans="1:26" x14ac:dyDescent="0.3">
      <c r="A20" t="s">
        <v>123</v>
      </c>
      <c r="B20" s="5">
        <v>46046</v>
      </c>
      <c r="C20" s="5">
        <v>46046</v>
      </c>
      <c r="D20" s="5">
        <v>46049</v>
      </c>
      <c r="E20" s="5">
        <v>46049</v>
      </c>
      <c r="F20" t="s">
        <v>33</v>
      </c>
      <c r="G20" t="s">
        <v>57</v>
      </c>
      <c r="H20" t="s">
        <v>20</v>
      </c>
      <c r="I20" t="s">
        <v>43</v>
      </c>
      <c r="J20">
        <v>487.5</v>
      </c>
      <c r="K20">
        <v>4467.6000000000004</v>
      </c>
      <c r="L20">
        <v>8045000</v>
      </c>
      <c r="M20" t="b">
        <v>0</v>
      </c>
      <c r="N20" t="b">
        <v>0</v>
      </c>
      <c r="O20">
        <v>5000</v>
      </c>
      <c r="P20" t="b">
        <v>0</v>
      </c>
      <c r="Q20" t="b">
        <v>0</v>
      </c>
      <c r="R20" t="b">
        <v>0</v>
      </c>
      <c r="S20" t="s">
        <v>96</v>
      </c>
      <c r="T20" t="s">
        <v>1624</v>
      </c>
      <c r="U20">
        <v>89.352000000000004</v>
      </c>
      <c r="V20">
        <v>0</v>
      </c>
      <c r="W20">
        <v>0</v>
      </c>
      <c r="X20">
        <v>3</v>
      </c>
      <c r="Y20" s="6">
        <v>46023</v>
      </c>
    </row>
    <row r="21" spans="1:26" x14ac:dyDescent="0.3">
      <c r="A21" t="s">
        <v>124</v>
      </c>
      <c r="B21" s="5">
        <v>46058</v>
      </c>
      <c r="C21" s="5">
        <v>46059</v>
      </c>
      <c r="D21" s="5">
        <v>46062</v>
      </c>
      <c r="E21" s="5">
        <v>46061</v>
      </c>
      <c r="F21" t="s">
        <v>33</v>
      </c>
      <c r="G21" t="s">
        <v>63</v>
      </c>
      <c r="H21" t="s">
        <v>24</v>
      </c>
      <c r="I21" t="s">
        <v>43</v>
      </c>
      <c r="J21">
        <v>297.3</v>
      </c>
      <c r="K21">
        <v>1200.2</v>
      </c>
      <c r="L21">
        <v>4933000</v>
      </c>
      <c r="M21" t="b">
        <v>0</v>
      </c>
      <c r="N21" t="b">
        <v>0</v>
      </c>
      <c r="O21">
        <v>5000</v>
      </c>
      <c r="P21" t="b">
        <v>0</v>
      </c>
      <c r="Q21" t="b">
        <v>0</v>
      </c>
      <c r="R21" t="b">
        <v>0</v>
      </c>
      <c r="S21" t="s">
        <v>96</v>
      </c>
      <c r="T21" t="s">
        <v>1625</v>
      </c>
      <c r="U21">
        <v>24.004000000000001</v>
      </c>
      <c r="V21">
        <v>0</v>
      </c>
      <c r="W21">
        <v>0</v>
      </c>
      <c r="X21">
        <v>2</v>
      </c>
      <c r="Y21" s="6">
        <v>46054</v>
      </c>
    </row>
    <row r="22" spans="1:26" x14ac:dyDescent="0.3">
      <c r="A22" t="s">
        <v>125</v>
      </c>
      <c r="B22" s="5">
        <v>46135</v>
      </c>
      <c r="C22" s="5">
        <v>46137</v>
      </c>
      <c r="D22" s="5">
        <v>46140</v>
      </c>
      <c r="E22" s="5">
        <v>46139</v>
      </c>
      <c r="F22" t="s">
        <v>33</v>
      </c>
      <c r="G22" t="s">
        <v>55</v>
      </c>
      <c r="H22" t="s">
        <v>21</v>
      </c>
      <c r="I22" t="s">
        <v>43</v>
      </c>
      <c r="J22">
        <v>576.1</v>
      </c>
      <c r="K22">
        <v>2213.1999999999998</v>
      </c>
      <c r="L22">
        <v>8080000</v>
      </c>
      <c r="M22" t="b">
        <v>0</v>
      </c>
      <c r="N22" t="b">
        <v>0</v>
      </c>
      <c r="O22">
        <v>5000</v>
      </c>
      <c r="P22" t="b">
        <v>0</v>
      </c>
      <c r="Q22" t="b">
        <v>0</v>
      </c>
      <c r="R22" t="b">
        <v>0</v>
      </c>
      <c r="S22" t="s">
        <v>96</v>
      </c>
      <c r="T22" t="s">
        <v>1626</v>
      </c>
      <c r="U22">
        <v>44.264000000000003</v>
      </c>
      <c r="V22">
        <v>0</v>
      </c>
      <c r="W22">
        <v>0</v>
      </c>
      <c r="X22">
        <v>2</v>
      </c>
      <c r="Y22" s="6">
        <v>46113</v>
      </c>
    </row>
    <row r="23" spans="1:26" x14ac:dyDescent="0.3">
      <c r="A23" t="s">
        <v>126</v>
      </c>
      <c r="B23" s="5">
        <v>46123</v>
      </c>
      <c r="C23" s="5">
        <v>46123</v>
      </c>
      <c r="D23" s="5">
        <v>46127</v>
      </c>
      <c r="E23" s="5">
        <v>46127</v>
      </c>
      <c r="F23" t="s">
        <v>31</v>
      </c>
      <c r="G23" t="s">
        <v>62</v>
      </c>
      <c r="H23" t="s">
        <v>24</v>
      </c>
      <c r="I23" t="s">
        <v>44</v>
      </c>
      <c r="J23">
        <v>760</v>
      </c>
      <c r="K23">
        <v>1036.9000000000001</v>
      </c>
      <c r="L23">
        <v>6810000</v>
      </c>
      <c r="M23" t="b">
        <v>0</v>
      </c>
      <c r="N23" t="b">
        <v>0</v>
      </c>
      <c r="O23">
        <v>1500</v>
      </c>
      <c r="P23" t="b">
        <v>0</v>
      </c>
      <c r="Q23" t="b">
        <v>0</v>
      </c>
      <c r="R23" t="b">
        <v>0</v>
      </c>
      <c r="S23" t="s">
        <v>96</v>
      </c>
      <c r="T23" t="s">
        <v>1615</v>
      </c>
      <c r="U23">
        <v>69.126666666666665</v>
      </c>
      <c r="V23">
        <v>0</v>
      </c>
      <c r="W23">
        <v>0</v>
      </c>
      <c r="X23">
        <v>4</v>
      </c>
      <c r="Y23" s="6">
        <v>46113</v>
      </c>
    </row>
    <row r="24" spans="1:26" x14ac:dyDescent="0.3">
      <c r="A24" t="s">
        <v>127</v>
      </c>
      <c r="B24" s="5">
        <v>46098</v>
      </c>
      <c r="C24" s="5">
        <v>46099</v>
      </c>
      <c r="D24" s="5">
        <v>46102</v>
      </c>
      <c r="E24" s="5">
        <v>46102</v>
      </c>
      <c r="F24" t="s">
        <v>34</v>
      </c>
      <c r="G24" t="s">
        <v>63</v>
      </c>
      <c r="H24" t="s">
        <v>21</v>
      </c>
      <c r="I24" t="s">
        <v>43</v>
      </c>
      <c r="J24">
        <v>344.4</v>
      </c>
      <c r="K24">
        <v>2591.1999999999998</v>
      </c>
      <c r="L24">
        <v>6387000</v>
      </c>
      <c r="M24" t="b">
        <v>0</v>
      </c>
      <c r="N24" t="b">
        <v>0</v>
      </c>
      <c r="O24">
        <v>5000</v>
      </c>
      <c r="P24" t="b">
        <v>0</v>
      </c>
      <c r="Q24" t="b">
        <v>0</v>
      </c>
      <c r="R24" t="b">
        <v>0</v>
      </c>
      <c r="S24" t="s">
        <v>96</v>
      </c>
      <c r="T24" t="s">
        <v>1613</v>
      </c>
      <c r="U24">
        <v>51.823999999999991</v>
      </c>
      <c r="V24">
        <v>0</v>
      </c>
      <c r="W24">
        <v>0</v>
      </c>
      <c r="X24">
        <v>3</v>
      </c>
      <c r="Y24" s="6">
        <v>46082</v>
      </c>
    </row>
    <row r="25" spans="1:26" x14ac:dyDescent="0.3">
      <c r="A25" t="s">
        <v>128</v>
      </c>
      <c r="B25" s="5">
        <v>46200</v>
      </c>
      <c r="C25" s="5">
        <v>46201</v>
      </c>
      <c r="D25" s="5">
        <v>46204</v>
      </c>
      <c r="E25" s="5">
        <v>46205</v>
      </c>
      <c r="F25" t="s">
        <v>31</v>
      </c>
      <c r="G25" t="s">
        <v>53</v>
      </c>
      <c r="H25" t="s">
        <v>22</v>
      </c>
      <c r="I25" t="s">
        <v>43</v>
      </c>
      <c r="J25">
        <v>309.10000000000002</v>
      </c>
      <c r="K25">
        <v>4381.7</v>
      </c>
      <c r="L25">
        <v>6517000</v>
      </c>
      <c r="M25" t="b">
        <v>0</v>
      </c>
      <c r="N25" t="b">
        <v>0</v>
      </c>
      <c r="O25">
        <v>5000</v>
      </c>
      <c r="P25" t="b">
        <v>0</v>
      </c>
      <c r="Q25" t="b">
        <v>0</v>
      </c>
      <c r="R25" t="b">
        <v>0</v>
      </c>
      <c r="S25" t="s">
        <v>101</v>
      </c>
      <c r="T25" t="s">
        <v>1627</v>
      </c>
      <c r="U25">
        <v>87.634</v>
      </c>
      <c r="V25">
        <v>0</v>
      </c>
      <c r="W25">
        <v>0</v>
      </c>
      <c r="X25">
        <v>4</v>
      </c>
      <c r="Y25" s="6">
        <v>46174</v>
      </c>
      <c r="Z25">
        <v>1</v>
      </c>
    </row>
    <row r="26" spans="1:26" x14ac:dyDescent="0.3">
      <c r="A26" t="s">
        <v>129</v>
      </c>
      <c r="B26" s="5">
        <v>46109</v>
      </c>
      <c r="C26" s="5">
        <v>46110</v>
      </c>
      <c r="D26" s="5">
        <v>46112</v>
      </c>
      <c r="E26" s="5">
        <v>46113</v>
      </c>
      <c r="F26" t="s">
        <v>31</v>
      </c>
      <c r="G26" t="s">
        <v>59</v>
      </c>
      <c r="H26" t="s">
        <v>21</v>
      </c>
      <c r="I26" t="s">
        <v>42</v>
      </c>
      <c r="J26">
        <v>287.60000000000002</v>
      </c>
      <c r="K26">
        <v>6143.4</v>
      </c>
      <c r="L26">
        <v>7208000</v>
      </c>
      <c r="M26" t="b">
        <v>0</v>
      </c>
      <c r="N26" t="b">
        <v>0</v>
      </c>
      <c r="O26">
        <v>16000</v>
      </c>
      <c r="P26" t="b">
        <v>0</v>
      </c>
      <c r="Q26" t="b">
        <v>0</v>
      </c>
      <c r="R26" t="b">
        <v>0</v>
      </c>
      <c r="S26" t="s">
        <v>101</v>
      </c>
      <c r="T26" t="s">
        <v>1628</v>
      </c>
      <c r="U26">
        <v>38.396249999999988</v>
      </c>
      <c r="V26">
        <v>0</v>
      </c>
      <c r="W26">
        <v>0</v>
      </c>
      <c r="X26">
        <v>3</v>
      </c>
      <c r="Y26" s="6">
        <v>46082</v>
      </c>
      <c r="Z26">
        <v>1</v>
      </c>
    </row>
    <row r="27" spans="1:26" x14ac:dyDescent="0.3">
      <c r="A27" t="s">
        <v>130</v>
      </c>
      <c r="B27" s="5">
        <v>46172</v>
      </c>
      <c r="C27" s="5">
        <v>46174</v>
      </c>
      <c r="D27" s="5">
        <v>46175</v>
      </c>
      <c r="E27" s="5">
        <v>46176</v>
      </c>
      <c r="F27" t="s">
        <v>31</v>
      </c>
      <c r="G27" t="s">
        <v>55</v>
      </c>
      <c r="H27" t="s">
        <v>24</v>
      </c>
      <c r="I27" t="s">
        <v>44</v>
      </c>
      <c r="J27">
        <v>17.3</v>
      </c>
      <c r="K27">
        <v>1337.2</v>
      </c>
      <c r="L27">
        <v>1322000</v>
      </c>
      <c r="M27" t="b">
        <v>0</v>
      </c>
      <c r="N27" t="b">
        <v>0</v>
      </c>
      <c r="O27">
        <v>1500</v>
      </c>
      <c r="P27" t="b">
        <v>0</v>
      </c>
      <c r="Q27" t="b">
        <v>0</v>
      </c>
      <c r="R27" t="b">
        <v>0</v>
      </c>
      <c r="S27" t="s">
        <v>101</v>
      </c>
      <c r="T27" t="s">
        <v>1629</v>
      </c>
      <c r="U27">
        <v>89.146666666666675</v>
      </c>
      <c r="V27">
        <v>0</v>
      </c>
      <c r="W27">
        <v>0</v>
      </c>
      <c r="X27">
        <v>2</v>
      </c>
      <c r="Y27" s="6">
        <v>46174</v>
      </c>
      <c r="Z27">
        <v>1</v>
      </c>
    </row>
    <row r="28" spans="1:26" x14ac:dyDescent="0.3">
      <c r="A28" t="s">
        <v>131</v>
      </c>
      <c r="B28" s="5">
        <v>46032</v>
      </c>
      <c r="C28" s="5">
        <v>46033</v>
      </c>
      <c r="D28" s="5">
        <v>46035</v>
      </c>
      <c r="E28" s="5">
        <v>46035</v>
      </c>
      <c r="F28" t="s">
        <v>31</v>
      </c>
      <c r="G28" t="s">
        <v>58</v>
      </c>
      <c r="H28" t="s">
        <v>22</v>
      </c>
      <c r="I28" t="s">
        <v>43</v>
      </c>
      <c r="J28">
        <v>179.5</v>
      </c>
      <c r="K28">
        <v>1480</v>
      </c>
      <c r="L28">
        <v>3179000</v>
      </c>
      <c r="M28" t="b">
        <v>0</v>
      </c>
      <c r="N28" t="b">
        <v>0</v>
      </c>
      <c r="O28">
        <v>5000</v>
      </c>
      <c r="P28" t="b">
        <v>0</v>
      </c>
      <c r="Q28" t="b">
        <v>0</v>
      </c>
      <c r="R28" t="b">
        <v>0</v>
      </c>
      <c r="S28" t="s">
        <v>96</v>
      </c>
      <c r="T28" t="s">
        <v>1621</v>
      </c>
      <c r="U28">
        <v>29.6</v>
      </c>
      <c r="V28">
        <v>0</v>
      </c>
      <c r="W28">
        <v>0</v>
      </c>
      <c r="X28">
        <v>2</v>
      </c>
      <c r="Y28" s="6">
        <v>46023</v>
      </c>
    </row>
    <row r="29" spans="1:26" x14ac:dyDescent="0.3">
      <c r="A29" t="s">
        <v>132</v>
      </c>
      <c r="B29" s="5">
        <v>46121</v>
      </c>
      <c r="C29" s="5">
        <v>46122</v>
      </c>
      <c r="D29" s="5">
        <v>46125</v>
      </c>
      <c r="E29" s="5">
        <v>46125</v>
      </c>
      <c r="F29" t="s">
        <v>31</v>
      </c>
      <c r="G29" t="s">
        <v>53</v>
      </c>
      <c r="H29" t="s">
        <v>20</v>
      </c>
      <c r="I29" t="s">
        <v>45</v>
      </c>
      <c r="J29">
        <v>308.7</v>
      </c>
      <c r="K29">
        <v>266.8</v>
      </c>
      <c r="L29">
        <v>2989000</v>
      </c>
      <c r="M29" t="b">
        <v>0</v>
      </c>
      <c r="N29" t="b">
        <v>0</v>
      </c>
      <c r="O29">
        <v>1000</v>
      </c>
      <c r="P29" t="b">
        <v>0</v>
      </c>
      <c r="Q29" t="b">
        <v>0</v>
      </c>
      <c r="R29" t="b">
        <v>0</v>
      </c>
      <c r="S29" t="s">
        <v>96</v>
      </c>
      <c r="T29" t="s">
        <v>1627</v>
      </c>
      <c r="U29">
        <v>26.68</v>
      </c>
      <c r="V29">
        <v>0</v>
      </c>
      <c r="W29">
        <v>0</v>
      </c>
      <c r="X29">
        <v>3</v>
      </c>
      <c r="Y29" s="6">
        <v>46113</v>
      </c>
    </row>
    <row r="30" spans="1:26" x14ac:dyDescent="0.3">
      <c r="A30" t="s">
        <v>133</v>
      </c>
      <c r="B30" s="5">
        <v>46138</v>
      </c>
      <c r="C30" s="5">
        <v>46139</v>
      </c>
      <c r="D30" s="5">
        <v>46142</v>
      </c>
      <c r="E30" s="5">
        <v>46142</v>
      </c>
      <c r="F30" t="s">
        <v>31</v>
      </c>
      <c r="G30" t="s">
        <v>52</v>
      </c>
      <c r="H30" t="s">
        <v>21</v>
      </c>
      <c r="I30" t="s">
        <v>43</v>
      </c>
      <c r="J30">
        <v>301.60000000000002</v>
      </c>
      <c r="K30">
        <v>1029.2</v>
      </c>
      <c r="L30">
        <v>4609000</v>
      </c>
      <c r="M30" t="b">
        <v>0</v>
      </c>
      <c r="N30" t="b">
        <v>0</v>
      </c>
      <c r="O30">
        <v>5000</v>
      </c>
      <c r="P30" t="b">
        <v>0</v>
      </c>
      <c r="Q30" t="b">
        <v>0</v>
      </c>
      <c r="R30" t="b">
        <v>0</v>
      </c>
      <c r="S30" t="s">
        <v>96</v>
      </c>
      <c r="T30" t="s">
        <v>1618</v>
      </c>
      <c r="U30">
        <v>20.584</v>
      </c>
      <c r="V30">
        <v>0</v>
      </c>
      <c r="W30">
        <v>0</v>
      </c>
      <c r="X30">
        <v>3</v>
      </c>
      <c r="Y30" s="6">
        <v>46113</v>
      </c>
    </row>
    <row r="31" spans="1:26" x14ac:dyDescent="0.3">
      <c r="A31" t="s">
        <v>134</v>
      </c>
      <c r="B31" s="5">
        <v>46156</v>
      </c>
      <c r="C31" s="5">
        <v>46157</v>
      </c>
      <c r="D31" s="5">
        <v>46159</v>
      </c>
      <c r="E31" s="5">
        <v>46159</v>
      </c>
      <c r="F31" t="s">
        <v>34</v>
      </c>
      <c r="G31" t="s">
        <v>52</v>
      </c>
      <c r="H31" t="s">
        <v>20</v>
      </c>
      <c r="I31" t="s">
        <v>45</v>
      </c>
      <c r="J31">
        <v>287.10000000000002</v>
      </c>
      <c r="K31">
        <v>394.2</v>
      </c>
      <c r="L31">
        <v>2806000</v>
      </c>
      <c r="M31" t="b">
        <v>0</v>
      </c>
      <c r="N31" t="b">
        <v>0</v>
      </c>
      <c r="O31">
        <v>1000</v>
      </c>
      <c r="P31" t="b">
        <v>0</v>
      </c>
      <c r="Q31" t="b">
        <v>0</v>
      </c>
      <c r="R31" t="b">
        <v>0</v>
      </c>
      <c r="S31" t="s">
        <v>96</v>
      </c>
      <c r="T31" t="s">
        <v>1623</v>
      </c>
      <c r="U31">
        <v>39.42</v>
      </c>
      <c r="V31">
        <v>0</v>
      </c>
      <c r="W31">
        <v>0</v>
      </c>
      <c r="X31">
        <v>2</v>
      </c>
      <c r="Y31" s="6">
        <v>46143</v>
      </c>
    </row>
    <row r="32" spans="1:26" x14ac:dyDescent="0.3">
      <c r="A32" t="s">
        <v>135</v>
      </c>
      <c r="B32" s="5">
        <v>46174</v>
      </c>
      <c r="C32" s="5">
        <v>46175</v>
      </c>
      <c r="D32" s="5">
        <v>46176</v>
      </c>
      <c r="E32" s="5">
        <v>46177</v>
      </c>
      <c r="F32" t="s">
        <v>32</v>
      </c>
      <c r="G32" t="s">
        <v>57</v>
      </c>
      <c r="H32" t="s">
        <v>24</v>
      </c>
      <c r="I32" t="s">
        <v>44</v>
      </c>
      <c r="J32">
        <v>16.3</v>
      </c>
      <c r="K32">
        <v>406.1</v>
      </c>
      <c r="L32">
        <v>694000</v>
      </c>
      <c r="M32" t="b">
        <v>0</v>
      </c>
      <c r="N32" t="b">
        <v>0</v>
      </c>
      <c r="O32">
        <v>1500</v>
      </c>
      <c r="P32" t="b">
        <v>0</v>
      </c>
      <c r="Q32" t="b">
        <v>0</v>
      </c>
      <c r="R32" t="b">
        <v>0</v>
      </c>
      <c r="S32" t="s">
        <v>101</v>
      </c>
      <c r="T32" t="s">
        <v>1630</v>
      </c>
      <c r="U32">
        <v>27.073333333333331</v>
      </c>
      <c r="V32">
        <v>0</v>
      </c>
      <c r="W32">
        <v>0</v>
      </c>
      <c r="X32">
        <v>2</v>
      </c>
      <c r="Y32" s="6">
        <v>46174</v>
      </c>
      <c r="Z32">
        <v>1</v>
      </c>
    </row>
    <row r="33" spans="1:26" x14ac:dyDescent="0.3">
      <c r="A33" t="s">
        <v>136</v>
      </c>
      <c r="B33" s="5">
        <v>46173</v>
      </c>
      <c r="C33" s="5">
        <v>46174</v>
      </c>
      <c r="D33" s="5">
        <v>46178</v>
      </c>
      <c r="E33" s="5">
        <v>46178</v>
      </c>
      <c r="F33" t="s">
        <v>31</v>
      </c>
      <c r="G33" t="s">
        <v>54</v>
      </c>
      <c r="H33" t="s">
        <v>24</v>
      </c>
      <c r="I33" t="s">
        <v>42</v>
      </c>
      <c r="J33">
        <v>475.6</v>
      </c>
      <c r="K33">
        <v>9834.9</v>
      </c>
      <c r="L33">
        <v>11666000</v>
      </c>
      <c r="M33" t="b">
        <v>0</v>
      </c>
      <c r="N33" t="b">
        <v>0</v>
      </c>
      <c r="O33">
        <v>16000</v>
      </c>
      <c r="P33" t="b">
        <v>0</v>
      </c>
      <c r="Q33" t="b">
        <v>0</v>
      </c>
      <c r="R33" t="b">
        <v>0</v>
      </c>
      <c r="S33" t="s">
        <v>96</v>
      </c>
      <c r="T33" t="s">
        <v>1631</v>
      </c>
      <c r="U33">
        <v>61.468124999999993</v>
      </c>
      <c r="V33">
        <v>0</v>
      </c>
      <c r="W33">
        <v>0</v>
      </c>
      <c r="X33">
        <v>4</v>
      </c>
      <c r="Y33" s="6">
        <v>46174</v>
      </c>
    </row>
    <row r="34" spans="1:26" x14ac:dyDescent="0.3">
      <c r="A34" t="s">
        <v>137</v>
      </c>
      <c r="B34" s="5">
        <v>46092</v>
      </c>
      <c r="C34" s="5">
        <v>46094</v>
      </c>
      <c r="D34" s="5">
        <v>46096</v>
      </c>
      <c r="E34" s="5">
        <v>46096</v>
      </c>
      <c r="F34" t="s">
        <v>34</v>
      </c>
      <c r="G34" t="s">
        <v>52</v>
      </c>
      <c r="H34" t="s">
        <v>20</v>
      </c>
      <c r="I34" t="s">
        <v>43</v>
      </c>
      <c r="J34">
        <v>290.39999999999998</v>
      </c>
      <c r="K34">
        <v>2434.4</v>
      </c>
      <c r="L34">
        <v>4934000</v>
      </c>
      <c r="M34" t="b">
        <v>0</v>
      </c>
      <c r="N34" t="b">
        <v>0</v>
      </c>
      <c r="O34">
        <v>5000</v>
      </c>
      <c r="P34" t="b">
        <v>0</v>
      </c>
      <c r="Q34" t="b">
        <v>0</v>
      </c>
      <c r="R34" t="b">
        <v>0</v>
      </c>
      <c r="S34" t="s">
        <v>96</v>
      </c>
      <c r="T34" t="s">
        <v>1623</v>
      </c>
      <c r="U34">
        <v>48.688000000000002</v>
      </c>
      <c r="V34">
        <v>0</v>
      </c>
      <c r="W34">
        <v>0</v>
      </c>
      <c r="X34">
        <v>2</v>
      </c>
      <c r="Y34" s="6">
        <v>46082</v>
      </c>
    </row>
    <row r="35" spans="1:26" x14ac:dyDescent="0.3">
      <c r="A35" t="s">
        <v>138</v>
      </c>
      <c r="B35" s="5">
        <v>46178</v>
      </c>
      <c r="C35" s="5">
        <v>46179</v>
      </c>
      <c r="D35" s="5">
        <v>46182</v>
      </c>
      <c r="E35" s="5">
        <v>46182</v>
      </c>
      <c r="F35" t="s">
        <v>33</v>
      </c>
      <c r="G35" t="s">
        <v>53</v>
      </c>
      <c r="H35" t="s">
        <v>22</v>
      </c>
      <c r="I35" t="s">
        <v>43</v>
      </c>
      <c r="J35">
        <v>531.9</v>
      </c>
      <c r="K35">
        <v>4160.5</v>
      </c>
      <c r="L35">
        <v>9898000</v>
      </c>
      <c r="M35" t="b">
        <v>0</v>
      </c>
      <c r="N35" t="b">
        <v>0</v>
      </c>
      <c r="O35">
        <v>5000</v>
      </c>
      <c r="P35" t="b">
        <v>0</v>
      </c>
      <c r="Q35" t="b">
        <v>0</v>
      </c>
      <c r="R35" t="b">
        <v>0</v>
      </c>
      <c r="S35" t="s">
        <v>96</v>
      </c>
      <c r="T35" t="s">
        <v>1632</v>
      </c>
      <c r="U35">
        <v>83.21</v>
      </c>
      <c r="V35">
        <v>0</v>
      </c>
      <c r="W35">
        <v>0</v>
      </c>
      <c r="X35">
        <v>3</v>
      </c>
      <c r="Y35" s="6">
        <v>46174</v>
      </c>
    </row>
    <row r="36" spans="1:26" x14ac:dyDescent="0.3">
      <c r="A36" t="s">
        <v>139</v>
      </c>
      <c r="B36" s="5">
        <v>46046</v>
      </c>
      <c r="C36" s="5">
        <v>46047</v>
      </c>
      <c r="D36" s="5">
        <v>46049</v>
      </c>
      <c r="E36" s="5">
        <v>46050</v>
      </c>
      <c r="F36" t="s">
        <v>32</v>
      </c>
      <c r="G36" t="s">
        <v>55</v>
      </c>
      <c r="H36" t="s">
        <v>24</v>
      </c>
      <c r="I36" t="s">
        <v>44</v>
      </c>
      <c r="J36">
        <v>125.2</v>
      </c>
      <c r="K36">
        <v>994.5</v>
      </c>
      <c r="L36">
        <v>2309000</v>
      </c>
      <c r="M36" t="b">
        <v>0</v>
      </c>
      <c r="N36" t="b">
        <v>0</v>
      </c>
      <c r="O36">
        <v>1500</v>
      </c>
      <c r="P36" t="b">
        <v>0</v>
      </c>
      <c r="Q36" t="b">
        <v>0</v>
      </c>
      <c r="R36" t="b">
        <v>0</v>
      </c>
      <c r="S36" t="s">
        <v>101</v>
      </c>
      <c r="T36" t="s">
        <v>1633</v>
      </c>
      <c r="U36">
        <v>66.3</v>
      </c>
      <c r="V36">
        <v>0</v>
      </c>
      <c r="W36">
        <v>0</v>
      </c>
      <c r="X36">
        <v>3</v>
      </c>
      <c r="Y36" s="6">
        <v>46023</v>
      </c>
      <c r="Z36">
        <v>1</v>
      </c>
    </row>
    <row r="37" spans="1:26" x14ac:dyDescent="0.3">
      <c r="A37" t="s">
        <v>140</v>
      </c>
      <c r="B37" s="5">
        <v>46195</v>
      </c>
      <c r="C37" s="5">
        <v>46196</v>
      </c>
      <c r="D37" s="5">
        <v>46198</v>
      </c>
      <c r="E37" s="5">
        <v>46198</v>
      </c>
      <c r="F37" t="s">
        <v>32</v>
      </c>
      <c r="G37" t="s">
        <v>63</v>
      </c>
      <c r="H37" t="s">
        <v>20</v>
      </c>
      <c r="I37" t="s">
        <v>45</v>
      </c>
      <c r="J37">
        <v>169.1</v>
      </c>
      <c r="K37">
        <v>578.70000000000005</v>
      </c>
      <c r="L37">
        <v>2245000</v>
      </c>
      <c r="M37" t="b">
        <v>0</v>
      </c>
      <c r="N37" t="b">
        <v>0</v>
      </c>
      <c r="O37">
        <v>1000</v>
      </c>
      <c r="P37" t="b">
        <v>0</v>
      </c>
      <c r="Q37" t="b">
        <v>0</v>
      </c>
      <c r="R37" t="b">
        <v>0</v>
      </c>
      <c r="S37" t="s">
        <v>96</v>
      </c>
      <c r="T37" t="s">
        <v>1634</v>
      </c>
      <c r="U37">
        <v>57.87</v>
      </c>
      <c r="V37">
        <v>0</v>
      </c>
      <c r="W37">
        <v>0</v>
      </c>
      <c r="X37">
        <v>2</v>
      </c>
      <c r="Y37" s="6">
        <v>46174</v>
      </c>
    </row>
    <row r="38" spans="1:26" x14ac:dyDescent="0.3">
      <c r="A38" t="s">
        <v>141</v>
      </c>
      <c r="B38" s="5">
        <v>46128</v>
      </c>
      <c r="C38" s="5">
        <v>46128</v>
      </c>
      <c r="D38" s="5">
        <v>46130</v>
      </c>
      <c r="E38" s="5">
        <v>46130</v>
      </c>
      <c r="F38" t="s">
        <v>31</v>
      </c>
      <c r="G38" t="s">
        <v>57</v>
      </c>
      <c r="H38" t="s">
        <v>22</v>
      </c>
      <c r="I38" t="s">
        <v>43</v>
      </c>
      <c r="J38">
        <v>121.5</v>
      </c>
      <c r="K38">
        <v>3527.4</v>
      </c>
      <c r="L38">
        <v>3750000</v>
      </c>
      <c r="M38" t="b">
        <v>0</v>
      </c>
      <c r="N38" t="b">
        <v>0</v>
      </c>
      <c r="O38">
        <v>5000</v>
      </c>
      <c r="P38" t="b">
        <v>0</v>
      </c>
      <c r="Q38" t="b">
        <v>0</v>
      </c>
      <c r="R38" t="b">
        <v>0</v>
      </c>
      <c r="S38" t="s">
        <v>96</v>
      </c>
      <c r="T38" t="s">
        <v>1617</v>
      </c>
      <c r="U38">
        <v>70.548000000000002</v>
      </c>
      <c r="V38">
        <v>0</v>
      </c>
      <c r="W38">
        <v>0</v>
      </c>
      <c r="X38">
        <v>2</v>
      </c>
      <c r="Y38" s="6">
        <v>46113</v>
      </c>
    </row>
    <row r="39" spans="1:26" x14ac:dyDescent="0.3">
      <c r="A39" t="s">
        <v>142</v>
      </c>
      <c r="B39" s="5">
        <v>46027</v>
      </c>
      <c r="C39" s="5">
        <v>46028</v>
      </c>
      <c r="D39" s="5">
        <v>46031</v>
      </c>
      <c r="E39" s="5">
        <v>46031</v>
      </c>
      <c r="F39" t="s">
        <v>34</v>
      </c>
      <c r="G39" t="s">
        <v>54</v>
      </c>
      <c r="H39" t="s">
        <v>20</v>
      </c>
      <c r="I39" t="s">
        <v>45</v>
      </c>
      <c r="J39">
        <v>455.7</v>
      </c>
      <c r="K39">
        <v>781.9</v>
      </c>
      <c r="L39">
        <v>4408000</v>
      </c>
      <c r="M39" t="b">
        <v>0</v>
      </c>
      <c r="N39" t="b">
        <v>0</v>
      </c>
      <c r="O39">
        <v>1000</v>
      </c>
      <c r="P39" t="b">
        <v>0</v>
      </c>
      <c r="Q39" t="b">
        <v>0</v>
      </c>
      <c r="R39" t="b">
        <v>0</v>
      </c>
      <c r="S39" t="s">
        <v>96</v>
      </c>
      <c r="T39" t="s">
        <v>1635</v>
      </c>
      <c r="U39">
        <v>78.19</v>
      </c>
      <c r="V39">
        <v>0</v>
      </c>
      <c r="W39">
        <v>0</v>
      </c>
      <c r="X39">
        <v>3</v>
      </c>
      <c r="Y39" s="6">
        <v>46023</v>
      </c>
    </row>
    <row r="40" spans="1:26" x14ac:dyDescent="0.3">
      <c r="A40" t="s">
        <v>143</v>
      </c>
      <c r="B40" s="5">
        <v>46055</v>
      </c>
      <c r="C40" s="5">
        <v>46056</v>
      </c>
      <c r="D40" s="5">
        <v>46059</v>
      </c>
      <c r="E40" s="5">
        <v>46059</v>
      </c>
      <c r="F40" t="s">
        <v>34</v>
      </c>
      <c r="G40" t="s">
        <v>53</v>
      </c>
      <c r="H40" t="s">
        <v>23</v>
      </c>
      <c r="I40" t="s">
        <v>42</v>
      </c>
      <c r="J40">
        <v>315</v>
      </c>
      <c r="K40">
        <v>8580.9</v>
      </c>
      <c r="L40">
        <v>9136000</v>
      </c>
      <c r="M40" t="b">
        <v>0</v>
      </c>
      <c r="N40" t="b">
        <v>0</v>
      </c>
      <c r="O40">
        <v>16000</v>
      </c>
      <c r="P40" t="b">
        <v>0</v>
      </c>
      <c r="Q40" t="b">
        <v>0</v>
      </c>
      <c r="R40" t="b">
        <v>0</v>
      </c>
      <c r="S40" t="s">
        <v>96</v>
      </c>
      <c r="T40" t="s">
        <v>1636</v>
      </c>
      <c r="U40">
        <v>53.630624999999988</v>
      </c>
      <c r="V40">
        <v>0</v>
      </c>
      <c r="W40">
        <v>0</v>
      </c>
      <c r="X40">
        <v>3</v>
      </c>
      <c r="Y40" s="6">
        <v>46054</v>
      </c>
    </row>
    <row r="41" spans="1:26" x14ac:dyDescent="0.3">
      <c r="A41" t="s">
        <v>144</v>
      </c>
      <c r="B41" s="5">
        <v>46082</v>
      </c>
      <c r="C41" s="5">
        <v>46083</v>
      </c>
      <c r="D41" s="5">
        <v>46085</v>
      </c>
      <c r="E41" s="5">
        <v>46085</v>
      </c>
      <c r="F41" t="s">
        <v>34</v>
      </c>
      <c r="G41" t="s">
        <v>58</v>
      </c>
      <c r="H41" t="s">
        <v>24</v>
      </c>
      <c r="I41" t="s">
        <v>43</v>
      </c>
      <c r="J41">
        <v>156.80000000000001</v>
      </c>
      <c r="K41">
        <v>2261.1999999999998</v>
      </c>
      <c r="L41">
        <v>3263000</v>
      </c>
      <c r="M41" t="b">
        <v>0</v>
      </c>
      <c r="N41" t="b">
        <v>0</v>
      </c>
      <c r="O41">
        <v>5000</v>
      </c>
      <c r="P41" t="b">
        <v>0</v>
      </c>
      <c r="Q41" t="b">
        <v>0</v>
      </c>
      <c r="R41" t="b">
        <v>0</v>
      </c>
      <c r="S41" t="s">
        <v>96</v>
      </c>
      <c r="T41" t="s">
        <v>1637</v>
      </c>
      <c r="U41">
        <v>45.223999999999997</v>
      </c>
      <c r="V41">
        <v>0</v>
      </c>
      <c r="W41">
        <v>0</v>
      </c>
      <c r="X41">
        <v>2</v>
      </c>
      <c r="Y41" s="6">
        <v>46082</v>
      </c>
    </row>
    <row r="42" spans="1:26" x14ac:dyDescent="0.3">
      <c r="A42" t="s">
        <v>145</v>
      </c>
      <c r="B42" s="5">
        <v>46118</v>
      </c>
      <c r="C42" s="5">
        <v>46120</v>
      </c>
      <c r="D42" s="5">
        <v>46123</v>
      </c>
      <c r="E42" s="5">
        <v>46126</v>
      </c>
      <c r="F42" t="s">
        <v>34</v>
      </c>
      <c r="G42" t="s">
        <v>63</v>
      </c>
      <c r="H42" t="s">
        <v>24</v>
      </c>
      <c r="I42" t="s">
        <v>43</v>
      </c>
      <c r="J42">
        <v>333.5</v>
      </c>
      <c r="K42">
        <v>2104.3000000000002</v>
      </c>
      <c r="L42">
        <v>5467000</v>
      </c>
      <c r="M42" t="b">
        <v>0</v>
      </c>
      <c r="N42" t="b">
        <v>0</v>
      </c>
      <c r="O42">
        <v>5000</v>
      </c>
      <c r="P42" t="b">
        <v>0</v>
      </c>
      <c r="Q42" t="b">
        <v>0</v>
      </c>
      <c r="R42" t="b">
        <v>0</v>
      </c>
      <c r="S42" t="s">
        <v>101</v>
      </c>
      <c r="T42" t="s">
        <v>1613</v>
      </c>
      <c r="U42">
        <v>42.085999999999999</v>
      </c>
      <c r="V42">
        <v>0</v>
      </c>
      <c r="W42">
        <v>0</v>
      </c>
      <c r="X42">
        <v>6</v>
      </c>
      <c r="Y42" s="6">
        <v>46113</v>
      </c>
      <c r="Z42">
        <v>3</v>
      </c>
    </row>
    <row r="43" spans="1:26" x14ac:dyDescent="0.3">
      <c r="A43" t="s">
        <v>146</v>
      </c>
      <c r="B43" s="5">
        <v>46094</v>
      </c>
      <c r="C43" s="5">
        <v>46095</v>
      </c>
      <c r="D43" s="5">
        <v>46098</v>
      </c>
      <c r="E43" s="5">
        <v>46098</v>
      </c>
      <c r="F43" t="s">
        <v>31</v>
      </c>
      <c r="G43" t="s">
        <v>54</v>
      </c>
      <c r="H43" t="s">
        <v>24</v>
      </c>
      <c r="I43" t="s">
        <v>43</v>
      </c>
      <c r="J43">
        <v>470.3</v>
      </c>
      <c r="K43">
        <v>2742.1</v>
      </c>
      <c r="L43">
        <v>7142000</v>
      </c>
      <c r="M43" t="b">
        <v>0</v>
      </c>
      <c r="N43" t="b">
        <v>0</v>
      </c>
      <c r="O43">
        <v>5000</v>
      </c>
      <c r="P43" t="b">
        <v>0</v>
      </c>
      <c r="Q43" t="b">
        <v>0</v>
      </c>
      <c r="R43" t="b">
        <v>0</v>
      </c>
      <c r="S43" t="s">
        <v>96</v>
      </c>
      <c r="T43" t="s">
        <v>1631</v>
      </c>
      <c r="U43">
        <v>54.841999999999999</v>
      </c>
      <c r="V43">
        <v>0</v>
      </c>
      <c r="W43">
        <v>0</v>
      </c>
      <c r="X43">
        <v>3</v>
      </c>
      <c r="Y43" s="6">
        <v>46082</v>
      </c>
    </row>
    <row r="44" spans="1:26" x14ac:dyDescent="0.3">
      <c r="A44" t="s">
        <v>147</v>
      </c>
      <c r="B44" s="5">
        <v>46138</v>
      </c>
      <c r="C44" s="5">
        <v>46139</v>
      </c>
      <c r="D44" s="5">
        <v>46141</v>
      </c>
      <c r="E44" s="5">
        <v>46143</v>
      </c>
      <c r="F44" t="s">
        <v>31</v>
      </c>
      <c r="G44" t="s">
        <v>59</v>
      </c>
      <c r="H44" t="s">
        <v>23</v>
      </c>
      <c r="I44" t="s">
        <v>44</v>
      </c>
      <c r="J44">
        <v>299.39999999999998</v>
      </c>
      <c r="K44">
        <v>774.6</v>
      </c>
      <c r="L44">
        <v>3954000</v>
      </c>
      <c r="M44" t="b">
        <v>0</v>
      </c>
      <c r="N44" t="b">
        <v>0</v>
      </c>
      <c r="O44">
        <v>1500</v>
      </c>
      <c r="P44" t="b">
        <v>0</v>
      </c>
      <c r="Q44" t="b">
        <v>0</v>
      </c>
      <c r="R44" t="b">
        <v>0</v>
      </c>
      <c r="S44" t="s">
        <v>101</v>
      </c>
      <c r="T44" t="s">
        <v>1628</v>
      </c>
      <c r="U44">
        <v>51.64</v>
      </c>
      <c r="V44">
        <v>0</v>
      </c>
      <c r="W44">
        <v>0</v>
      </c>
      <c r="X44">
        <v>4</v>
      </c>
      <c r="Y44" s="6">
        <v>46113</v>
      </c>
      <c r="Z44">
        <v>2</v>
      </c>
    </row>
    <row r="45" spans="1:26" x14ac:dyDescent="0.3">
      <c r="A45" t="s">
        <v>148</v>
      </c>
      <c r="B45" s="5">
        <v>46176</v>
      </c>
      <c r="C45" s="5">
        <v>46176</v>
      </c>
      <c r="D45" s="5">
        <v>46178</v>
      </c>
      <c r="E45" s="5">
        <v>46178</v>
      </c>
      <c r="F45" t="s">
        <v>34</v>
      </c>
      <c r="G45" t="s">
        <v>52</v>
      </c>
      <c r="H45" t="s">
        <v>20</v>
      </c>
      <c r="I45" t="s">
        <v>44</v>
      </c>
      <c r="J45">
        <v>278.2</v>
      </c>
      <c r="K45">
        <v>1224.4000000000001</v>
      </c>
      <c r="L45">
        <v>4036000</v>
      </c>
      <c r="M45" t="b">
        <v>0</v>
      </c>
      <c r="N45" t="b">
        <v>0</v>
      </c>
      <c r="O45">
        <v>1500</v>
      </c>
      <c r="P45" t="b">
        <v>0</v>
      </c>
      <c r="Q45" t="b">
        <v>0</v>
      </c>
      <c r="R45" t="b">
        <v>0</v>
      </c>
      <c r="S45" t="s">
        <v>96</v>
      </c>
      <c r="T45" t="s">
        <v>1623</v>
      </c>
      <c r="U45">
        <v>81.626666666666665</v>
      </c>
      <c r="V45">
        <v>0</v>
      </c>
      <c r="W45">
        <v>0</v>
      </c>
      <c r="X45">
        <v>2</v>
      </c>
      <c r="Y45" s="6">
        <v>46174</v>
      </c>
    </row>
    <row r="46" spans="1:26" x14ac:dyDescent="0.3">
      <c r="A46" t="s">
        <v>149</v>
      </c>
      <c r="B46" s="5">
        <v>46189</v>
      </c>
      <c r="C46" s="5">
        <v>46190</v>
      </c>
      <c r="D46" s="5">
        <v>46192</v>
      </c>
      <c r="E46" s="5">
        <v>46192</v>
      </c>
      <c r="F46" t="s">
        <v>31</v>
      </c>
      <c r="G46" t="s">
        <v>59</v>
      </c>
      <c r="H46" t="s">
        <v>23</v>
      </c>
      <c r="I46" t="s">
        <v>44</v>
      </c>
      <c r="J46">
        <v>292.10000000000002</v>
      </c>
      <c r="K46">
        <v>1142.7</v>
      </c>
      <c r="L46">
        <v>4031000</v>
      </c>
      <c r="M46" t="b">
        <v>0</v>
      </c>
      <c r="N46" t="b">
        <v>0</v>
      </c>
      <c r="O46">
        <v>1500</v>
      </c>
      <c r="P46" t="b">
        <v>0</v>
      </c>
      <c r="Q46" t="b">
        <v>0</v>
      </c>
      <c r="R46" t="b">
        <v>0</v>
      </c>
      <c r="S46" t="s">
        <v>96</v>
      </c>
      <c r="T46" t="s">
        <v>1628</v>
      </c>
      <c r="U46">
        <v>76.180000000000007</v>
      </c>
      <c r="V46">
        <v>0</v>
      </c>
      <c r="W46">
        <v>0</v>
      </c>
      <c r="X46">
        <v>2</v>
      </c>
      <c r="Y46" s="6">
        <v>46174</v>
      </c>
    </row>
    <row r="47" spans="1:26" x14ac:dyDescent="0.3">
      <c r="A47" t="s">
        <v>150</v>
      </c>
      <c r="B47" s="5">
        <v>46198</v>
      </c>
      <c r="C47" s="5">
        <v>46199</v>
      </c>
      <c r="D47" s="5">
        <v>46201</v>
      </c>
      <c r="E47" s="5">
        <v>46203</v>
      </c>
      <c r="F47" t="s">
        <v>31</v>
      </c>
      <c r="G47" t="s">
        <v>59</v>
      </c>
      <c r="H47" t="s">
        <v>22</v>
      </c>
      <c r="I47" t="s">
        <v>43</v>
      </c>
      <c r="J47">
        <v>293.10000000000002</v>
      </c>
      <c r="K47">
        <v>2287.8000000000002</v>
      </c>
      <c r="L47">
        <v>4824000</v>
      </c>
      <c r="M47" t="b">
        <v>0</v>
      </c>
      <c r="N47" t="b">
        <v>0</v>
      </c>
      <c r="O47">
        <v>5000</v>
      </c>
      <c r="P47" t="b">
        <v>0</v>
      </c>
      <c r="Q47" t="b">
        <v>0</v>
      </c>
      <c r="R47" t="b">
        <v>0</v>
      </c>
      <c r="S47" t="s">
        <v>101</v>
      </c>
      <c r="T47" t="s">
        <v>1628</v>
      </c>
      <c r="U47">
        <v>45.756</v>
      </c>
      <c r="V47">
        <v>0</v>
      </c>
      <c r="W47">
        <v>0</v>
      </c>
      <c r="X47">
        <v>4</v>
      </c>
      <c r="Y47" s="6">
        <v>46174</v>
      </c>
      <c r="Z47">
        <v>2</v>
      </c>
    </row>
    <row r="48" spans="1:26" x14ac:dyDescent="0.3">
      <c r="A48" t="s">
        <v>151</v>
      </c>
      <c r="B48" s="5">
        <v>46116</v>
      </c>
      <c r="C48" s="5">
        <v>46116</v>
      </c>
      <c r="D48" s="5">
        <v>46117</v>
      </c>
      <c r="E48" s="5">
        <v>46117</v>
      </c>
      <c r="F48" t="s">
        <v>34</v>
      </c>
      <c r="G48" t="s">
        <v>61</v>
      </c>
      <c r="H48" t="s">
        <v>20</v>
      </c>
      <c r="I48" t="s">
        <v>45</v>
      </c>
      <c r="J48">
        <v>26.6</v>
      </c>
      <c r="K48">
        <v>169.5</v>
      </c>
      <c r="L48">
        <v>569000</v>
      </c>
      <c r="M48" t="b">
        <v>0</v>
      </c>
      <c r="N48" t="b">
        <v>0</v>
      </c>
      <c r="O48">
        <v>1000</v>
      </c>
      <c r="P48" t="b">
        <v>0</v>
      </c>
      <c r="Q48" t="b">
        <v>0</v>
      </c>
      <c r="R48" t="b">
        <v>0</v>
      </c>
      <c r="S48" t="s">
        <v>96</v>
      </c>
      <c r="T48" t="s">
        <v>1638</v>
      </c>
      <c r="U48">
        <v>16.95</v>
      </c>
      <c r="V48">
        <v>0</v>
      </c>
      <c r="W48">
        <v>0</v>
      </c>
      <c r="X48">
        <v>1</v>
      </c>
      <c r="Y48" s="6">
        <v>46113</v>
      </c>
    </row>
    <row r="49" spans="1:26" x14ac:dyDescent="0.3">
      <c r="A49" t="s">
        <v>152</v>
      </c>
      <c r="B49" s="5">
        <v>46042</v>
      </c>
      <c r="C49" s="5">
        <v>46043</v>
      </c>
      <c r="D49" s="5">
        <v>46044</v>
      </c>
      <c r="E49" s="5">
        <v>46044</v>
      </c>
      <c r="F49" t="s">
        <v>34</v>
      </c>
      <c r="G49" t="s">
        <v>55</v>
      </c>
      <c r="H49" t="s">
        <v>22</v>
      </c>
      <c r="I49" t="s">
        <v>45</v>
      </c>
      <c r="J49">
        <v>54.4</v>
      </c>
      <c r="K49">
        <v>168.2</v>
      </c>
      <c r="L49">
        <v>943000</v>
      </c>
      <c r="M49" t="b">
        <v>0</v>
      </c>
      <c r="N49" t="b">
        <v>0</v>
      </c>
      <c r="O49">
        <v>1000</v>
      </c>
      <c r="P49" t="b">
        <v>0</v>
      </c>
      <c r="Q49" t="b">
        <v>0</v>
      </c>
      <c r="R49" t="b">
        <v>0</v>
      </c>
      <c r="S49" t="s">
        <v>96</v>
      </c>
      <c r="T49" t="s">
        <v>1639</v>
      </c>
      <c r="U49">
        <v>16.82</v>
      </c>
      <c r="V49">
        <v>0</v>
      </c>
      <c r="W49">
        <v>0</v>
      </c>
      <c r="X49">
        <v>1</v>
      </c>
      <c r="Y49" s="6">
        <v>46023</v>
      </c>
    </row>
    <row r="50" spans="1:26" x14ac:dyDescent="0.3">
      <c r="A50" t="s">
        <v>153</v>
      </c>
      <c r="B50" s="5">
        <v>46155</v>
      </c>
      <c r="C50" s="5">
        <v>46156</v>
      </c>
      <c r="D50" s="5">
        <v>46159</v>
      </c>
      <c r="E50" s="5">
        <v>46159</v>
      </c>
      <c r="F50" t="s">
        <v>34</v>
      </c>
      <c r="G50" t="s">
        <v>59</v>
      </c>
      <c r="H50" t="s">
        <v>23</v>
      </c>
      <c r="I50" t="s">
        <v>42</v>
      </c>
      <c r="J50">
        <v>306.7</v>
      </c>
      <c r="K50">
        <v>12621.1</v>
      </c>
      <c r="L50">
        <v>10251000</v>
      </c>
      <c r="M50" t="b">
        <v>0</v>
      </c>
      <c r="N50" t="b">
        <v>0</v>
      </c>
      <c r="O50">
        <v>16000</v>
      </c>
      <c r="P50" t="b">
        <v>0</v>
      </c>
      <c r="Q50" t="b">
        <v>0</v>
      </c>
      <c r="R50" t="b">
        <v>0</v>
      </c>
      <c r="S50" t="s">
        <v>96</v>
      </c>
      <c r="T50" t="s">
        <v>1616</v>
      </c>
      <c r="U50">
        <v>78.881875000000008</v>
      </c>
      <c r="V50">
        <v>0</v>
      </c>
      <c r="W50">
        <v>0</v>
      </c>
      <c r="X50">
        <v>3</v>
      </c>
      <c r="Y50" s="6">
        <v>46143</v>
      </c>
    </row>
    <row r="51" spans="1:26" x14ac:dyDescent="0.3">
      <c r="A51" t="s">
        <v>154</v>
      </c>
      <c r="B51" s="5">
        <v>46197</v>
      </c>
      <c r="C51" s="5">
        <v>46198</v>
      </c>
      <c r="D51" s="5">
        <v>46200</v>
      </c>
      <c r="E51" s="5">
        <v>46201</v>
      </c>
      <c r="F51" t="s">
        <v>34</v>
      </c>
      <c r="G51" t="s">
        <v>58</v>
      </c>
      <c r="H51" t="s">
        <v>22</v>
      </c>
      <c r="I51" t="s">
        <v>44</v>
      </c>
      <c r="J51">
        <v>144.80000000000001</v>
      </c>
      <c r="K51">
        <v>1193.5</v>
      </c>
      <c r="L51">
        <v>2451000</v>
      </c>
      <c r="M51" t="b">
        <v>0</v>
      </c>
      <c r="N51" t="b">
        <v>0</v>
      </c>
      <c r="O51">
        <v>1500</v>
      </c>
      <c r="P51" t="b">
        <v>0</v>
      </c>
      <c r="Q51" t="b">
        <v>0</v>
      </c>
      <c r="R51" t="b">
        <v>0</v>
      </c>
      <c r="S51" t="s">
        <v>101</v>
      </c>
      <c r="T51" t="s">
        <v>1637</v>
      </c>
      <c r="U51">
        <v>79.566666666666663</v>
      </c>
      <c r="V51">
        <v>0</v>
      </c>
      <c r="W51">
        <v>0</v>
      </c>
      <c r="X51">
        <v>3</v>
      </c>
      <c r="Y51" s="6">
        <v>46174</v>
      </c>
      <c r="Z51">
        <v>1</v>
      </c>
    </row>
    <row r="52" spans="1:26" x14ac:dyDescent="0.3">
      <c r="A52" t="s">
        <v>155</v>
      </c>
      <c r="B52" s="5">
        <v>46109</v>
      </c>
      <c r="C52" s="5">
        <v>46110</v>
      </c>
      <c r="D52" s="5">
        <v>46114</v>
      </c>
      <c r="E52" s="5">
        <v>46115</v>
      </c>
      <c r="F52" t="s">
        <v>31</v>
      </c>
      <c r="G52" t="s">
        <v>54</v>
      </c>
      <c r="H52" t="s">
        <v>21</v>
      </c>
      <c r="I52" t="s">
        <v>42</v>
      </c>
      <c r="J52">
        <v>470.2</v>
      </c>
      <c r="K52">
        <v>5323.1</v>
      </c>
      <c r="L52">
        <v>10422000</v>
      </c>
      <c r="M52" t="b">
        <v>0</v>
      </c>
      <c r="N52" t="b">
        <v>0</v>
      </c>
      <c r="O52">
        <v>16000</v>
      </c>
      <c r="P52" t="b">
        <v>0</v>
      </c>
      <c r="Q52" t="b">
        <v>0</v>
      </c>
      <c r="R52" t="b">
        <v>0</v>
      </c>
      <c r="S52" t="s">
        <v>101</v>
      </c>
      <c r="T52" t="s">
        <v>1631</v>
      </c>
      <c r="U52">
        <v>33.269374999999997</v>
      </c>
      <c r="V52">
        <v>0</v>
      </c>
      <c r="W52">
        <v>0</v>
      </c>
      <c r="X52">
        <v>5</v>
      </c>
      <c r="Y52" s="6">
        <v>46082</v>
      </c>
      <c r="Z52">
        <v>1</v>
      </c>
    </row>
    <row r="53" spans="1:26" x14ac:dyDescent="0.3">
      <c r="A53" t="s">
        <v>156</v>
      </c>
      <c r="B53" s="5">
        <v>46054</v>
      </c>
      <c r="C53" s="5">
        <v>46055</v>
      </c>
      <c r="D53" s="5">
        <v>46057</v>
      </c>
      <c r="E53" s="5">
        <v>46058</v>
      </c>
      <c r="F53" t="s">
        <v>32</v>
      </c>
      <c r="G53" t="s">
        <v>55</v>
      </c>
      <c r="H53" t="s">
        <v>22</v>
      </c>
      <c r="I53" t="s">
        <v>42</v>
      </c>
      <c r="J53">
        <v>122.5</v>
      </c>
      <c r="K53">
        <v>13060.6</v>
      </c>
      <c r="L53">
        <v>7055000</v>
      </c>
      <c r="M53" t="b">
        <v>0</v>
      </c>
      <c r="N53" t="b">
        <v>0</v>
      </c>
      <c r="O53">
        <v>16000</v>
      </c>
      <c r="P53" t="b">
        <v>0</v>
      </c>
      <c r="Q53" t="b">
        <v>0</v>
      </c>
      <c r="R53" t="b">
        <v>0</v>
      </c>
      <c r="S53" t="s">
        <v>101</v>
      </c>
      <c r="T53" t="s">
        <v>1633</v>
      </c>
      <c r="U53">
        <v>81.628750000000011</v>
      </c>
      <c r="V53">
        <v>0</v>
      </c>
      <c r="W53">
        <v>0</v>
      </c>
      <c r="X53">
        <v>3</v>
      </c>
      <c r="Y53" s="6">
        <v>46054</v>
      </c>
      <c r="Z53">
        <v>1</v>
      </c>
    </row>
    <row r="54" spans="1:26" x14ac:dyDescent="0.3">
      <c r="A54" t="s">
        <v>157</v>
      </c>
      <c r="B54" s="5">
        <v>46182</v>
      </c>
      <c r="C54" s="5">
        <v>46184</v>
      </c>
      <c r="D54" s="5">
        <v>46189</v>
      </c>
      <c r="E54" s="5">
        <v>46189</v>
      </c>
      <c r="F54" t="s">
        <v>33</v>
      </c>
      <c r="G54" t="s">
        <v>52</v>
      </c>
      <c r="H54" t="s">
        <v>23</v>
      </c>
      <c r="I54" t="s">
        <v>44</v>
      </c>
      <c r="J54">
        <v>638.29999999999995</v>
      </c>
      <c r="K54">
        <v>574.4</v>
      </c>
      <c r="L54">
        <v>7590000</v>
      </c>
      <c r="M54" t="b">
        <v>0</v>
      </c>
      <c r="N54" t="b">
        <v>0</v>
      </c>
      <c r="O54">
        <v>1500</v>
      </c>
      <c r="P54" t="b">
        <v>0</v>
      </c>
      <c r="Q54" t="b">
        <v>0</v>
      </c>
      <c r="R54" t="b">
        <v>0</v>
      </c>
      <c r="S54" t="s">
        <v>96</v>
      </c>
      <c r="T54" t="s">
        <v>1622</v>
      </c>
      <c r="U54">
        <v>38.293333333333329</v>
      </c>
      <c r="V54">
        <v>0</v>
      </c>
      <c r="W54">
        <v>0</v>
      </c>
      <c r="X54">
        <v>5</v>
      </c>
      <c r="Y54" s="6">
        <v>46174</v>
      </c>
    </row>
    <row r="55" spans="1:26" x14ac:dyDescent="0.3">
      <c r="A55" t="s">
        <v>158</v>
      </c>
      <c r="B55" s="5">
        <v>46070</v>
      </c>
      <c r="C55" s="5">
        <v>46070</v>
      </c>
      <c r="D55" s="5">
        <v>46072</v>
      </c>
      <c r="E55" s="5">
        <v>46072</v>
      </c>
      <c r="F55" t="s">
        <v>31</v>
      </c>
      <c r="G55" t="s">
        <v>63</v>
      </c>
      <c r="H55" t="s">
        <v>23</v>
      </c>
      <c r="I55" t="s">
        <v>42</v>
      </c>
      <c r="J55">
        <v>295.2</v>
      </c>
      <c r="K55">
        <v>8981.9</v>
      </c>
      <c r="L55">
        <v>8101000</v>
      </c>
      <c r="M55" t="b">
        <v>0</v>
      </c>
      <c r="N55" t="b">
        <v>0</v>
      </c>
      <c r="O55">
        <v>16000</v>
      </c>
      <c r="P55" t="b">
        <v>0</v>
      </c>
      <c r="Q55" t="b">
        <v>0</v>
      </c>
      <c r="R55" t="b">
        <v>0</v>
      </c>
      <c r="S55" t="s">
        <v>96</v>
      </c>
      <c r="T55" t="s">
        <v>1640</v>
      </c>
      <c r="U55">
        <v>56.136875000000003</v>
      </c>
      <c r="V55">
        <v>0</v>
      </c>
      <c r="W55">
        <v>0</v>
      </c>
      <c r="X55">
        <v>2</v>
      </c>
      <c r="Y55" s="6">
        <v>46054</v>
      </c>
    </row>
    <row r="56" spans="1:26" x14ac:dyDescent="0.3">
      <c r="A56" t="s">
        <v>159</v>
      </c>
      <c r="B56" s="5">
        <v>46201</v>
      </c>
      <c r="C56" s="5">
        <v>46202</v>
      </c>
      <c r="D56" s="5">
        <v>46206</v>
      </c>
      <c r="E56" s="5">
        <v>46206</v>
      </c>
      <c r="F56" t="s">
        <v>31</v>
      </c>
      <c r="G56" t="s">
        <v>56</v>
      </c>
      <c r="H56" t="s">
        <v>20</v>
      </c>
      <c r="I56" t="s">
        <v>44</v>
      </c>
      <c r="J56">
        <v>929.8</v>
      </c>
      <c r="K56">
        <v>806.5</v>
      </c>
      <c r="L56">
        <v>9579000</v>
      </c>
      <c r="M56" t="b">
        <v>0</v>
      </c>
      <c r="N56" t="b">
        <v>0</v>
      </c>
      <c r="O56">
        <v>1500</v>
      </c>
      <c r="P56" t="b">
        <v>0</v>
      </c>
      <c r="Q56" t="b">
        <v>0</v>
      </c>
      <c r="R56" t="b">
        <v>0</v>
      </c>
      <c r="S56" t="s">
        <v>96</v>
      </c>
      <c r="T56" t="s">
        <v>1614</v>
      </c>
      <c r="U56">
        <v>53.766666666666673</v>
      </c>
      <c r="V56">
        <v>0</v>
      </c>
      <c r="W56">
        <v>0</v>
      </c>
      <c r="X56">
        <v>4</v>
      </c>
      <c r="Y56" s="6">
        <v>46174</v>
      </c>
    </row>
    <row r="57" spans="1:26" x14ac:dyDescent="0.3">
      <c r="A57" t="s">
        <v>160</v>
      </c>
      <c r="B57" s="5">
        <v>46192</v>
      </c>
      <c r="C57" s="5">
        <v>46193</v>
      </c>
      <c r="D57" s="5">
        <v>46195</v>
      </c>
      <c r="E57" s="5">
        <v>46195</v>
      </c>
      <c r="F57" t="s">
        <v>34</v>
      </c>
      <c r="G57" t="s">
        <v>58</v>
      </c>
      <c r="H57" t="s">
        <v>24</v>
      </c>
      <c r="I57" t="s">
        <v>44</v>
      </c>
      <c r="J57">
        <v>159.30000000000001</v>
      </c>
      <c r="K57">
        <v>253.6</v>
      </c>
      <c r="L57">
        <v>2138000</v>
      </c>
      <c r="M57" t="b">
        <v>0</v>
      </c>
      <c r="N57" t="b">
        <v>0</v>
      </c>
      <c r="O57">
        <v>1500</v>
      </c>
      <c r="P57" t="b">
        <v>0</v>
      </c>
      <c r="Q57" t="b">
        <v>0</v>
      </c>
      <c r="R57" t="b">
        <v>0</v>
      </c>
      <c r="S57" t="s">
        <v>96</v>
      </c>
      <c r="T57" t="s">
        <v>1637</v>
      </c>
      <c r="U57">
        <v>16.90666666666667</v>
      </c>
      <c r="V57">
        <v>0</v>
      </c>
      <c r="W57">
        <v>0</v>
      </c>
      <c r="X57">
        <v>2</v>
      </c>
      <c r="Y57" s="6">
        <v>46174</v>
      </c>
    </row>
    <row r="58" spans="1:26" x14ac:dyDescent="0.3">
      <c r="A58" t="s">
        <v>161</v>
      </c>
      <c r="B58" s="5">
        <v>46163</v>
      </c>
      <c r="C58" s="5">
        <v>46163</v>
      </c>
      <c r="D58" s="5">
        <v>46166</v>
      </c>
      <c r="E58" s="5">
        <v>46168</v>
      </c>
      <c r="F58" t="s">
        <v>32</v>
      </c>
      <c r="G58" t="s">
        <v>52</v>
      </c>
      <c r="H58" t="s">
        <v>22</v>
      </c>
      <c r="I58" t="s">
        <v>42</v>
      </c>
      <c r="J58">
        <v>328.9</v>
      </c>
      <c r="K58">
        <v>6284.9</v>
      </c>
      <c r="L58">
        <v>9044000</v>
      </c>
      <c r="M58" t="b">
        <v>0</v>
      </c>
      <c r="N58" t="b">
        <v>0</v>
      </c>
      <c r="O58">
        <v>16000</v>
      </c>
      <c r="P58" t="b">
        <v>0</v>
      </c>
      <c r="Q58" t="b">
        <v>0</v>
      </c>
      <c r="R58" t="b">
        <v>0</v>
      </c>
      <c r="S58" t="s">
        <v>101</v>
      </c>
      <c r="T58" t="s">
        <v>1611</v>
      </c>
      <c r="U58">
        <v>39.280624999999993</v>
      </c>
      <c r="V58">
        <v>0</v>
      </c>
      <c r="W58">
        <v>0</v>
      </c>
      <c r="X58">
        <v>5</v>
      </c>
      <c r="Y58" s="6">
        <v>46143</v>
      </c>
      <c r="Z58">
        <v>2</v>
      </c>
    </row>
    <row r="59" spans="1:26" x14ac:dyDescent="0.3">
      <c r="A59" t="s">
        <v>162</v>
      </c>
      <c r="B59" s="5">
        <v>46191</v>
      </c>
      <c r="C59" s="5">
        <v>46193</v>
      </c>
      <c r="D59" s="5">
        <v>46195</v>
      </c>
      <c r="E59" s="5">
        <v>46195</v>
      </c>
      <c r="F59" t="s">
        <v>32</v>
      </c>
      <c r="G59" t="s">
        <v>63</v>
      </c>
      <c r="H59" t="s">
        <v>22</v>
      </c>
      <c r="I59" t="s">
        <v>43</v>
      </c>
      <c r="J59">
        <v>174.4</v>
      </c>
      <c r="K59">
        <v>2814.2</v>
      </c>
      <c r="L59">
        <v>4454000</v>
      </c>
      <c r="M59" t="b">
        <v>0</v>
      </c>
      <c r="N59" t="b">
        <v>0</v>
      </c>
      <c r="O59">
        <v>5000</v>
      </c>
      <c r="P59" t="b">
        <v>0</v>
      </c>
      <c r="Q59" t="b">
        <v>0</v>
      </c>
      <c r="R59" t="b">
        <v>0</v>
      </c>
      <c r="S59" t="s">
        <v>96</v>
      </c>
      <c r="T59" t="s">
        <v>1634</v>
      </c>
      <c r="U59">
        <v>56.283999999999999</v>
      </c>
      <c r="V59">
        <v>0</v>
      </c>
      <c r="W59">
        <v>0</v>
      </c>
      <c r="X59">
        <v>2</v>
      </c>
      <c r="Y59" s="6">
        <v>46174</v>
      </c>
    </row>
    <row r="60" spans="1:26" x14ac:dyDescent="0.3">
      <c r="A60" t="s">
        <v>163</v>
      </c>
      <c r="B60" s="5">
        <v>46155</v>
      </c>
      <c r="C60" s="5">
        <v>46156</v>
      </c>
      <c r="D60" s="5">
        <v>46157</v>
      </c>
      <c r="E60" s="5">
        <v>46157</v>
      </c>
      <c r="F60" t="s">
        <v>34</v>
      </c>
      <c r="G60" t="s">
        <v>55</v>
      </c>
      <c r="H60" t="s">
        <v>20</v>
      </c>
      <c r="I60" t="s">
        <v>42</v>
      </c>
      <c r="J60">
        <v>53.9</v>
      </c>
      <c r="K60">
        <v>8640.4</v>
      </c>
      <c r="L60">
        <v>4009000</v>
      </c>
      <c r="M60" t="b">
        <v>0</v>
      </c>
      <c r="N60" t="b">
        <v>0</v>
      </c>
      <c r="O60">
        <v>16000</v>
      </c>
      <c r="P60" t="b">
        <v>0</v>
      </c>
      <c r="Q60" t="b">
        <v>0</v>
      </c>
      <c r="R60" t="b">
        <v>0</v>
      </c>
      <c r="S60" t="s">
        <v>96</v>
      </c>
      <c r="T60" t="s">
        <v>1639</v>
      </c>
      <c r="U60">
        <v>54.002499999999998</v>
      </c>
      <c r="V60">
        <v>0</v>
      </c>
      <c r="W60">
        <v>0</v>
      </c>
      <c r="X60">
        <v>1</v>
      </c>
      <c r="Y60" s="6">
        <v>46143</v>
      </c>
    </row>
    <row r="61" spans="1:26" x14ac:dyDescent="0.3">
      <c r="A61" t="s">
        <v>164</v>
      </c>
      <c r="B61" s="5">
        <v>46106</v>
      </c>
      <c r="C61" s="5">
        <v>46107</v>
      </c>
      <c r="D61" s="5">
        <v>46109</v>
      </c>
      <c r="E61" s="5">
        <v>46111</v>
      </c>
      <c r="F61" t="s">
        <v>33</v>
      </c>
      <c r="G61" t="s">
        <v>63</v>
      </c>
      <c r="H61" t="s">
        <v>24</v>
      </c>
      <c r="I61" t="s">
        <v>44</v>
      </c>
      <c r="J61">
        <v>299.10000000000002</v>
      </c>
      <c r="K61">
        <v>551.20000000000005</v>
      </c>
      <c r="L61">
        <v>3681000</v>
      </c>
      <c r="M61" t="b">
        <v>0</v>
      </c>
      <c r="N61" t="b">
        <v>0</v>
      </c>
      <c r="O61">
        <v>1500</v>
      </c>
      <c r="P61" t="b">
        <v>0</v>
      </c>
      <c r="Q61" t="b">
        <v>0</v>
      </c>
      <c r="R61" t="b">
        <v>0</v>
      </c>
      <c r="S61" t="s">
        <v>101</v>
      </c>
      <c r="T61" t="s">
        <v>1625</v>
      </c>
      <c r="U61">
        <v>36.74666666666667</v>
      </c>
      <c r="V61">
        <v>0</v>
      </c>
      <c r="W61">
        <v>0</v>
      </c>
      <c r="X61">
        <v>4</v>
      </c>
      <c r="Y61" s="6">
        <v>46082</v>
      </c>
      <c r="Z61">
        <v>2</v>
      </c>
    </row>
    <row r="62" spans="1:26" x14ac:dyDescent="0.3">
      <c r="A62" t="s">
        <v>165</v>
      </c>
      <c r="B62" s="5">
        <v>46065</v>
      </c>
      <c r="C62" s="5">
        <v>46066</v>
      </c>
      <c r="D62" s="5">
        <v>46071</v>
      </c>
      <c r="E62" s="5">
        <v>46071</v>
      </c>
      <c r="F62" t="s">
        <v>32</v>
      </c>
      <c r="G62" t="s">
        <v>62</v>
      </c>
      <c r="H62" t="s">
        <v>24</v>
      </c>
      <c r="I62" t="s">
        <v>44</v>
      </c>
      <c r="J62">
        <v>603.4</v>
      </c>
      <c r="K62">
        <v>1085.7</v>
      </c>
      <c r="L62">
        <v>6408000</v>
      </c>
      <c r="M62" t="b">
        <v>0</v>
      </c>
      <c r="N62" t="b">
        <v>0</v>
      </c>
      <c r="O62">
        <v>1500</v>
      </c>
      <c r="P62" t="b">
        <v>0</v>
      </c>
      <c r="Q62" t="b">
        <v>0</v>
      </c>
      <c r="R62" t="b">
        <v>0</v>
      </c>
      <c r="S62" t="s">
        <v>96</v>
      </c>
      <c r="T62" t="s">
        <v>1641</v>
      </c>
      <c r="U62">
        <v>72.38</v>
      </c>
      <c r="V62">
        <v>0</v>
      </c>
      <c r="W62">
        <v>0</v>
      </c>
      <c r="X62">
        <v>5</v>
      </c>
      <c r="Y62" s="6">
        <v>46054</v>
      </c>
    </row>
    <row r="63" spans="1:26" x14ac:dyDescent="0.3">
      <c r="A63" t="s">
        <v>166</v>
      </c>
      <c r="B63" s="5">
        <v>46120</v>
      </c>
      <c r="C63" s="5">
        <v>46121</v>
      </c>
      <c r="D63" s="5">
        <v>46124</v>
      </c>
      <c r="E63" s="5">
        <v>46126</v>
      </c>
      <c r="F63" t="s">
        <v>34</v>
      </c>
      <c r="G63" t="s">
        <v>54</v>
      </c>
      <c r="H63" t="s">
        <v>23</v>
      </c>
      <c r="I63" t="s">
        <v>43</v>
      </c>
      <c r="J63">
        <v>428.6</v>
      </c>
      <c r="K63">
        <v>3307.7</v>
      </c>
      <c r="L63">
        <v>7005000</v>
      </c>
      <c r="M63" t="b">
        <v>0</v>
      </c>
      <c r="N63" t="b">
        <v>0</v>
      </c>
      <c r="O63">
        <v>5000</v>
      </c>
      <c r="P63" t="b">
        <v>0</v>
      </c>
      <c r="Q63" t="b">
        <v>0</v>
      </c>
      <c r="R63" t="b">
        <v>0</v>
      </c>
      <c r="S63" t="s">
        <v>101</v>
      </c>
      <c r="T63" t="s">
        <v>1635</v>
      </c>
      <c r="U63">
        <v>66.153999999999996</v>
      </c>
      <c r="V63">
        <v>0</v>
      </c>
      <c r="W63">
        <v>0</v>
      </c>
      <c r="X63">
        <v>5</v>
      </c>
      <c r="Y63" s="6">
        <v>46113</v>
      </c>
      <c r="Z63">
        <v>2</v>
      </c>
    </row>
    <row r="64" spans="1:26" x14ac:dyDescent="0.3">
      <c r="A64" t="s">
        <v>167</v>
      </c>
      <c r="B64" s="5">
        <v>46083</v>
      </c>
      <c r="C64" s="5">
        <v>46084</v>
      </c>
      <c r="D64" s="5">
        <v>46087</v>
      </c>
      <c r="E64" s="5">
        <v>46087</v>
      </c>
      <c r="F64" t="s">
        <v>34</v>
      </c>
      <c r="G64" t="s">
        <v>54</v>
      </c>
      <c r="H64" t="s">
        <v>20</v>
      </c>
      <c r="I64" t="s">
        <v>44</v>
      </c>
      <c r="J64">
        <v>450.8</v>
      </c>
      <c r="K64">
        <v>970.9</v>
      </c>
      <c r="L64">
        <v>5330000</v>
      </c>
      <c r="M64" t="b">
        <v>0</v>
      </c>
      <c r="N64" t="b">
        <v>0</v>
      </c>
      <c r="O64">
        <v>1500</v>
      </c>
      <c r="P64" t="b">
        <v>0</v>
      </c>
      <c r="Q64" t="b">
        <v>0</v>
      </c>
      <c r="R64" t="b">
        <v>0</v>
      </c>
      <c r="S64" t="s">
        <v>96</v>
      </c>
      <c r="T64" t="s">
        <v>1635</v>
      </c>
      <c r="U64">
        <v>64.726666666666659</v>
      </c>
      <c r="V64">
        <v>0</v>
      </c>
      <c r="W64">
        <v>0</v>
      </c>
      <c r="X64">
        <v>3</v>
      </c>
      <c r="Y64" s="6">
        <v>46082</v>
      </c>
    </row>
    <row r="65" spans="1:26" x14ac:dyDescent="0.3">
      <c r="A65" t="s">
        <v>168</v>
      </c>
      <c r="B65" s="5">
        <v>46090</v>
      </c>
      <c r="C65" s="5">
        <v>46091</v>
      </c>
      <c r="D65" s="5">
        <v>46093</v>
      </c>
      <c r="E65" s="5">
        <v>46093</v>
      </c>
      <c r="F65" t="s">
        <v>32</v>
      </c>
      <c r="G65" t="s">
        <v>63</v>
      </c>
      <c r="H65" t="s">
        <v>20</v>
      </c>
      <c r="I65" t="s">
        <v>44</v>
      </c>
      <c r="J65">
        <v>177.4</v>
      </c>
      <c r="K65">
        <v>479.9</v>
      </c>
      <c r="L65">
        <v>2236000</v>
      </c>
      <c r="M65" t="b">
        <v>0</v>
      </c>
      <c r="N65" t="b">
        <v>0</v>
      </c>
      <c r="O65">
        <v>1500</v>
      </c>
      <c r="P65" t="b">
        <v>0</v>
      </c>
      <c r="Q65" t="b">
        <v>0</v>
      </c>
      <c r="R65" t="b">
        <v>0</v>
      </c>
      <c r="S65" t="s">
        <v>96</v>
      </c>
      <c r="T65" t="s">
        <v>1634</v>
      </c>
      <c r="U65">
        <v>31.993333333333329</v>
      </c>
      <c r="V65">
        <v>0</v>
      </c>
      <c r="W65">
        <v>0</v>
      </c>
      <c r="X65">
        <v>2</v>
      </c>
      <c r="Y65" s="6">
        <v>46082</v>
      </c>
    </row>
    <row r="66" spans="1:26" x14ac:dyDescent="0.3">
      <c r="A66" t="s">
        <v>169</v>
      </c>
      <c r="B66" s="5">
        <v>46182</v>
      </c>
      <c r="C66" s="5">
        <v>46182</v>
      </c>
      <c r="D66" s="5">
        <v>46185</v>
      </c>
      <c r="E66" s="5">
        <v>46185</v>
      </c>
      <c r="F66" t="s">
        <v>34</v>
      </c>
      <c r="G66" t="s">
        <v>54</v>
      </c>
      <c r="H66" t="s">
        <v>22</v>
      </c>
      <c r="I66" t="s">
        <v>43</v>
      </c>
      <c r="J66">
        <v>430.8</v>
      </c>
      <c r="K66">
        <v>2083.5</v>
      </c>
      <c r="L66">
        <v>7272000</v>
      </c>
      <c r="M66" t="b">
        <v>0</v>
      </c>
      <c r="N66" t="b">
        <v>0</v>
      </c>
      <c r="O66">
        <v>5000</v>
      </c>
      <c r="P66" t="b">
        <v>0</v>
      </c>
      <c r="Q66" t="b">
        <v>0</v>
      </c>
      <c r="R66" t="b">
        <v>0</v>
      </c>
      <c r="S66" t="s">
        <v>96</v>
      </c>
      <c r="T66" t="s">
        <v>1635</v>
      </c>
      <c r="U66">
        <v>41.67</v>
      </c>
      <c r="V66">
        <v>0</v>
      </c>
      <c r="W66">
        <v>0</v>
      </c>
      <c r="X66">
        <v>3</v>
      </c>
      <c r="Y66" s="6">
        <v>46174</v>
      </c>
    </row>
    <row r="67" spans="1:26" x14ac:dyDescent="0.3">
      <c r="A67" t="s">
        <v>170</v>
      </c>
      <c r="B67" s="5">
        <v>46132</v>
      </c>
      <c r="C67" s="5">
        <v>46133</v>
      </c>
      <c r="D67" s="5">
        <v>46135</v>
      </c>
      <c r="E67" s="5">
        <v>46137</v>
      </c>
      <c r="F67" t="s">
        <v>32</v>
      </c>
      <c r="G67" t="s">
        <v>53</v>
      </c>
      <c r="H67" t="s">
        <v>23</v>
      </c>
      <c r="I67" t="s">
        <v>42</v>
      </c>
      <c r="J67">
        <v>284.5</v>
      </c>
      <c r="K67">
        <v>2552.8000000000002</v>
      </c>
      <c r="L67">
        <v>7472000</v>
      </c>
      <c r="M67" t="b">
        <v>0</v>
      </c>
      <c r="N67" t="b">
        <v>0</v>
      </c>
      <c r="O67">
        <v>16000</v>
      </c>
      <c r="P67" t="b">
        <v>0</v>
      </c>
      <c r="Q67" t="b">
        <v>0</v>
      </c>
      <c r="R67" t="b">
        <v>0</v>
      </c>
      <c r="S67" t="s">
        <v>101</v>
      </c>
      <c r="T67" t="s">
        <v>1612</v>
      </c>
      <c r="U67">
        <v>15.955</v>
      </c>
      <c r="V67">
        <v>0</v>
      </c>
      <c r="W67">
        <v>0</v>
      </c>
      <c r="X67">
        <v>4</v>
      </c>
      <c r="Y67" s="6">
        <v>46113</v>
      </c>
      <c r="Z67">
        <v>2</v>
      </c>
    </row>
    <row r="68" spans="1:26" x14ac:dyDescent="0.3">
      <c r="A68" t="s">
        <v>171</v>
      </c>
      <c r="B68" s="5">
        <v>46143</v>
      </c>
      <c r="C68" s="5">
        <v>46144</v>
      </c>
      <c r="D68" s="5">
        <v>46146</v>
      </c>
      <c r="E68" s="5">
        <v>46148</v>
      </c>
      <c r="F68" t="s">
        <v>34</v>
      </c>
      <c r="G68" t="s">
        <v>58</v>
      </c>
      <c r="H68" t="s">
        <v>24</v>
      </c>
      <c r="I68" t="s">
        <v>43</v>
      </c>
      <c r="J68">
        <v>150.9</v>
      </c>
      <c r="K68">
        <v>1420.6</v>
      </c>
      <c r="L68">
        <v>2856000</v>
      </c>
      <c r="M68" t="b">
        <v>0</v>
      </c>
      <c r="N68" t="b">
        <v>0</v>
      </c>
      <c r="O68">
        <v>5000</v>
      </c>
      <c r="P68" t="b">
        <v>0</v>
      </c>
      <c r="Q68" t="b">
        <v>0</v>
      </c>
      <c r="R68" t="b">
        <v>0</v>
      </c>
      <c r="S68" t="s">
        <v>101</v>
      </c>
      <c r="T68" t="s">
        <v>1637</v>
      </c>
      <c r="U68">
        <v>28.411999999999999</v>
      </c>
      <c r="V68">
        <v>0</v>
      </c>
      <c r="W68">
        <v>0</v>
      </c>
      <c r="X68">
        <v>4</v>
      </c>
      <c r="Y68" s="6">
        <v>46143</v>
      </c>
      <c r="Z68">
        <v>2</v>
      </c>
    </row>
    <row r="69" spans="1:26" x14ac:dyDescent="0.3">
      <c r="A69" t="s">
        <v>172</v>
      </c>
      <c r="B69" s="5">
        <v>46174</v>
      </c>
      <c r="C69" s="5">
        <v>46175</v>
      </c>
      <c r="D69" s="5">
        <v>46178</v>
      </c>
      <c r="E69" s="5">
        <v>46179</v>
      </c>
      <c r="F69" t="s">
        <v>32</v>
      </c>
      <c r="G69" t="s">
        <v>55</v>
      </c>
      <c r="H69" t="s">
        <v>23</v>
      </c>
      <c r="I69" t="s">
        <v>45</v>
      </c>
      <c r="J69">
        <v>127.8</v>
      </c>
      <c r="K69">
        <v>333.1</v>
      </c>
      <c r="L69">
        <v>1586000</v>
      </c>
      <c r="M69" t="b">
        <v>0</v>
      </c>
      <c r="N69" t="b">
        <v>0</v>
      </c>
      <c r="O69">
        <v>1000</v>
      </c>
      <c r="P69" t="b">
        <v>0</v>
      </c>
      <c r="Q69" t="b">
        <v>0</v>
      </c>
      <c r="R69" t="b">
        <v>0</v>
      </c>
      <c r="S69" t="s">
        <v>101</v>
      </c>
      <c r="T69" t="s">
        <v>1633</v>
      </c>
      <c r="U69">
        <v>33.31</v>
      </c>
      <c r="V69">
        <v>0</v>
      </c>
      <c r="W69">
        <v>0</v>
      </c>
      <c r="X69">
        <v>4</v>
      </c>
      <c r="Y69" s="6">
        <v>46174</v>
      </c>
      <c r="Z69">
        <v>1</v>
      </c>
    </row>
    <row r="70" spans="1:26" x14ac:dyDescent="0.3">
      <c r="A70" t="s">
        <v>173</v>
      </c>
      <c r="B70" s="5">
        <v>46107</v>
      </c>
      <c r="C70" s="5">
        <v>46108</v>
      </c>
      <c r="D70" s="5">
        <v>46112</v>
      </c>
      <c r="E70" s="5">
        <v>46112</v>
      </c>
      <c r="F70" t="s">
        <v>32</v>
      </c>
      <c r="G70" t="s">
        <v>62</v>
      </c>
      <c r="H70" t="s">
        <v>20</v>
      </c>
      <c r="I70" t="s">
        <v>42</v>
      </c>
      <c r="J70">
        <v>612.70000000000005</v>
      </c>
      <c r="K70">
        <v>10755.2</v>
      </c>
      <c r="L70">
        <v>15363000</v>
      </c>
      <c r="M70" t="b">
        <v>0</v>
      </c>
      <c r="N70" t="b">
        <v>0</v>
      </c>
      <c r="O70">
        <v>16000</v>
      </c>
      <c r="P70" t="b">
        <v>0</v>
      </c>
      <c r="Q70" t="b">
        <v>0</v>
      </c>
      <c r="R70" t="b">
        <v>0</v>
      </c>
      <c r="S70" t="s">
        <v>96</v>
      </c>
      <c r="T70" t="s">
        <v>1641</v>
      </c>
      <c r="U70">
        <v>67.22</v>
      </c>
      <c r="V70">
        <v>0</v>
      </c>
      <c r="W70">
        <v>0</v>
      </c>
      <c r="X70">
        <v>4</v>
      </c>
      <c r="Y70" s="6">
        <v>46082</v>
      </c>
    </row>
    <row r="71" spans="1:26" x14ac:dyDescent="0.3">
      <c r="A71" t="s">
        <v>174</v>
      </c>
      <c r="B71" s="5">
        <v>46112</v>
      </c>
      <c r="C71" s="5">
        <v>46113</v>
      </c>
      <c r="D71" s="5">
        <v>46116</v>
      </c>
      <c r="E71" s="5">
        <v>46117</v>
      </c>
      <c r="F71" t="s">
        <v>31</v>
      </c>
      <c r="G71" t="s">
        <v>52</v>
      </c>
      <c r="H71" t="s">
        <v>20</v>
      </c>
      <c r="I71" t="s">
        <v>44</v>
      </c>
      <c r="J71">
        <v>302.2</v>
      </c>
      <c r="K71">
        <v>647.79999999999995</v>
      </c>
      <c r="L71">
        <v>3964000</v>
      </c>
      <c r="M71" t="b">
        <v>0</v>
      </c>
      <c r="N71" t="b">
        <v>0</v>
      </c>
      <c r="O71">
        <v>1500</v>
      </c>
      <c r="P71" t="b">
        <v>0</v>
      </c>
      <c r="Q71" t="b">
        <v>0</v>
      </c>
      <c r="R71" t="b">
        <v>0</v>
      </c>
      <c r="S71" t="s">
        <v>101</v>
      </c>
      <c r="T71" t="s">
        <v>1618</v>
      </c>
      <c r="U71">
        <v>43.18666666666666</v>
      </c>
      <c r="V71">
        <v>0</v>
      </c>
      <c r="W71">
        <v>0</v>
      </c>
      <c r="X71">
        <v>4</v>
      </c>
      <c r="Y71" s="6">
        <v>46113</v>
      </c>
      <c r="Z71">
        <v>1</v>
      </c>
    </row>
    <row r="72" spans="1:26" x14ac:dyDescent="0.3">
      <c r="A72" t="s">
        <v>175</v>
      </c>
      <c r="B72" s="5">
        <v>46077</v>
      </c>
      <c r="C72" s="5">
        <v>46078</v>
      </c>
      <c r="D72" s="5">
        <v>46082</v>
      </c>
      <c r="E72" s="5">
        <v>46082</v>
      </c>
      <c r="F72" t="s">
        <v>33</v>
      </c>
      <c r="G72" t="s">
        <v>54</v>
      </c>
      <c r="H72" t="s">
        <v>23</v>
      </c>
      <c r="I72" t="s">
        <v>44</v>
      </c>
      <c r="J72">
        <v>793.2</v>
      </c>
      <c r="L72">
        <v>8855000</v>
      </c>
      <c r="M72" t="b">
        <v>0</v>
      </c>
      <c r="N72" t="b">
        <v>1</v>
      </c>
      <c r="O72">
        <v>1500</v>
      </c>
      <c r="P72" t="b">
        <v>0</v>
      </c>
      <c r="Q72" t="b">
        <v>0</v>
      </c>
      <c r="R72" t="b">
        <v>1</v>
      </c>
      <c r="S72" t="s">
        <v>96</v>
      </c>
      <c r="T72" t="s">
        <v>1642</v>
      </c>
      <c r="V72">
        <v>0</v>
      </c>
      <c r="W72">
        <v>1</v>
      </c>
      <c r="X72">
        <v>4</v>
      </c>
      <c r="Y72" s="6">
        <v>46054</v>
      </c>
    </row>
    <row r="73" spans="1:26" x14ac:dyDescent="0.3">
      <c r="A73" t="s">
        <v>176</v>
      </c>
      <c r="B73" s="5">
        <v>46197</v>
      </c>
      <c r="C73" s="5">
        <v>46199</v>
      </c>
      <c r="D73" s="5">
        <v>46201</v>
      </c>
      <c r="E73" s="5">
        <v>46201</v>
      </c>
      <c r="F73" t="s">
        <v>31</v>
      </c>
      <c r="G73" t="s">
        <v>52</v>
      </c>
      <c r="H73" t="s">
        <v>20</v>
      </c>
      <c r="I73" t="s">
        <v>45</v>
      </c>
      <c r="J73">
        <v>286</v>
      </c>
      <c r="K73">
        <v>133.1</v>
      </c>
      <c r="L73">
        <v>2969000</v>
      </c>
      <c r="M73" t="b">
        <v>0</v>
      </c>
      <c r="N73" t="b">
        <v>0</v>
      </c>
      <c r="O73">
        <v>1000</v>
      </c>
      <c r="P73" t="b">
        <v>0</v>
      </c>
      <c r="Q73" t="b">
        <v>0</v>
      </c>
      <c r="R73" t="b">
        <v>0</v>
      </c>
      <c r="S73" t="s">
        <v>96</v>
      </c>
      <c r="T73" t="s">
        <v>1618</v>
      </c>
      <c r="U73">
        <v>13.31</v>
      </c>
      <c r="V73">
        <v>0</v>
      </c>
      <c r="W73">
        <v>0</v>
      </c>
      <c r="X73">
        <v>2</v>
      </c>
      <c r="Y73" s="6">
        <v>46174</v>
      </c>
    </row>
    <row r="74" spans="1:26" x14ac:dyDescent="0.3">
      <c r="A74" t="s">
        <v>177</v>
      </c>
      <c r="B74" s="5">
        <v>46153</v>
      </c>
      <c r="C74" s="5">
        <v>46154</v>
      </c>
      <c r="D74" s="5">
        <v>46157</v>
      </c>
      <c r="E74" s="5">
        <v>46157</v>
      </c>
      <c r="F74" t="s">
        <v>31</v>
      </c>
      <c r="G74" t="s">
        <v>54</v>
      </c>
      <c r="H74" t="s">
        <v>22</v>
      </c>
      <c r="I74" t="s">
        <v>45</v>
      </c>
      <c r="J74">
        <v>514.20000000000005</v>
      </c>
      <c r="K74">
        <v>673.8</v>
      </c>
      <c r="L74">
        <v>5169000</v>
      </c>
      <c r="M74" t="b">
        <v>0</v>
      </c>
      <c r="N74" t="b">
        <v>0</v>
      </c>
      <c r="O74">
        <v>1000</v>
      </c>
      <c r="P74" t="b">
        <v>0</v>
      </c>
      <c r="Q74" t="b">
        <v>0</v>
      </c>
      <c r="R74" t="b">
        <v>0</v>
      </c>
      <c r="S74" t="s">
        <v>96</v>
      </c>
      <c r="T74" t="s">
        <v>1631</v>
      </c>
      <c r="U74">
        <v>67.38</v>
      </c>
      <c r="V74">
        <v>0</v>
      </c>
      <c r="W74">
        <v>0</v>
      </c>
      <c r="X74">
        <v>3</v>
      </c>
      <c r="Y74" s="6">
        <v>46143</v>
      </c>
    </row>
    <row r="75" spans="1:26" x14ac:dyDescent="0.3">
      <c r="A75" t="s">
        <v>178</v>
      </c>
      <c r="B75" s="5">
        <v>46108</v>
      </c>
      <c r="C75" s="5">
        <v>46109</v>
      </c>
      <c r="D75" s="5">
        <v>46114</v>
      </c>
      <c r="E75" s="5">
        <v>46117</v>
      </c>
      <c r="F75" t="s">
        <v>33</v>
      </c>
      <c r="G75" t="s">
        <v>61</v>
      </c>
      <c r="H75" t="s">
        <v>22</v>
      </c>
      <c r="I75" t="s">
        <v>43</v>
      </c>
      <c r="J75">
        <v>625.1</v>
      </c>
      <c r="K75">
        <v>3001</v>
      </c>
      <c r="L75">
        <v>8598000</v>
      </c>
      <c r="M75" t="b">
        <v>0</v>
      </c>
      <c r="N75" t="b">
        <v>0</v>
      </c>
      <c r="O75">
        <v>5000</v>
      </c>
      <c r="P75" t="b">
        <v>0</v>
      </c>
      <c r="Q75" t="b">
        <v>0</v>
      </c>
      <c r="R75" t="b">
        <v>0</v>
      </c>
      <c r="S75" t="s">
        <v>101</v>
      </c>
      <c r="T75" t="s">
        <v>1643</v>
      </c>
      <c r="U75">
        <v>60.02</v>
      </c>
      <c r="V75">
        <v>0</v>
      </c>
      <c r="W75">
        <v>0</v>
      </c>
      <c r="X75">
        <v>8</v>
      </c>
      <c r="Y75" s="6">
        <v>46082</v>
      </c>
      <c r="Z75">
        <v>3</v>
      </c>
    </row>
    <row r="76" spans="1:26" x14ac:dyDescent="0.3">
      <c r="A76" t="s">
        <v>179</v>
      </c>
      <c r="B76" s="5">
        <v>46024</v>
      </c>
      <c r="C76" s="5">
        <v>46024</v>
      </c>
      <c r="D76" s="5">
        <v>46028</v>
      </c>
      <c r="E76" s="5">
        <v>46028</v>
      </c>
      <c r="F76" t="s">
        <v>34</v>
      </c>
      <c r="G76" t="s">
        <v>60</v>
      </c>
      <c r="H76" t="s">
        <v>23</v>
      </c>
      <c r="I76" t="s">
        <v>43</v>
      </c>
      <c r="J76">
        <v>604.4</v>
      </c>
      <c r="K76">
        <v>1084.4000000000001</v>
      </c>
      <c r="L76">
        <v>7956000</v>
      </c>
      <c r="M76" t="b">
        <v>0</v>
      </c>
      <c r="N76" t="b">
        <v>0</v>
      </c>
      <c r="O76">
        <v>5000</v>
      </c>
      <c r="P76" t="b">
        <v>0</v>
      </c>
      <c r="Q76" t="b">
        <v>0</v>
      </c>
      <c r="R76" t="b">
        <v>0</v>
      </c>
      <c r="S76" t="s">
        <v>96</v>
      </c>
      <c r="T76" t="s">
        <v>1644</v>
      </c>
      <c r="U76">
        <v>21.687999999999999</v>
      </c>
      <c r="V76">
        <v>0</v>
      </c>
      <c r="W76">
        <v>0</v>
      </c>
      <c r="X76">
        <v>4</v>
      </c>
      <c r="Y76" s="6">
        <v>46023</v>
      </c>
    </row>
    <row r="77" spans="1:26" x14ac:dyDescent="0.3">
      <c r="A77" t="s">
        <v>180</v>
      </c>
      <c r="B77" s="5">
        <v>46084</v>
      </c>
      <c r="C77" s="5">
        <v>46085</v>
      </c>
      <c r="D77" s="5">
        <v>46086</v>
      </c>
      <c r="E77" s="5">
        <v>46087</v>
      </c>
      <c r="F77" t="s">
        <v>31</v>
      </c>
      <c r="G77" t="s">
        <v>61</v>
      </c>
      <c r="H77" t="s">
        <v>21</v>
      </c>
      <c r="I77" t="s">
        <v>44</v>
      </c>
      <c r="J77">
        <v>56</v>
      </c>
      <c r="K77">
        <v>1065.5</v>
      </c>
      <c r="L77">
        <v>1418000</v>
      </c>
      <c r="M77" t="b">
        <v>0</v>
      </c>
      <c r="N77" t="b">
        <v>0</v>
      </c>
      <c r="O77">
        <v>1500</v>
      </c>
      <c r="P77" t="b">
        <v>0</v>
      </c>
      <c r="Q77" t="b">
        <v>0</v>
      </c>
      <c r="R77" t="b">
        <v>0</v>
      </c>
      <c r="S77" t="s">
        <v>101</v>
      </c>
      <c r="T77" t="s">
        <v>1645</v>
      </c>
      <c r="U77">
        <v>71.033333333333331</v>
      </c>
      <c r="V77">
        <v>0</v>
      </c>
      <c r="W77">
        <v>0</v>
      </c>
      <c r="X77">
        <v>2</v>
      </c>
      <c r="Y77" s="6">
        <v>46082</v>
      </c>
      <c r="Z77">
        <v>1</v>
      </c>
    </row>
    <row r="78" spans="1:26" x14ac:dyDescent="0.3">
      <c r="A78" t="s">
        <v>181</v>
      </c>
      <c r="B78" s="5">
        <v>46123</v>
      </c>
      <c r="C78" s="5">
        <v>46124</v>
      </c>
      <c r="D78" s="5">
        <v>46127</v>
      </c>
      <c r="E78" s="5">
        <v>46127</v>
      </c>
      <c r="F78" t="s">
        <v>34</v>
      </c>
      <c r="G78" t="s">
        <v>58</v>
      </c>
      <c r="H78" t="s">
        <v>20</v>
      </c>
      <c r="I78" t="s">
        <v>42</v>
      </c>
      <c r="J78">
        <v>155</v>
      </c>
      <c r="K78">
        <v>10389.299999999999</v>
      </c>
      <c r="L78">
        <v>6722000</v>
      </c>
      <c r="M78" t="b">
        <v>0</v>
      </c>
      <c r="N78" t="b">
        <v>0</v>
      </c>
      <c r="O78">
        <v>16000</v>
      </c>
      <c r="P78" t="b">
        <v>0</v>
      </c>
      <c r="Q78" t="b">
        <v>0</v>
      </c>
      <c r="R78" t="b">
        <v>0</v>
      </c>
      <c r="S78" t="s">
        <v>96</v>
      </c>
      <c r="T78" t="s">
        <v>1637</v>
      </c>
      <c r="U78">
        <v>64.93312499999999</v>
      </c>
      <c r="V78">
        <v>0</v>
      </c>
      <c r="W78">
        <v>0</v>
      </c>
      <c r="X78">
        <v>3</v>
      </c>
      <c r="Y78" s="6">
        <v>46113</v>
      </c>
    </row>
    <row r="79" spans="1:26" x14ac:dyDescent="0.3">
      <c r="A79" t="s">
        <v>182</v>
      </c>
      <c r="B79" s="5">
        <v>46057</v>
      </c>
      <c r="C79" s="5">
        <v>46057</v>
      </c>
      <c r="D79" s="5">
        <v>46061</v>
      </c>
      <c r="E79" s="5">
        <v>46062</v>
      </c>
      <c r="F79" t="s">
        <v>33</v>
      </c>
      <c r="G79" t="s">
        <v>54</v>
      </c>
      <c r="H79" t="s">
        <v>20</v>
      </c>
      <c r="I79" t="s">
        <v>42</v>
      </c>
      <c r="J79">
        <v>936.8</v>
      </c>
      <c r="K79">
        <v>13606.3</v>
      </c>
      <c r="L79">
        <v>20939000</v>
      </c>
      <c r="M79" t="b">
        <v>0</v>
      </c>
      <c r="N79" t="b">
        <v>0</v>
      </c>
      <c r="O79">
        <v>16000</v>
      </c>
      <c r="P79" t="b">
        <v>0</v>
      </c>
      <c r="Q79" t="b">
        <v>0</v>
      </c>
      <c r="R79" t="b">
        <v>0</v>
      </c>
      <c r="S79" t="s">
        <v>101</v>
      </c>
      <c r="T79" t="s">
        <v>1642</v>
      </c>
      <c r="U79">
        <v>85.039374999999993</v>
      </c>
      <c r="V79">
        <v>0</v>
      </c>
      <c r="W79">
        <v>0</v>
      </c>
      <c r="X79">
        <v>5</v>
      </c>
      <c r="Y79" s="6">
        <v>46054</v>
      </c>
      <c r="Z79">
        <v>1</v>
      </c>
    </row>
    <row r="80" spans="1:26" x14ac:dyDescent="0.3">
      <c r="A80" t="s">
        <v>183</v>
      </c>
      <c r="B80" s="5">
        <v>46048</v>
      </c>
      <c r="C80" s="5">
        <v>46050</v>
      </c>
      <c r="D80" s="5">
        <v>46054</v>
      </c>
      <c r="E80" s="5">
        <v>46054</v>
      </c>
      <c r="F80" t="s">
        <v>34</v>
      </c>
      <c r="G80" t="s">
        <v>56</v>
      </c>
      <c r="H80" t="s">
        <v>24</v>
      </c>
      <c r="I80" t="s">
        <v>44</v>
      </c>
      <c r="J80">
        <v>878.3</v>
      </c>
      <c r="K80">
        <v>953</v>
      </c>
      <c r="L80">
        <v>9083000</v>
      </c>
      <c r="M80" t="b">
        <v>0</v>
      </c>
      <c r="N80" t="b">
        <v>0</v>
      </c>
      <c r="O80">
        <v>1500</v>
      </c>
      <c r="P80" t="b">
        <v>0</v>
      </c>
      <c r="Q80" t="b">
        <v>0</v>
      </c>
      <c r="R80" t="b">
        <v>0</v>
      </c>
      <c r="S80" t="s">
        <v>96</v>
      </c>
      <c r="T80" t="s">
        <v>1646</v>
      </c>
      <c r="U80">
        <v>63.533333333333331</v>
      </c>
      <c r="V80">
        <v>0</v>
      </c>
      <c r="W80">
        <v>0</v>
      </c>
      <c r="X80">
        <v>4</v>
      </c>
      <c r="Y80" s="6">
        <v>46023</v>
      </c>
    </row>
    <row r="81" spans="1:26" x14ac:dyDescent="0.3">
      <c r="A81" t="s">
        <v>184</v>
      </c>
      <c r="B81" s="5">
        <v>46120</v>
      </c>
      <c r="C81" s="5">
        <v>46120</v>
      </c>
      <c r="D81" s="5">
        <v>46123</v>
      </c>
      <c r="E81" s="5">
        <v>46123</v>
      </c>
      <c r="F81" t="s">
        <v>32</v>
      </c>
      <c r="G81" t="s">
        <v>60</v>
      </c>
      <c r="H81" t="s">
        <v>23</v>
      </c>
      <c r="I81" t="s">
        <v>44</v>
      </c>
      <c r="J81">
        <v>441.6</v>
      </c>
      <c r="K81">
        <v>1016.7</v>
      </c>
      <c r="L81">
        <v>5731000</v>
      </c>
      <c r="M81" t="b">
        <v>0</v>
      </c>
      <c r="N81" t="b">
        <v>0</v>
      </c>
      <c r="O81">
        <v>1500</v>
      </c>
      <c r="P81" t="b">
        <v>0</v>
      </c>
      <c r="Q81" t="b">
        <v>0</v>
      </c>
      <c r="R81" t="b">
        <v>0</v>
      </c>
      <c r="S81" t="s">
        <v>96</v>
      </c>
      <c r="T81" t="s">
        <v>1647</v>
      </c>
      <c r="U81">
        <v>67.78</v>
      </c>
      <c r="V81">
        <v>0</v>
      </c>
      <c r="W81">
        <v>0</v>
      </c>
      <c r="X81">
        <v>3</v>
      </c>
      <c r="Y81" s="6">
        <v>46113</v>
      </c>
    </row>
    <row r="82" spans="1:26" x14ac:dyDescent="0.3">
      <c r="A82" t="s">
        <v>185</v>
      </c>
      <c r="B82" s="5">
        <v>46035</v>
      </c>
      <c r="C82" s="5">
        <v>46036</v>
      </c>
      <c r="D82" s="5">
        <v>46039</v>
      </c>
      <c r="E82" s="5">
        <v>46038</v>
      </c>
      <c r="F82" t="s">
        <v>32</v>
      </c>
      <c r="G82" t="s">
        <v>60</v>
      </c>
      <c r="H82" t="s">
        <v>20</v>
      </c>
      <c r="I82" t="s">
        <v>42</v>
      </c>
      <c r="J82">
        <v>443.6</v>
      </c>
      <c r="K82">
        <v>10580.6</v>
      </c>
      <c r="L82">
        <v>14125000</v>
      </c>
      <c r="M82" t="b">
        <v>0</v>
      </c>
      <c r="N82" t="b">
        <v>0</v>
      </c>
      <c r="O82">
        <v>16000</v>
      </c>
      <c r="P82" t="b">
        <v>0</v>
      </c>
      <c r="Q82" t="b">
        <v>0</v>
      </c>
      <c r="R82" t="b">
        <v>0</v>
      </c>
      <c r="S82" t="s">
        <v>96</v>
      </c>
      <c r="T82" t="s">
        <v>1647</v>
      </c>
      <c r="U82">
        <v>66.128749999999997</v>
      </c>
      <c r="V82">
        <v>0</v>
      </c>
      <c r="W82">
        <v>0</v>
      </c>
      <c r="X82">
        <v>2</v>
      </c>
      <c r="Y82" s="6">
        <v>46023</v>
      </c>
    </row>
    <row r="83" spans="1:26" x14ac:dyDescent="0.3">
      <c r="A83" t="s">
        <v>186</v>
      </c>
      <c r="B83" s="5">
        <v>46103</v>
      </c>
      <c r="C83" s="5">
        <v>46103</v>
      </c>
      <c r="D83" s="5">
        <v>46106</v>
      </c>
      <c r="E83" s="5">
        <v>46106</v>
      </c>
      <c r="F83" t="s">
        <v>32</v>
      </c>
      <c r="G83" t="s">
        <v>60</v>
      </c>
      <c r="H83" t="s">
        <v>20</v>
      </c>
      <c r="I83" t="s">
        <v>44</v>
      </c>
      <c r="J83">
        <v>487.4</v>
      </c>
      <c r="K83">
        <v>1013</v>
      </c>
      <c r="L83">
        <v>5102000</v>
      </c>
      <c r="M83" t="b">
        <v>0</v>
      </c>
      <c r="N83" t="b">
        <v>0</v>
      </c>
      <c r="O83">
        <v>1500</v>
      </c>
      <c r="P83" t="b">
        <v>0</v>
      </c>
      <c r="Q83" t="b">
        <v>0</v>
      </c>
      <c r="R83" t="b">
        <v>0</v>
      </c>
      <c r="S83" t="s">
        <v>96</v>
      </c>
      <c r="T83" t="s">
        <v>1647</v>
      </c>
      <c r="U83">
        <v>67.533333333333331</v>
      </c>
      <c r="V83">
        <v>0</v>
      </c>
      <c r="W83">
        <v>0</v>
      </c>
      <c r="X83">
        <v>3</v>
      </c>
      <c r="Y83" s="6">
        <v>46082</v>
      </c>
    </row>
    <row r="84" spans="1:26" x14ac:dyDescent="0.3">
      <c r="A84" t="s">
        <v>187</v>
      </c>
      <c r="B84" s="5">
        <v>46048</v>
      </c>
      <c r="C84" s="5">
        <v>46048</v>
      </c>
      <c r="D84" s="5">
        <v>46050</v>
      </c>
      <c r="E84" s="5">
        <v>46050</v>
      </c>
      <c r="F84" t="s">
        <v>31</v>
      </c>
      <c r="G84" t="s">
        <v>63</v>
      </c>
      <c r="H84" t="s">
        <v>24</v>
      </c>
      <c r="I84" t="s">
        <v>42</v>
      </c>
      <c r="J84">
        <v>288.10000000000002</v>
      </c>
      <c r="K84">
        <v>9083</v>
      </c>
      <c r="L84">
        <v>7847000</v>
      </c>
      <c r="M84" t="b">
        <v>0</v>
      </c>
      <c r="N84" t="b">
        <v>0</v>
      </c>
      <c r="O84">
        <v>16000</v>
      </c>
      <c r="P84" t="b">
        <v>0</v>
      </c>
      <c r="Q84" t="b">
        <v>0</v>
      </c>
      <c r="R84" t="b">
        <v>0</v>
      </c>
      <c r="S84" t="s">
        <v>96</v>
      </c>
      <c r="T84" t="s">
        <v>1640</v>
      </c>
      <c r="U84">
        <v>56.768749999999997</v>
      </c>
      <c r="V84">
        <v>0</v>
      </c>
      <c r="W84">
        <v>0</v>
      </c>
      <c r="X84">
        <v>2</v>
      </c>
      <c r="Y84" s="6">
        <v>46023</v>
      </c>
    </row>
    <row r="85" spans="1:26" x14ac:dyDescent="0.3">
      <c r="A85" t="s">
        <v>188</v>
      </c>
      <c r="B85" s="5">
        <v>46080</v>
      </c>
      <c r="C85" s="5">
        <v>46080</v>
      </c>
      <c r="D85" s="5">
        <v>46083</v>
      </c>
      <c r="E85" s="5">
        <v>46082</v>
      </c>
      <c r="F85" t="s">
        <v>33</v>
      </c>
      <c r="G85" t="s">
        <v>59</v>
      </c>
      <c r="H85" t="s">
        <v>21</v>
      </c>
      <c r="I85" t="s">
        <v>45</v>
      </c>
      <c r="J85">
        <v>491.9</v>
      </c>
      <c r="K85">
        <v>431.5</v>
      </c>
      <c r="L85">
        <v>4762000</v>
      </c>
      <c r="M85" t="b">
        <v>0</v>
      </c>
      <c r="N85" t="b">
        <v>0</v>
      </c>
      <c r="O85">
        <v>1000</v>
      </c>
      <c r="P85" t="b">
        <v>0</v>
      </c>
      <c r="Q85" t="b">
        <v>0</v>
      </c>
      <c r="R85" t="b">
        <v>0</v>
      </c>
      <c r="S85" t="s">
        <v>96</v>
      </c>
      <c r="T85" t="s">
        <v>1648</v>
      </c>
      <c r="U85">
        <v>43.15</v>
      </c>
      <c r="V85">
        <v>0</v>
      </c>
      <c r="W85">
        <v>0</v>
      </c>
      <c r="X85">
        <v>2</v>
      </c>
      <c r="Y85" s="6">
        <v>46054</v>
      </c>
    </row>
    <row r="86" spans="1:26" x14ac:dyDescent="0.3">
      <c r="A86" t="s">
        <v>189</v>
      </c>
      <c r="B86" s="5">
        <v>46042</v>
      </c>
      <c r="C86" s="5">
        <v>46042</v>
      </c>
      <c r="D86" s="5">
        <v>46047</v>
      </c>
      <c r="E86" s="5">
        <v>46048</v>
      </c>
      <c r="F86" t="s">
        <v>34</v>
      </c>
      <c r="G86" t="s">
        <v>62</v>
      </c>
      <c r="H86" t="s">
        <v>23</v>
      </c>
      <c r="I86" t="s">
        <v>45</v>
      </c>
      <c r="J86">
        <v>746</v>
      </c>
      <c r="K86">
        <v>687.4</v>
      </c>
      <c r="L86">
        <v>7724000</v>
      </c>
      <c r="M86" t="b">
        <v>0</v>
      </c>
      <c r="N86" t="b">
        <v>0</v>
      </c>
      <c r="O86">
        <v>1000</v>
      </c>
      <c r="P86" t="b">
        <v>0</v>
      </c>
      <c r="Q86" t="b">
        <v>0</v>
      </c>
      <c r="R86" t="b">
        <v>0</v>
      </c>
      <c r="S86" t="s">
        <v>101</v>
      </c>
      <c r="T86" t="s">
        <v>1649</v>
      </c>
      <c r="U86">
        <v>68.739999999999995</v>
      </c>
      <c r="V86">
        <v>0</v>
      </c>
      <c r="W86">
        <v>0</v>
      </c>
      <c r="X86">
        <v>6</v>
      </c>
      <c r="Y86" s="6">
        <v>46023</v>
      </c>
      <c r="Z86">
        <v>1</v>
      </c>
    </row>
    <row r="87" spans="1:26" x14ac:dyDescent="0.3">
      <c r="A87" t="s">
        <v>190</v>
      </c>
      <c r="B87" s="5">
        <v>46081</v>
      </c>
      <c r="C87" s="5">
        <v>46082</v>
      </c>
      <c r="D87" s="5">
        <v>46083</v>
      </c>
      <c r="E87" s="5">
        <v>46084</v>
      </c>
      <c r="F87" t="s">
        <v>33</v>
      </c>
      <c r="G87" t="s">
        <v>60</v>
      </c>
      <c r="H87" t="s">
        <v>21</v>
      </c>
      <c r="I87" t="s">
        <v>43</v>
      </c>
      <c r="J87">
        <v>25.2</v>
      </c>
      <c r="K87">
        <v>2122.4</v>
      </c>
      <c r="L87">
        <v>1780000</v>
      </c>
      <c r="M87" t="b">
        <v>0</v>
      </c>
      <c r="N87" t="b">
        <v>0</v>
      </c>
      <c r="O87">
        <v>5000</v>
      </c>
      <c r="P87" t="b">
        <v>0</v>
      </c>
      <c r="Q87" t="b">
        <v>0</v>
      </c>
      <c r="R87" t="b">
        <v>0</v>
      </c>
      <c r="S87" t="s">
        <v>101</v>
      </c>
      <c r="T87" t="s">
        <v>1650</v>
      </c>
      <c r="U87">
        <v>42.448</v>
      </c>
      <c r="V87">
        <v>0</v>
      </c>
      <c r="W87">
        <v>0</v>
      </c>
      <c r="X87">
        <v>2</v>
      </c>
      <c r="Y87" s="6">
        <v>46082</v>
      </c>
      <c r="Z87">
        <v>1</v>
      </c>
    </row>
    <row r="88" spans="1:26" x14ac:dyDescent="0.3">
      <c r="A88" t="s">
        <v>191</v>
      </c>
      <c r="B88" s="5">
        <v>46163</v>
      </c>
      <c r="C88" s="5">
        <v>46164</v>
      </c>
      <c r="D88" s="5">
        <v>46165</v>
      </c>
      <c r="E88" s="5">
        <v>46166</v>
      </c>
      <c r="F88" t="s">
        <v>34</v>
      </c>
      <c r="G88" t="s">
        <v>61</v>
      </c>
      <c r="H88" t="s">
        <v>22</v>
      </c>
      <c r="I88" t="s">
        <v>43</v>
      </c>
      <c r="J88">
        <v>30.3</v>
      </c>
      <c r="K88">
        <v>1891.5</v>
      </c>
      <c r="L88">
        <v>2133000</v>
      </c>
      <c r="M88" t="b">
        <v>0</v>
      </c>
      <c r="N88" t="b">
        <v>0</v>
      </c>
      <c r="O88">
        <v>5000</v>
      </c>
      <c r="P88" t="b">
        <v>0</v>
      </c>
      <c r="Q88" t="b">
        <v>0</v>
      </c>
      <c r="R88" t="b">
        <v>0</v>
      </c>
      <c r="S88" t="s">
        <v>101</v>
      </c>
      <c r="T88" t="s">
        <v>1638</v>
      </c>
      <c r="U88">
        <v>37.830000000000013</v>
      </c>
      <c r="V88">
        <v>0</v>
      </c>
      <c r="W88">
        <v>0</v>
      </c>
      <c r="X88">
        <v>2</v>
      </c>
      <c r="Y88" s="6">
        <v>46143</v>
      </c>
      <c r="Z88">
        <v>1</v>
      </c>
    </row>
    <row r="89" spans="1:26" x14ac:dyDescent="0.3">
      <c r="A89" t="s">
        <v>192</v>
      </c>
      <c r="B89" s="5">
        <v>46067</v>
      </c>
      <c r="C89" s="5">
        <v>46069</v>
      </c>
      <c r="D89" s="5">
        <v>46071</v>
      </c>
      <c r="E89" s="5">
        <v>46072</v>
      </c>
      <c r="F89" t="s">
        <v>34</v>
      </c>
      <c r="G89" t="s">
        <v>52</v>
      </c>
      <c r="H89" t="s">
        <v>24</v>
      </c>
      <c r="I89" t="s">
        <v>44</v>
      </c>
      <c r="J89">
        <v>277</v>
      </c>
      <c r="K89">
        <v>1052</v>
      </c>
      <c r="L89">
        <v>3624000</v>
      </c>
      <c r="M89" t="b">
        <v>0</v>
      </c>
      <c r="N89" t="b">
        <v>0</v>
      </c>
      <c r="O89">
        <v>1500</v>
      </c>
      <c r="P89" t="b">
        <v>0</v>
      </c>
      <c r="Q89" t="b">
        <v>0</v>
      </c>
      <c r="R89" t="b">
        <v>0</v>
      </c>
      <c r="S89" t="s">
        <v>101</v>
      </c>
      <c r="T89" t="s">
        <v>1623</v>
      </c>
      <c r="U89">
        <v>70.13333333333334</v>
      </c>
      <c r="V89">
        <v>0</v>
      </c>
      <c r="W89">
        <v>0</v>
      </c>
      <c r="X89">
        <v>3</v>
      </c>
      <c r="Y89" s="6">
        <v>46054</v>
      </c>
      <c r="Z89">
        <v>1</v>
      </c>
    </row>
    <row r="90" spans="1:26" x14ac:dyDescent="0.3">
      <c r="A90" t="s">
        <v>193</v>
      </c>
      <c r="B90" s="5">
        <v>46123</v>
      </c>
      <c r="C90" s="5">
        <v>46124</v>
      </c>
      <c r="D90" s="5">
        <v>46126</v>
      </c>
      <c r="E90" s="5">
        <v>46125</v>
      </c>
      <c r="F90" t="s">
        <v>31</v>
      </c>
      <c r="G90" t="s">
        <v>63</v>
      </c>
      <c r="H90" t="s">
        <v>21</v>
      </c>
      <c r="I90" t="s">
        <v>43</v>
      </c>
      <c r="J90">
        <v>295.2</v>
      </c>
      <c r="K90">
        <v>3261.4</v>
      </c>
      <c r="L90">
        <v>5436000</v>
      </c>
      <c r="M90" t="b">
        <v>0</v>
      </c>
      <c r="N90" t="b">
        <v>0</v>
      </c>
      <c r="O90">
        <v>5000</v>
      </c>
      <c r="P90" t="b">
        <v>0</v>
      </c>
      <c r="Q90" t="b">
        <v>0</v>
      </c>
      <c r="R90" t="b">
        <v>0</v>
      </c>
      <c r="S90" t="s">
        <v>96</v>
      </c>
      <c r="T90" t="s">
        <v>1640</v>
      </c>
      <c r="U90">
        <v>65.227999999999994</v>
      </c>
      <c r="V90">
        <v>0</v>
      </c>
      <c r="W90">
        <v>0</v>
      </c>
      <c r="X90">
        <v>1</v>
      </c>
      <c r="Y90" s="6">
        <v>46113</v>
      </c>
    </row>
    <row r="91" spans="1:26" x14ac:dyDescent="0.3">
      <c r="A91" t="s">
        <v>194</v>
      </c>
      <c r="B91" s="5">
        <v>46120</v>
      </c>
      <c r="C91" s="5">
        <v>46121</v>
      </c>
      <c r="D91" s="5">
        <v>46124</v>
      </c>
      <c r="E91" s="5">
        <v>46124</v>
      </c>
      <c r="F91" t="s">
        <v>33</v>
      </c>
      <c r="G91" t="s">
        <v>53</v>
      </c>
      <c r="H91" t="s">
        <v>22</v>
      </c>
      <c r="I91" t="s">
        <v>43</v>
      </c>
      <c r="J91">
        <v>559.5</v>
      </c>
      <c r="K91">
        <v>3610.7</v>
      </c>
      <c r="L91">
        <v>10076000</v>
      </c>
      <c r="M91" t="b">
        <v>0</v>
      </c>
      <c r="N91" t="b">
        <v>0</v>
      </c>
      <c r="O91">
        <v>5000</v>
      </c>
      <c r="P91" t="b">
        <v>0</v>
      </c>
      <c r="Q91" t="b">
        <v>0</v>
      </c>
      <c r="R91" t="b">
        <v>0</v>
      </c>
      <c r="S91" t="s">
        <v>96</v>
      </c>
      <c r="T91" t="s">
        <v>1632</v>
      </c>
      <c r="U91">
        <v>72.213999999999999</v>
      </c>
      <c r="V91">
        <v>0</v>
      </c>
      <c r="W91">
        <v>0</v>
      </c>
      <c r="X91">
        <v>3</v>
      </c>
      <c r="Y91" s="6">
        <v>46113</v>
      </c>
    </row>
    <row r="92" spans="1:26" x14ac:dyDescent="0.3">
      <c r="A92" t="s">
        <v>195</v>
      </c>
      <c r="B92" s="5">
        <v>46107</v>
      </c>
      <c r="C92" s="5">
        <v>46109</v>
      </c>
      <c r="D92" s="5">
        <v>46114</v>
      </c>
      <c r="E92" s="5">
        <v>46114</v>
      </c>
      <c r="F92" t="s">
        <v>34</v>
      </c>
      <c r="G92" t="s">
        <v>62</v>
      </c>
      <c r="H92" t="s">
        <v>21</v>
      </c>
      <c r="I92" t="s">
        <v>43</v>
      </c>
      <c r="J92">
        <v>783.3</v>
      </c>
      <c r="K92">
        <v>2695.5</v>
      </c>
      <c r="L92">
        <v>11065000</v>
      </c>
      <c r="M92" t="b">
        <v>0</v>
      </c>
      <c r="N92" t="b">
        <v>0</v>
      </c>
      <c r="O92">
        <v>5000</v>
      </c>
      <c r="P92" t="b">
        <v>0</v>
      </c>
      <c r="Q92" t="b">
        <v>0</v>
      </c>
      <c r="R92" t="b">
        <v>0</v>
      </c>
      <c r="S92" t="s">
        <v>96</v>
      </c>
      <c r="T92" t="s">
        <v>1649</v>
      </c>
      <c r="U92">
        <v>53.91</v>
      </c>
      <c r="V92">
        <v>0</v>
      </c>
      <c r="W92">
        <v>0</v>
      </c>
      <c r="X92">
        <v>5</v>
      </c>
      <c r="Y92" s="6">
        <v>46082</v>
      </c>
    </row>
    <row r="93" spans="1:26" x14ac:dyDescent="0.3">
      <c r="A93" t="s">
        <v>196</v>
      </c>
      <c r="B93" s="5">
        <v>46098</v>
      </c>
      <c r="C93" s="5">
        <v>46098</v>
      </c>
      <c r="D93" s="5">
        <v>46102</v>
      </c>
      <c r="E93" s="5">
        <v>46104</v>
      </c>
      <c r="F93" t="s">
        <v>33</v>
      </c>
      <c r="G93" t="s">
        <v>58</v>
      </c>
      <c r="H93" t="s">
        <v>24</v>
      </c>
      <c r="I93" t="s">
        <v>45</v>
      </c>
      <c r="J93">
        <v>646.4</v>
      </c>
      <c r="K93">
        <v>572</v>
      </c>
      <c r="L93">
        <v>5783000</v>
      </c>
      <c r="M93" t="b">
        <v>0</v>
      </c>
      <c r="N93" t="b">
        <v>0</v>
      </c>
      <c r="O93">
        <v>1000</v>
      </c>
      <c r="P93" t="b">
        <v>0</v>
      </c>
      <c r="Q93" t="b">
        <v>0</v>
      </c>
      <c r="R93" t="b">
        <v>0</v>
      </c>
      <c r="S93" t="s">
        <v>101</v>
      </c>
      <c r="T93" t="s">
        <v>1651</v>
      </c>
      <c r="U93">
        <v>57.2</v>
      </c>
      <c r="V93">
        <v>0</v>
      </c>
      <c r="W93">
        <v>0</v>
      </c>
      <c r="X93">
        <v>6</v>
      </c>
      <c r="Y93" s="6">
        <v>46082</v>
      </c>
      <c r="Z93">
        <v>2</v>
      </c>
    </row>
    <row r="94" spans="1:26" x14ac:dyDescent="0.3">
      <c r="A94" t="s">
        <v>197</v>
      </c>
      <c r="B94" s="5">
        <v>46164</v>
      </c>
      <c r="C94" s="5">
        <v>46164</v>
      </c>
      <c r="D94" s="5">
        <v>46167</v>
      </c>
      <c r="E94" s="5">
        <v>46167</v>
      </c>
      <c r="F94" t="s">
        <v>31</v>
      </c>
      <c r="G94" t="s">
        <v>60</v>
      </c>
      <c r="H94" t="s">
        <v>20</v>
      </c>
      <c r="I94" t="s">
        <v>43</v>
      </c>
      <c r="J94">
        <v>590.20000000000005</v>
      </c>
      <c r="K94">
        <v>4333.8999999999996</v>
      </c>
      <c r="L94">
        <v>10555000</v>
      </c>
      <c r="M94" t="b">
        <v>0</v>
      </c>
      <c r="N94" t="b">
        <v>0</v>
      </c>
      <c r="O94">
        <v>5000</v>
      </c>
      <c r="P94" t="b">
        <v>0</v>
      </c>
      <c r="Q94" t="b">
        <v>0</v>
      </c>
      <c r="R94" t="b">
        <v>0</v>
      </c>
      <c r="S94" t="s">
        <v>96</v>
      </c>
      <c r="T94" t="s">
        <v>1652</v>
      </c>
      <c r="U94">
        <v>86.677999999999983</v>
      </c>
      <c r="V94">
        <v>0</v>
      </c>
      <c r="W94">
        <v>0</v>
      </c>
      <c r="X94">
        <v>3</v>
      </c>
      <c r="Y94" s="6">
        <v>46143</v>
      </c>
    </row>
    <row r="95" spans="1:26" x14ac:dyDescent="0.3">
      <c r="A95" t="s">
        <v>198</v>
      </c>
      <c r="B95" s="5">
        <v>46077</v>
      </c>
      <c r="C95" s="5">
        <v>46077</v>
      </c>
      <c r="D95" s="5">
        <v>46078</v>
      </c>
      <c r="E95" s="5">
        <v>46078</v>
      </c>
      <c r="F95" t="s">
        <v>33</v>
      </c>
      <c r="G95" t="s">
        <v>60</v>
      </c>
      <c r="H95" t="s">
        <v>22</v>
      </c>
      <c r="I95" t="s">
        <v>43</v>
      </c>
      <c r="J95">
        <v>15.7</v>
      </c>
      <c r="K95">
        <v>3660.8</v>
      </c>
      <c r="L95">
        <v>2475000</v>
      </c>
      <c r="M95" t="b">
        <v>0</v>
      </c>
      <c r="N95" t="b">
        <v>0</v>
      </c>
      <c r="O95">
        <v>5000</v>
      </c>
      <c r="P95" t="b">
        <v>0</v>
      </c>
      <c r="Q95" t="b">
        <v>0</v>
      </c>
      <c r="R95" t="b">
        <v>0</v>
      </c>
      <c r="S95" t="s">
        <v>96</v>
      </c>
      <c r="T95" t="s">
        <v>1650</v>
      </c>
      <c r="U95">
        <v>73.216000000000008</v>
      </c>
      <c r="V95">
        <v>0</v>
      </c>
      <c r="W95">
        <v>0</v>
      </c>
      <c r="X95">
        <v>1</v>
      </c>
      <c r="Y95" s="6">
        <v>46054</v>
      </c>
    </row>
    <row r="96" spans="1:26" x14ac:dyDescent="0.3">
      <c r="A96" t="s">
        <v>199</v>
      </c>
      <c r="B96" s="5">
        <v>46190</v>
      </c>
      <c r="C96" s="5">
        <v>46191</v>
      </c>
      <c r="D96" s="5">
        <v>46192</v>
      </c>
      <c r="E96" s="5">
        <v>46194</v>
      </c>
      <c r="F96" t="s">
        <v>33</v>
      </c>
      <c r="G96" t="s">
        <v>60</v>
      </c>
      <c r="H96" t="s">
        <v>22</v>
      </c>
      <c r="I96" t="s">
        <v>44</v>
      </c>
      <c r="J96">
        <v>27.1</v>
      </c>
      <c r="K96">
        <v>558.5</v>
      </c>
      <c r="L96">
        <v>1052000</v>
      </c>
      <c r="M96" t="b">
        <v>0</v>
      </c>
      <c r="N96" t="b">
        <v>0</v>
      </c>
      <c r="O96">
        <v>1500</v>
      </c>
      <c r="P96" t="b">
        <v>0</v>
      </c>
      <c r="Q96" t="b">
        <v>0</v>
      </c>
      <c r="R96" t="b">
        <v>0</v>
      </c>
      <c r="S96" t="s">
        <v>101</v>
      </c>
      <c r="T96" t="s">
        <v>1650</v>
      </c>
      <c r="U96">
        <v>37.233333333333327</v>
      </c>
      <c r="V96">
        <v>0</v>
      </c>
      <c r="W96">
        <v>0</v>
      </c>
      <c r="X96">
        <v>3</v>
      </c>
      <c r="Y96" s="6">
        <v>46174</v>
      </c>
      <c r="Z96">
        <v>2</v>
      </c>
    </row>
    <row r="97" spans="1:26" x14ac:dyDescent="0.3">
      <c r="A97" t="s">
        <v>200</v>
      </c>
      <c r="B97" s="5">
        <v>46042</v>
      </c>
      <c r="C97" s="5">
        <v>46043</v>
      </c>
      <c r="D97" s="5">
        <v>46046</v>
      </c>
      <c r="E97" s="5">
        <v>46046</v>
      </c>
      <c r="F97" t="s">
        <v>34</v>
      </c>
      <c r="G97" t="s">
        <v>59</v>
      </c>
      <c r="H97" t="s">
        <v>24</v>
      </c>
      <c r="I97" t="s">
        <v>42</v>
      </c>
      <c r="J97">
        <v>300.10000000000002</v>
      </c>
      <c r="K97">
        <v>3243.1</v>
      </c>
      <c r="L97">
        <v>7680000</v>
      </c>
      <c r="M97" t="b">
        <v>0</v>
      </c>
      <c r="N97" t="b">
        <v>0</v>
      </c>
      <c r="O97">
        <v>16000</v>
      </c>
      <c r="P97" t="b">
        <v>0</v>
      </c>
      <c r="Q97" t="b">
        <v>0</v>
      </c>
      <c r="R97" t="b">
        <v>0</v>
      </c>
      <c r="S97" t="s">
        <v>96</v>
      </c>
      <c r="T97" t="s">
        <v>1616</v>
      </c>
      <c r="U97">
        <v>20.269375</v>
      </c>
      <c r="V97">
        <v>0</v>
      </c>
      <c r="W97">
        <v>0</v>
      </c>
      <c r="X97">
        <v>3</v>
      </c>
      <c r="Y97" s="6">
        <v>46023</v>
      </c>
    </row>
    <row r="98" spans="1:26" x14ac:dyDescent="0.3">
      <c r="A98" t="s">
        <v>201</v>
      </c>
      <c r="B98" s="5">
        <v>46179</v>
      </c>
      <c r="C98" s="5">
        <v>46180</v>
      </c>
      <c r="D98" s="5">
        <v>46183</v>
      </c>
      <c r="E98" s="5">
        <v>46183</v>
      </c>
      <c r="F98" t="s">
        <v>33</v>
      </c>
      <c r="G98" t="s">
        <v>55</v>
      </c>
      <c r="H98" t="s">
        <v>21</v>
      </c>
      <c r="I98" t="s">
        <v>45</v>
      </c>
      <c r="J98">
        <v>578.29999999999995</v>
      </c>
      <c r="K98">
        <v>572.70000000000005</v>
      </c>
      <c r="L98">
        <v>5936000</v>
      </c>
      <c r="M98" t="b">
        <v>0</v>
      </c>
      <c r="N98" t="b">
        <v>0</v>
      </c>
      <c r="O98">
        <v>1000</v>
      </c>
      <c r="P98" t="b">
        <v>0</v>
      </c>
      <c r="Q98" t="b">
        <v>0</v>
      </c>
      <c r="R98" t="b">
        <v>0</v>
      </c>
      <c r="S98" t="s">
        <v>96</v>
      </c>
      <c r="T98" t="s">
        <v>1626</v>
      </c>
      <c r="U98">
        <v>57.27000000000001</v>
      </c>
      <c r="V98">
        <v>0</v>
      </c>
      <c r="W98">
        <v>0</v>
      </c>
      <c r="X98">
        <v>3</v>
      </c>
      <c r="Y98" s="6">
        <v>46174</v>
      </c>
    </row>
    <row r="99" spans="1:26" x14ac:dyDescent="0.3">
      <c r="A99" t="s">
        <v>202</v>
      </c>
      <c r="B99" s="5">
        <v>46108</v>
      </c>
      <c r="C99" s="5">
        <v>46108</v>
      </c>
      <c r="D99" s="5">
        <v>46112</v>
      </c>
      <c r="E99" s="5"/>
      <c r="F99" t="s">
        <v>34</v>
      </c>
      <c r="G99" t="s">
        <v>62</v>
      </c>
      <c r="H99" t="s">
        <v>24</v>
      </c>
      <c r="I99" t="s">
        <v>43</v>
      </c>
      <c r="J99">
        <v>770.3</v>
      </c>
      <c r="K99">
        <v>2060.6999999999998</v>
      </c>
      <c r="L99">
        <v>12273000</v>
      </c>
      <c r="M99" t="b">
        <v>0</v>
      </c>
      <c r="N99" t="b">
        <v>0</v>
      </c>
      <c r="O99">
        <v>5000</v>
      </c>
      <c r="P99" t="b">
        <v>0</v>
      </c>
      <c r="Q99" t="b">
        <v>0</v>
      </c>
      <c r="R99" t="b">
        <v>0</v>
      </c>
      <c r="S99" t="s">
        <v>203</v>
      </c>
      <c r="T99" t="s">
        <v>1649</v>
      </c>
      <c r="U99">
        <v>41.213999999999999</v>
      </c>
      <c r="V99">
        <v>0</v>
      </c>
      <c r="W99">
        <v>0</v>
      </c>
      <c r="Y99" s="6">
        <v>46082</v>
      </c>
    </row>
    <row r="100" spans="1:26" x14ac:dyDescent="0.3">
      <c r="A100" t="s">
        <v>204</v>
      </c>
      <c r="B100" s="5">
        <v>46189</v>
      </c>
      <c r="C100" s="5">
        <v>46190</v>
      </c>
      <c r="D100" s="5">
        <v>46192</v>
      </c>
      <c r="E100" s="5">
        <v>46192</v>
      </c>
      <c r="F100" t="s">
        <v>31</v>
      </c>
      <c r="G100" t="s">
        <v>63</v>
      </c>
      <c r="H100" t="s">
        <v>22</v>
      </c>
      <c r="I100" t="s">
        <v>43</v>
      </c>
      <c r="J100">
        <v>294.5</v>
      </c>
      <c r="K100">
        <v>3669.3</v>
      </c>
      <c r="L100">
        <v>5998000</v>
      </c>
      <c r="M100" t="b">
        <v>0</v>
      </c>
      <c r="N100" t="b">
        <v>0</v>
      </c>
      <c r="O100">
        <v>5000</v>
      </c>
      <c r="P100" t="b">
        <v>0</v>
      </c>
      <c r="Q100" t="b">
        <v>0</v>
      </c>
      <c r="R100" t="b">
        <v>0</v>
      </c>
      <c r="S100" t="s">
        <v>96</v>
      </c>
      <c r="T100" t="s">
        <v>1640</v>
      </c>
      <c r="U100">
        <v>73.38600000000001</v>
      </c>
      <c r="V100">
        <v>0</v>
      </c>
      <c r="W100">
        <v>0</v>
      </c>
      <c r="X100">
        <v>2</v>
      </c>
      <c r="Y100" s="6">
        <v>46174</v>
      </c>
    </row>
    <row r="101" spans="1:26" x14ac:dyDescent="0.3">
      <c r="A101" t="s">
        <v>205</v>
      </c>
      <c r="B101" s="5">
        <v>46153</v>
      </c>
      <c r="C101" s="5">
        <v>46153</v>
      </c>
      <c r="D101" s="5">
        <v>46155</v>
      </c>
      <c r="E101" s="5">
        <v>46157</v>
      </c>
      <c r="F101" t="s">
        <v>31</v>
      </c>
      <c r="G101" t="s">
        <v>53</v>
      </c>
      <c r="H101" t="s">
        <v>23</v>
      </c>
      <c r="I101" t="s">
        <v>42</v>
      </c>
      <c r="J101">
        <v>261.2</v>
      </c>
      <c r="K101">
        <v>2862</v>
      </c>
      <c r="L101">
        <v>5865000</v>
      </c>
      <c r="M101" t="b">
        <v>0</v>
      </c>
      <c r="N101" t="b">
        <v>0</v>
      </c>
      <c r="O101">
        <v>16000</v>
      </c>
      <c r="P101" t="b">
        <v>0</v>
      </c>
      <c r="Q101" t="b">
        <v>0</v>
      </c>
      <c r="R101" t="b">
        <v>0</v>
      </c>
      <c r="S101" t="s">
        <v>101</v>
      </c>
      <c r="T101" t="s">
        <v>1627</v>
      </c>
      <c r="U101">
        <v>17.887499999999999</v>
      </c>
      <c r="V101">
        <v>0</v>
      </c>
      <c r="W101">
        <v>0</v>
      </c>
      <c r="X101">
        <v>4</v>
      </c>
      <c r="Y101" s="6">
        <v>46143</v>
      </c>
      <c r="Z101">
        <v>2</v>
      </c>
    </row>
    <row r="102" spans="1:26" x14ac:dyDescent="0.3">
      <c r="A102" t="s">
        <v>206</v>
      </c>
      <c r="B102" s="5">
        <v>46141</v>
      </c>
      <c r="C102" s="5">
        <v>46142</v>
      </c>
      <c r="D102" s="5">
        <v>46143</v>
      </c>
      <c r="E102" s="5">
        <v>46142</v>
      </c>
      <c r="F102" t="s">
        <v>34</v>
      </c>
      <c r="G102" t="s">
        <v>61</v>
      </c>
      <c r="H102" t="s">
        <v>22</v>
      </c>
      <c r="I102" t="s">
        <v>43</v>
      </c>
      <c r="J102">
        <v>16.3</v>
      </c>
      <c r="K102">
        <v>3343.1</v>
      </c>
      <c r="L102">
        <v>19856000</v>
      </c>
      <c r="M102" t="b">
        <v>0</v>
      </c>
      <c r="N102" t="b">
        <v>0</v>
      </c>
      <c r="O102">
        <v>5000</v>
      </c>
      <c r="P102" t="b">
        <v>0</v>
      </c>
      <c r="Q102" t="b">
        <v>0</v>
      </c>
      <c r="R102" t="b">
        <v>0</v>
      </c>
      <c r="S102" t="s">
        <v>96</v>
      </c>
      <c r="T102" t="s">
        <v>1638</v>
      </c>
      <c r="U102">
        <v>66.861999999999995</v>
      </c>
      <c r="V102">
        <v>0</v>
      </c>
      <c r="W102">
        <v>0</v>
      </c>
      <c r="X102">
        <v>0</v>
      </c>
      <c r="Y102" s="6">
        <v>46113</v>
      </c>
    </row>
    <row r="103" spans="1:26" x14ac:dyDescent="0.3">
      <c r="A103" t="s">
        <v>207</v>
      </c>
      <c r="B103" s="5">
        <v>46167</v>
      </c>
      <c r="C103" s="5">
        <v>46168</v>
      </c>
      <c r="D103" s="5">
        <v>46171</v>
      </c>
      <c r="E103" s="5">
        <v>46172</v>
      </c>
      <c r="F103" t="s">
        <v>33</v>
      </c>
      <c r="G103" t="s">
        <v>53</v>
      </c>
      <c r="H103" t="s">
        <v>20</v>
      </c>
      <c r="I103" t="s">
        <v>45</v>
      </c>
      <c r="J103">
        <v>521.20000000000005</v>
      </c>
      <c r="K103">
        <v>592.79999999999995</v>
      </c>
      <c r="L103">
        <v>5269000</v>
      </c>
      <c r="M103" t="b">
        <v>0</v>
      </c>
      <c r="N103" t="b">
        <v>0</v>
      </c>
      <c r="O103">
        <v>1000</v>
      </c>
      <c r="P103" t="b">
        <v>0</v>
      </c>
      <c r="Q103" t="b">
        <v>0</v>
      </c>
      <c r="R103" t="b">
        <v>0</v>
      </c>
      <c r="S103" t="s">
        <v>101</v>
      </c>
      <c r="T103" t="s">
        <v>1632</v>
      </c>
      <c r="U103">
        <v>59.28</v>
      </c>
      <c r="V103">
        <v>0</v>
      </c>
      <c r="W103">
        <v>0</v>
      </c>
      <c r="X103">
        <v>4</v>
      </c>
      <c r="Y103" s="6">
        <v>46143</v>
      </c>
      <c r="Z103">
        <v>1</v>
      </c>
    </row>
    <row r="104" spans="1:26" x14ac:dyDescent="0.3">
      <c r="A104" t="s">
        <v>208</v>
      </c>
      <c r="B104" s="5">
        <v>46134</v>
      </c>
      <c r="C104" s="5">
        <v>46135</v>
      </c>
      <c r="D104" s="5">
        <v>46136</v>
      </c>
      <c r="E104" s="5">
        <v>46136</v>
      </c>
      <c r="F104" t="s">
        <v>32</v>
      </c>
      <c r="G104" t="s">
        <v>57</v>
      </c>
      <c r="H104" t="s">
        <v>20</v>
      </c>
      <c r="I104" t="s">
        <v>43</v>
      </c>
      <c r="J104">
        <v>12.9</v>
      </c>
      <c r="K104">
        <v>4444.2</v>
      </c>
      <c r="L104">
        <v>2598000</v>
      </c>
      <c r="M104" t="b">
        <v>0</v>
      </c>
      <c r="N104" t="b">
        <v>0</v>
      </c>
      <c r="O104">
        <v>5000</v>
      </c>
      <c r="P104" t="b">
        <v>0</v>
      </c>
      <c r="Q104" t="b">
        <v>0</v>
      </c>
      <c r="R104" t="b">
        <v>0</v>
      </c>
      <c r="S104" t="s">
        <v>96</v>
      </c>
      <c r="T104" t="s">
        <v>1630</v>
      </c>
      <c r="U104">
        <v>88.884</v>
      </c>
      <c r="V104">
        <v>0</v>
      </c>
      <c r="W104">
        <v>0</v>
      </c>
      <c r="X104">
        <v>1</v>
      </c>
      <c r="Y104" s="6">
        <v>46113</v>
      </c>
    </row>
    <row r="105" spans="1:26" x14ac:dyDescent="0.3">
      <c r="A105" t="s">
        <v>209</v>
      </c>
      <c r="B105" s="5">
        <v>46059</v>
      </c>
      <c r="C105" s="5">
        <v>46059</v>
      </c>
      <c r="D105" s="5">
        <v>46063</v>
      </c>
      <c r="E105" s="5">
        <v>46062</v>
      </c>
      <c r="F105" t="s">
        <v>31</v>
      </c>
      <c r="G105" t="s">
        <v>62</v>
      </c>
      <c r="H105" t="s">
        <v>21</v>
      </c>
      <c r="I105" t="s">
        <v>42</v>
      </c>
      <c r="J105">
        <v>740.7</v>
      </c>
      <c r="K105">
        <v>8741.9</v>
      </c>
      <c r="L105">
        <v>17278000</v>
      </c>
      <c r="M105" t="b">
        <v>0</v>
      </c>
      <c r="N105" t="b">
        <v>0</v>
      </c>
      <c r="O105">
        <v>16000</v>
      </c>
      <c r="P105" t="b">
        <v>0</v>
      </c>
      <c r="Q105" t="b">
        <v>0</v>
      </c>
      <c r="R105" t="b">
        <v>0</v>
      </c>
      <c r="S105" t="s">
        <v>96</v>
      </c>
      <c r="T105" t="s">
        <v>1615</v>
      </c>
      <c r="U105">
        <v>54.636875000000003</v>
      </c>
      <c r="V105">
        <v>0</v>
      </c>
      <c r="W105">
        <v>0</v>
      </c>
      <c r="X105">
        <v>3</v>
      </c>
      <c r="Y105" s="6">
        <v>46054</v>
      </c>
    </row>
    <row r="106" spans="1:26" x14ac:dyDescent="0.3">
      <c r="A106" t="s">
        <v>210</v>
      </c>
      <c r="B106" s="5">
        <v>46090</v>
      </c>
      <c r="C106" s="5">
        <v>46092</v>
      </c>
      <c r="D106" s="5">
        <v>46096</v>
      </c>
      <c r="E106" s="5">
        <v>46096</v>
      </c>
      <c r="F106" t="s">
        <v>34</v>
      </c>
      <c r="G106" t="s">
        <v>62</v>
      </c>
      <c r="H106" t="s">
        <v>23</v>
      </c>
      <c r="I106" t="s">
        <v>45</v>
      </c>
      <c r="J106">
        <v>841.4</v>
      </c>
      <c r="K106">
        <v>553.20000000000005</v>
      </c>
      <c r="L106">
        <v>8076000</v>
      </c>
      <c r="M106" t="b">
        <v>0</v>
      </c>
      <c r="N106" t="b">
        <v>0</v>
      </c>
      <c r="O106">
        <v>1000</v>
      </c>
      <c r="P106" t="b">
        <v>0</v>
      </c>
      <c r="Q106" t="b">
        <v>0</v>
      </c>
      <c r="R106" t="b">
        <v>0</v>
      </c>
      <c r="S106" t="s">
        <v>96</v>
      </c>
      <c r="T106" t="s">
        <v>1649</v>
      </c>
      <c r="U106">
        <v>55.32</v>
      </c>
      <c r="V106">
        <v>0</v>
      </c>
      <c r="W106">
        <v>0</v>
      </c>
      <c r="X106">
        <v>4</v>
      </c>
      <c r="Y106" s="6">
        <v>46082</v>
      </c>
    </row>
    <row r="107" spans="1:26" x14ac:dyDescent="0.3">
      <c r="A107" t="s">
        <v>211</v>
      </c>
      <c r="B107" s="5">
        <v>46035</v>
      </c>
      <c r="C107" s="5">
        <v>46036</v>
      </c>
      <c r="D107" s="5">
        <v>46039</v>
      </c>
      <c r="E107" s="5">
        <v>46039</v>
      </c>
      <c r="F107" t="s">
        <v>32</v>
      </c>
      <c r="G107" t="s">
        <v>52</v>
      </c>
      <c r="H107" t="s">
        <v>20</v>
      </c>
      <c r="I107" t="s">
        <v>43</v>
      </c>
      <c r="J107">
        <v>304.2</v>
      </c>
      <c r="K107">
        <v>3507.9</v>
      </c>
      <c r="L107">
        <v>6163000</v>
      </c>
      <c r="M107" t="b">
        <v>0</v>
      </c>
      <c r="N107" t="b">
        <v>0</v>
      </c>
      <c r="O107">
        <v>5000</v>
      </c>
      <c r="P107" t="b">
        <v>0</v>
      </c>
      <c r="Q107" t="b">
        <v>0</v>
      </c>
      <c r="R107" t="b">
        <v>0</v>
      </c>
      <c r="S107" t="s">
        <v>96</v>
      </c>
      <c r="T107" t="s">
        <v>1611</v>
      </c>
      <c r="U107">
        <v>70.158000000000001</v>
      </c>
      <c r="V107">
        <v>0</v>
      </c>
      <c r="W107">
        <v>0</v>
      </c>
      <c r="X107">
        <v>3</v>
      </c>
      <c r="Y107" s="6">
        <v>46023</v>
      </c>
    </row>
    <row r="108" spans="1:26" x14ac:dyDescent="0.3">
      <c r="A108" t="s">
        <v>212</v>
      </c>
      <c r="B108" s="5">
        <v>46146</v>
      </c>
      <c r="C108" s="5">
        <v>46147</v>
      </c>
      <c r="D108" s="5">
        <v>46150</v>
      </c>
      <c r="E108" s="5">
        <v>46150</v>
      </c>
      <c r="F108" t="s">
        <v>34</v>
      </c>
      <c r="G108" t="s">
        <v>53</v>
      </c>
      <c r="H108" t="s">
        <v>20</v>
      </c>
      <c r="I108" t="s">
        <v>44</v>
      </c>
      <c r="J108">
        <v>337</v>
      </c>
      <c r="K108">
        <v>1166.9000000000001</v>
      </c>
      <c r="L108">
        <v>3932000</v>
      </c>
      <c r="M108" t="b">
        <v>0</v>
      </c>
      <c r="N108" t="b">
        <v>0</v>
      </c>
      <c r="O108">
        <v>1500</v>
      </c>
      <c r="P108" t="b">
        <v>0</v>
      </c>
      <c r="Q108" t="b">
        <v>0</v>
      </c>
      <c r="R108" t="b">
        <v>0</v>
      </c>
      <c r="S108" t="s">
        <v>96</v>
      </c>
      <c r="T108" t="s">
        <v>1636</v>
      </c>
      <c r="U108">
        <v>77.793333333333337</v>
      </c>
      <c r="V108">
        <v>0</v>
      </c>
      <c r="W108">
        <v>0</v>
      </c>
      <c r="X108">
        <v>3</v>
      </c>
      <c r="Y108" s="6">
        <v>46143</v>
      </c>
    </row>
    <row r="109" spans="1:26" x14ac:dyDescent="0.3">
      <c r="A109" t="s">
        <v>213</v>
      </c>
      <c r="B109" s="5">
        <v>46113</v>
      </c>
      <c r="C109" s="5">
        <v>46114</v>
      </c>
      <c r="D109" s="5">
        <v>46118</v>
      </c>
      <c r="E109" s="5">
        <v>46118</v>
      </c>
      <c r="F109" t="s">
        <v>33</v>
      </c>
      <c r="G109" t="s">
        <v>53</v>
      </c>
      <c r="H109" t="s">
        <v>21</v>
      </c>
      <c r="I109" t="s">
        <v>45</v>
      </c>
      <c r="J109">
        <v>605.70000000000005</v>
      </c>
      <c r="K109">
        <v>341.5</v>
      </c>
      <c r="L109">
        <v>5955000</v>
      </c>
      <c r="M109" t="b">
        <v>0</v>
      </c>
      <c r="N109" t="b">
        <v>0</v>
      </c>
      <c r="O109">
        <v>1000</v>
      </c>
      <c r="P109" t="b">
        <v>0</v>
      </c>
      <c r="Q109" t="b">
        <v>0</v>
      </c>
      <c r="R109" t="b">
        <v>0</v>
      </c>
      <c r="S109" t="s">
        <v>96</v>
      </c>
      <c r="T109" t="s">
        <v>1632</v>
      </c>
      <c r="U109">
        <v>34.150000000000013</v>
      </c>
      <c r="V109">
        <v>0</v>
      </c>
      <c r="W109">
        <v>0</v>
      </c>
      <c r="X109">
        <v>4</v>
      </c>
      <c r="Y109" s="6">
        <v>46113</v>
      </c>
    </row>
    <row r="110" spans="1:26" x14ac:dyDescent="0.3">
      <c r="A110" t="s">
        <v>214</v>
      </c>
      <c r="B110" s="5">
        <v>46190</v>
      </c>
      <c r="C110" s="5">
        <v>46191</v>
      </c>
      <c r="D110" s="5">
        <v>46193</v>
      </c>
      <c r="E110" s="5">
        <v>46193</v>
      </c>
      <c r="F110" t="s">
        <v>34</v>
      </c>
      <c r="G110" t="s">
        <v>55</v>
      </c>
      <c r="H110" t="s">
        <v>22</v>
      </c>
      <c r="I110" t="s">
        <v>44</v>
      </c>
      <c r="J110">
        <v>61.3</v>
      </c>
      <c r="K110">
        <v>1243.4000000000001</v>
      </c>
      <c r="L110">
        <v>1348000</v>
      </c>
      <c r="M110" t="b">
        <v>0</v>
      </c>
      <c r="N110" t="b">
        <v>0</v>
      </c>
      <c r="O110">
        <v>1500</v>
      </c>
      <c r="P110" t="b">
        <v>0</v>
      </c>
      <c r="Q110" t="b">
        <v>0</v>
      </c>
      <c r="R110" t="b">
        <v>0</v>
      </c>
      <c r="S110" t="s">
        <v>96</v>
      </c>
      <c r="T110" t="s">
        <v>1639</v>
      </c>
      <c r="U110">
        <v>82.893333333333345</v>
      </c>
      <c r="V110">
        <v>0</v>
      </c>
      <c r="W110">
        <v>0</v>
      </c>
      <c r="X110">
        <v>2</v>
      </c>
      <c r="Y110" s="6">
        <v>46174</v>
      </c>
    </row>
    <row r="111" spans="1:26" x14ac:dyDescent="0.3">
      <c r="A111" t="s">
        <v>215</v>
      </c>
      <c r="B111" s="5">
        <v>46149</v>
      </c>
      <c r="C111" s="5">
        <v>46150</v>
      </c>
      <c r="D111" s="5">
        <v>46154</v>
      </c>
      <c r="E111" s="5">
        <v>46154</v>
      </c>
      <c r="F111" t="s">
        <v>31</v>
      </c>
      <c r="G111" t="s">
        <v>56</v>
      </c>
      <c r="H111" t="s">
        <v>22</v>
      </c>
      <c r="I111" t="s">
        <v>44</v>
      </c>
      <c r="J111">
        <v>803.8</v>
      </c>
      <c r="K111">
        <v>752.5</v>
      </c>
      <c r="L111">
        <v>6850000</v>
      </c>
      <c r="M111" t="b">
        <v>0</v>
      </c>
      <c r="N111" t="b">
        <v>0</v>
      </c>
      <c r="O111">
        <v>1500</v>
      </c>
      <c r="P111" t="b">
        <v>0</v>
      </c>
      <c r="Q111" t="b">
        <v>0</v>
      </c>
      <c r="R111" t="b">
        <v>0</v>
      </c>
      <c r="S111" t="s">
        <v>96</v>
      </c>
      <c r="T111" t="s">
        <v>1614</v>
      </c>
      <c r="U111">
        <v>50.166666666666671</v>
      </c>
      <c r="V111">
        <v>0</v>
      </c>
      <c r="W111">
        <v>0</v>
      </c>
      <c r="X111">
        <v>4</v>
      </c>
      <c r="Y111" s="6">
        <v>46143</v>
      </c>
    </row>
    <row r="112" spans="1:26" x14ac:dyDescent="0.3">
      <c r="A112" t="s">
        <v>216</v>
      </c>
      <c r="B112" s="5">
        <v>46173</v>
      </c>
      <c r="C112" s="5">
        <v>46174</v>
      </c>
      <c r="D112" s="5">
        <v>46176</v>
      </c>
      <c r="E112" s="5">
        <v>46176</v>
      </c>
      <c r="F112" t="s">
        <v>34</v>
      </c>
      <c r="G112" t="s">
        <v>58</v>
      </c>
      <c r="H112" t="s">
        <v>23</v>
      </c>
      <c r="I112" t="s">
        <v>44</v>
      </c>
      <c r="J112">
        <v>149.5</v>
      </c>
      <c r="K112">
        <v>901.5</v>
      </c>
      <c r="L112">
        <v>2405000</v>
      </c>
      <c r="M112" t="b">
        <v>0</v>
      </c>
      <c r="N112" t="b">
        <v>0</v>
      </c>
      <c r="O112">
        <v>1500</v>
      </c>
      <c r="P112" t="b">
        <v>0</v>
      </c>
      <c r="Q112" t="b">
        <v>0</v>
      </c>
      <c r="R112" t="b">
        <v>0</v>
      </c>
      <c r="S112" t="s">
        <v>96</v>
      </c>
      <c r="T112" t="s">
        <v>1637</v>
      </c>
      <c r="U112">
        <v>60.099999999999987</v>
      </c>
      <c r="V112">
        <v>0</v>
      </c>
      <c r="W112">
        <v>0</v>
      </c>
      <c r="X112">
        <v>2</v>
      </c>
      <c r="Y112" s="6">
        <v>46174</v>
      </c>
    </row>
    <row r="113" spans="1:26" x14ac:dyDescent="0.3">
      <c r="A113" t="s">
        <v>217</v>
      </c>
      <c r="B113" s="5">
        <v>46179</v>
      </c>
      <c r="C113" s="5">
        <v>46180</v>
      </c>
      <c r="D113" s="5">
        <v>46182</v>
      </c>
      <c r="E113" s="5">
        <v>46181</v>
      </c>
      <c r="F113" t="s">
        <v>34</v>
      </c>
      <c r="G113" t="s">
        <v>52</v>
      </c>
      <c r="H113" t="s">
        <v>21</v>
      </c>
      <c r="I113" t="s">
        <v>45</v>
      </c>
      <c r="J113">
        <v>293.8</v>
      </c>
      <c r="K113">
        <v>807.7</v>
      </c>
      <c r="L113">
        <v>4047000</v>
      </c>
      <c r="M113" t="b">
        <v>0</v>
      </c>
      <c r="N113" t="b">
        <v>0</v>
      </c>
      <c r="O113">
        <v>1000</v>
      </c>
      <c r="P113" t="b">
        <v>0</v>
      </c>
      <c r="Q113" t="b">
        <v>0</v>
      </c>
      <c r="R113" t="b">
        <v>0</v>
      </c>
      <c r="S113" t="s">
        <v>96</v>
      </c>
      <c r="T113" t="s">
        <v>1623</v>
      </c>
      <c r="U113">
        <v>80.77000000000001</v>
      </c>
      <c r="V113">
        <v>0</v>
      </c>
      <c r="W113">
        <v>0</v>
      </c>
      <c r="X113">
        <v>1</v>
      </c>
      <c r="Y113" s="6">
        <v>46174</v>
      </c>
    </row>
    <row r="114" spans="1:26" x14ac:dyDescent="0.3">
      <c r="A114" t="s">
        <v>218</v>
      </c>
      <c r="B114" s="5">
        <v>46088</v>
      </c>
      <c r="C114" s="5">
        <v>46090</v>
      </c>
      <c r="D114" s="5">
        <v>46093</v>
      </c>
      <c r="E114" s="5">
        <v>46093</v>
      </c>
      <c r="F114" t="s">
        <v>31</v>
      </c>
      <c r="G114" t="s">
        <v>54</v>
      </c>
      <c r="H114" t="s">
        <v>20</v>
      </c>
      <c r="I114" t="s">
        <v>45</v>
      </c>
      <c r="J114">
        <v>482.8</v>
      </c>
      <c r="K114">
        <v>602.6</v>
      </c>
      <c r="L114">
        <v>4130000</v>
      </c>
      <c r="M114" t="b">
        <v>0</v>
      </c>
      <c r="N114" t="b">
        <v>0</v>
      </c>
      <c r="O114">
        <v>1000</v>
      </c>
      <c r="P114" t="b">
        <v>0</v>
      </c>
      <c r="Q114" t="b">
        <v>0</v>
      </c>
      <c r="R114" t="b">
        <v>0</v>
      </c>
      <c r="S114" t="s">
        <v>96</v>
      </c>
      <c r="T114" t="s">
        <v>1631</v>
      </c>
      <c r="U114">
        <v>60.260000000000012</v>
      </c>
      <c r="V114">
        <v>0</v>
      </c>
      <c r="W114">
        <v>0</v>
      </c>
      <c r="X114">
        <v>3</v>
      </c>
      <c r="Y114" s="6">
        <v>46082</v>
      </c>
    </row>
    <row r="115" spans="1:26" x14ac:dyDescent="0.3">
      <c r="A115" t="s">
        <v>219</v>
      </c>
      <c r="B115" s="5">
        <v>46178</v>
      </c>
      <c r="C115" s="5">
        <v>46179</v>
      </c>
      <c r="D115" s="5">
        <v>46181</v>
      </c>
      <c r="E115" s="5">
        <v>46181</v>
      </c>
      <c r="F115" t="s">
        <v>32</v>
      </c>
      <c r="G115" t="s">
        <v>61</v>
      </c>
      <c r="H115" t="s">
        <v>21</v>
      </c>
      <c r="I115" t="s">
        <v>45</v>
      </c>
      <c r="J115">
        <v>147.9</v>
      </c>
      <c r="K115">
        <v>355.2</v>
      </c>
      <c r="L115">
        <v>1724000</v>
      </c>
      <c r="M115" t="b">
        <v>0</v>
      </c>
      <c r="N115" t="b">
        <v>0</v>
      </c>
      <c r="O115">
        <v>1000</v>
      </c>
      <c r="P115" t="b">
        <v>0</v>
      </c>
      <c r="Q115" t="b">
        <v>0</v>
      </c>
      <c r="R115" t="b">
        <v>0</v>
      </c>
      <c r="S115" t="s">
        <v>96</v>
      </c>
      <c r="T115" t="s">
        <v>1653</v>
      </c>
      <c r="U115">
        <v>35.520000000000003</v>
      </c>
      <c r="V115">
        <v>0</v>
      </c>
      <c r="W115">
        <v>0</v>
      </c>
      <c r="X115">
        <v>2</v>
      </c>
      <c r="Y115" s="6">
        <v>46174</v>
      </c>
    </row>
    <row r="116" spans="1:26" x14ac:dyDescent="0.3">
      <c r="A116" t="s">
        <v>220</v>
      </c>
      <c r="B116" s="5">
        <v>46177</v>
      </c>
      <c r="C116" s="5">
        <v>46177</v>
      </c>
      <c r="D116" s="5">
        <v>46179</v>
      </c>
      <c r="E116" s="5">
        <v>46181</v>
      </c>
      <c r="F116" t="s">
        <v>31</v>
      </c>
      <c r="G116" t="s">
        <v>61</v>
      </c>
      <c r="H116" t="s">
        <v>23</v>
      </c>
      <c r="I116" t="s">
        <v>43</v>
      </c>
      <c r="J116">
        <v>53.9</v>
      </c>
      <c r="K116">
        <v>3809.7</v>
      </c>
      <c r="L116">
        <v>2724000</v>
      </c>
      <c r="M116" t="b">
        <v>0</v>
      </c>
      <c r="N116" t="b">
        <v>0</v>
      </c>
      <c r="O116">
        <v>5000</v>
      </c>
      <c r="P116" t="b">
        <v>0</v>
      </c>
      <c r="Q116" t="b">
        <v>0</v>
      </c>
      <c r="R116" t="b">
        <v>0</v>
      </c>
      <c r="S116" t="s">
        <v>101</v>
      </c>
      <c r="T116" t="s">
        <v>1645</v>
      </c>
      <c r="U116">
        <v>76.193999999999988</v>
      </c>
      <c r="V116">
        <v>0</v>
      </c>
      <c r="W116">
        <v>0</v>
      </c>
      <c r="X116">
        <v>4</v>
      </c>
      <c r="Y116" s="6">
        <v>46174</v>
      </c>
      <c r="Z116">
        <v>2</v>
      </c>
    </row>
    <row r="117" spans="1:26" x14ac:dyDescent="0.3">
      <c r="A117" t="s">
        <v>221</v>
      </c>
      <c r="B117" s="5">
        <v>46168</v>
      </c>
      <c r="C117" s="5">
        <v>46169</v>
      </c>
      <c r="D117" s="5">
        <v>46171</v>
      </c>
      <c r="E117" s="5">
        <v>46170</v>
      </c>
      <c r="F117" t="s">
        <v>32</v>
      </c>
      <c r="G117" t="s">
        <v>61</v>
      </c>
      <c r="H117" t="s">
        <v>21</v>
      </c>
      <c r="I117" t="s">
        <v>45</v>
      </c>
      <c r="J117">
        <v>162.19999999999999</v>
      </c>
      <c r="K117">
        <v>116.9</v>
      </c>
      <c r="L117">
        <v>1946000</v>
      </c>
      <c r="M117" t="b">
        <v>0</v>
      </c>
      <c r="N117" t="b">
        <v>0</v>
      </c>
      <c r="O117">
        <v>1000</v>
      </c>
      <c r="P117" t="b">
        <v>0</v>
      </c>
      <c r="Q117" t="b">
        <v>0</v>
      </c>
      <c r="R117" t="b">
        <v>0</v>
      </c>
      <c r="S117" t="s">
        <v>96</v>
      </c>
      <c r="T117" t="s">
        <v>1653</v>
      </c>
      <c r="U117">
        <v>11.69</v>
      </c>
      <c r="V117">
        <v>0</v>
      </c>
      <c r="W117">
        <v>0</v>
      </c>
      <c r="X117">
        <v>1</v>
      </c>
      <c r="Y117" s="6">
        <v>46143</v>
      </c>
    </row>
    <row r="118" spans="1:26" x14ac:dyDescent="0.3">
      <c r="A118" t="s">
        <v>222</v>
      </c>
      <c r="B118" s="5">
        <v>46143</v>
      </c>
      <c r="C118" s="5">
        <v>46144</v>
      </c>
      <c r="D118" s="5">
        <v>46145</v>
      </c>
      <c r="E118" s="5"/>
      <c r="F118" t="s">
        <v>34</v>
      </c>
      <c r="G118" t="s">
        <v>55</v>
      </c>
      <c r="H118" t="s">
        <v>24</v>
      </c>
      <c r="I118" t="s">
        <v>44</v>
      </c>
      <c r="J118">
        <v>55.7</v>
      </c>
      <c r="K118">
        <v>1357.2</v>
      </c>
      <c r="L118">
        <v>1793000</v>
      </c>
      <c r="M118" t="b">
        <v>0</v>
      </c>
      <c r="N118" t="b">
        <v>0</v>
      </c>
      <c r="O118">
        <v>1500</v>
      </c>
      <c r="P118" t="b">
        <v>0</v>
      </c>
      <c r="Q118" t="b">
        <v>0</v>
      </c>
      <c r="R118" t="b">
        <v>0</v>
      </c>
      <c r="S118" t="s">
        <v>203</v>
      </c>
      <c r="T118" t="s">
        <v>1639</v>
      </c>
      <c r="U118">
        <v>90.48</v>
      </c>
      <c r="V118">
        <v>0</v>
      </c>
      <c r="W118">
        <v>0</v>
      </c>
      <c r="Y118" s="6">
        <v>46143</v>
      </c>
    </row>
    <row r="119" spans="1:26" x14ac:dyDescent="0.3">
      <c r="A119" t="s">
        <v>223</v>
      </c>
      <c r="B119" s="5">
        <v>46083</v>
      </c>
      <c r="C119" s="5">
        <v>46084</v>
      </c>
      <c r="D119" s="5">
        <v>46087</v>
      </c>
      <c r="E119" s="5">
        <v>46087</v>
      </c>
      <c r="F119" t="s">
        <v>31</v>
      </c>
      <c r="G119" t="s">
        <v>60</v>
      </c>
      <c r="H119" t="s">
        <v>20</v>
      </c>
      <c r="I119" t="s">
        <v>43</v>
      </c>
      <c r="J119">
        <v>553.70000000000005</v>
      </c>
      <c r="K119">
        <v>3102.5</v>
      </c>
      <c r="L119">
        <v>8228000</v>
      </c>
      <c r="M119" t="b">
        <v>0</v>
      </c>
      <c r="N119" t="b">
        <v>0</v>
      </c>
      <c r="O119">
        <v>5000</v>
      </c>
      <c r="P119" t="b">
        <v>0</v>
      </c>
      <c r="Q119" t="b">
        <v>0</v>
      </c>
      <c r="R119" t="b">
        <v>0</v>
      </c>
      <c r="S119" t="s">
        <v>96</v>
      </c>
      <c r="T119" t="s">
        <v>1652</v>
      </c>
      <c r="U119">
        <v>62.05</v>
      </c>
      <c r="V119">
        <v>0</v>
      </c>
      <c r="W119">
        <v>0</v>
      </c>
      <c r="X119">
        <v>3</v>
      </c>
      <c r="Y119" s="6">
        <v>46082</v>
      </c>
    </row>
    <row r="120" spans="1:26" x14ac:dyDescent="0.3">
      <c r="A120" t="s">
        <v>224</v>
      </c>
      <c r="B120" s="5">
        <v>46125</v>
      </c>
      <c r="C120" s="5">
        <v>46126</v>
      </c>
      <c r="D120" s="5">
        <v>46129</v>
      </c>
      <c r="E120" s="5">
        <v>46129</v>
      </c>
      <c r="F120" t="s">
        <v>34</v>
      </c>
      <c r="G120" t="s">
        <v>59</v>
      </c>
      <c r="H120" t="s">
        <v>22</v>
      </c>
      <c r="I120" t="s">
        <v>43</v>
      </c>
      <c r="J120">
        <v>350</v>
      </c>
      <c r="K120">
        <v>2729.5</v>
      </c>
      <c r="L120">
        <v>6021000</v>
      </c>
      <c r="M120" t="b">
        <v>0</v>
      </c>
      <c r="N120" t="b">
        <v>0</v>
      </c>
      <c r="O120">
        <v>5000</v>
      </c>
      <c r="P120" t="b">
        <v>0</v>
      </c>
      <c r="Q120" t="b">
        <v>0</v>
      </c>
      <c r="R120" t="b">
        <v>0</v>
      </c>
      <c r="S120" t="s">
        <v>96</v>
      </c>
      <c r="T120" t="s">
        <v>1616</v>
      </c>
      <c r="U120">
        <v>54.59</v>
      </c>
      <c r="V120">
        <v>0</v>
      </c>
      <c r="W120">
        <v>0</v>
      </c>
      <c r="X120">
        <v>3</v>
      </c>
      <c r="Y120" s="6">
        <v>46113</v>
      </c>
    </row>
    <row r="121" spans="1:26" x14ac:dyDescent="0.3">
      <c r="A121" t="s">
        <v>225</v>
      </c>
      <c r="B121" s="5">
        <v>46140</v>
      </c>
      <c r="C121" s="5">
        <v>46141</v>
      </c>
      <c r="D121" s="5">
        <v>46145</v>
      </c>
      <c r="E121" s="5">
        <v>46146</v>
      </c>
      <c r="F121" t="s">
        <v>31</v>
      </c>
      <c r="G121" t="s">
        <v>56</v>
      </c>
      <c r="H121" t="s">
        <v>22</v>
      </c>
      <c r="I121" t="s">
        <v>45</v>
      </c>
      <c r="J121">
        <v>867</v>
      </c>
      <c r="K121">
        <v>313.3</v>
      </c>
      <c r="L121">
        <v>7751000</v>
      </c>
      <c r="M121" t="b">
        <v>0</v>
      </c>
      <c r="N121" t="b">
        <v>0</v>
      </c>
      <c r="O121">
        <v>1000</v>
      </c>
      <c r="P121" t="b">
        <v>0</v>
      </c>
      <c r="Q121" t="b">
        <v>0</v>
      </c>
      <c r="R121" t="b">
        <v>0</v>
      </c>
      <c r="S121" t="s">
        <v>101</v>
      </c>
      <c r="T121" t="s">
        <v>1614</v>
      </c>
      <c r="U121">
        <v>31.33</v>
      </c>
      <c r="V121">
        <v>0</v>
      </c>
      <c r="W121">
        <v>0</v>
      </c>
      <c r="X121">
        <v>5</v>
      </c>
      <c r="Y121" s="6">
        <v>46113</v>
      </c>
      <c r="Z121">
        <v>1</v>
      </c>
    </row>
    <row r="122" spans="1:26" x14ac:dyDescent="0.3">
      <c r="A122" t="s">
        <v>226</v>
      </c>
      <c r="B122" s="5">
        <v>46134</v>
      </c>
      <c r="C122" s="5">
        <v>46135</v>
      </c>
      <c r="D122" s="5">
        <v>46139</v>
      </c>
      <c r="E122" s="5">
        <v>46139</v>
      </c>
      <c r="F122" t="s">
        <v>34</v>
      </c>
      <c r="G122" t="s">
        <v>56</v>
      </c>
      <c r="H122" t="s">
        <v>22</v>
      </c>
      <c r="I122" t="s">
        <v>44</v>
      </c>
      <c r="J122">
        <v>901.6</v>
      </c>
      <c r="K122">
        <v>1211.9000000000001</v>
      </c>
      <c r="L122">
        <v>10308000</v>
      </c>
      <c r="M122" t="b">
        <v>0</v>
      </c>
      <c r="N122" t="b">
        <v>0</v>
      </c>
      <c r="O122">
        <v>1500</v>
      </c>
      <c r="P122" t="b">
        <v>0</v>
      </c>
      <c r="Q122" t="b">
        <v>0</v>
      </c>
      <c r="R122" t="b">
        <v>0</v>
      </c>
      <c r="S122" t="s">
        <v>96</v>
      </c>
      <c r="T122" t="s">
        <v>1646</v>
      </c>
      <c r="U122">
        <v>80.793333333333337</v>
      </c>
      <c r="V122">
        <v>0</v>
      </c>
      <c r="W122">
        <v>0</v>
      </c>
      <c r="X122">
        <v>4</v>
      </c>
      <c r="Y122" s="6">
        <v>46113</v>
      </c>
    </row>
    <row r="123" spans="1:26" x14ac:dyDescent="0.3">
      <c r="A123" t="s">
        <v>227</v>
      </c>
      <c r="B123" s="5">
        <v>46129</v>
      </c>
      <c r="C123" s="5">
        <v>46130</v>
      </c>
      <c r="D123" s="5">
        <v>46131</v>
      </c>
      <c r="E123" s="5">
        <v>46131</v>
      </c>
      <c r="F123" t="s">
        <v>34</v>
      </c>
      <c r="G123" t="s">
        <v>55</v>
      </c>
      <c r="H123" t="s">
        <v>20</v>
      </c>
      <c r="I123" t="s">
        <v>43</v>
      </c>
      <c r="J123">
        <v>55.2</v>
      </c>
      <c r="K123">
        <v>1850.6</v>
      </c>
      <c r="L123">
        <v>2370000</v>
      </c>
      <c r="M123" t="b">
        <v>0</v>
      </c>
      <c r="N123" t="b">
        <v>0</v>
      </c>
      <c r="O123">
        <v>5000</v>
      </c>
      <c r="P123" t="b">
        <v>0</v>
      </c>
      <c r="Q123" t="b">
        <v>0</v>
      </c>
      <c r="R123" t="b">
        <v>0</v>
      </c>
      <c r="S123" t="s">
        <v>96</v>
      </c>
      <c r="T123" t="s">
        <v>1639</v>
      </c>
      <c r="U123">
        <v>37.012</v>
      </c>
      <c r="V123">
        <v>0</v>
      </c>
      <c r="W123">
        <v>0</v>
      </c>
      <c r="X123">
        <v>1</v>
      </c>
      <c r="Y123" s="6">
        <v>46113</v>
      </c>
    </row>
    <row r="124" spans="1:26" x14ac:dyDescent="0.3">
      <c r="A124" t="s">
        <v>228</v>
      </c>
      <c r="B124" s="5">
        <v>46069</v>
      </c>
      <c r="C124" s="5">
        <v>46070</v>
      </c>
      <c r="D124" s="5">
        <v>46075</v>
      </c>
      <c r="E124" s="5">
        <v>46075</v>
      </c>
      <c r="F124" t="s">
        <v>34</v>
      </c>
      <c r="G124" t="s">
        <v>60</v>
      </c>
      <c r="H124" t="s">
        <v>21</v>
      </c>
      <c r="I124" t="s">
        <v>43</v>
      </c>
      <c r="J124">
        <v>630.70000000000005</v>
      </c>
      <c r="K124">
        <v>2914.8</v>
      </c>
      <c r="L124">
        <v>10080000</v>
      </c>
      <c r="M124" t="b">
        <v>0</v>
      </c>
      <c r="N124" t="b">
        <v>0</v>
      </c>
      <c r="O124">
        <v>5000</v>
      </c>
      <c r="P124" t="b">
        <v>0</v>
      </c>
      <c r="Q124" t="b">
        <v>0</v>
      </c>
      <c r="R124" t="b">
        <v>0</v>
      </c>
      <c r="S124" t="s">
        <v>96</v>
      </c>
      <c r="T124" t="s">
        <v>1644</v>
      </c>
      <c r="U124">
        <v>58.296000000000006</v>
      </c>
      <c r="V124">
        <v>0</v>
      </c>
      <c r="W124">
        <v>0</v>
      </c>
      <c r="X124">
        <v>5</v>
      </c>
      <c r="Y124" s="6">
        <v>46054</v>
      </c>
    </row>
    <row r="125" spans="1:26" x14ac:dyDescent="0.3">
      <c r="A125" t="s">
        <v>229</v>
      </c>
      <c r="B125" s="5">
        <v>46145</v>
      </c>
      <c r="C125" s="5">
        <v>46146</v>
      </c>
      <c r="D125" s="5">
        <v>46150</v>
      </c>
      <c r="E125" s="5">
        <v>46151</v>
      </c>
      <c r="F125" t="s">
        <v>34</v>
      </c>
      <c r="G125" t="s">
        <v>59</v>
      </c>
      <c r="H125" t="s">
        <v>23</v>
      </c>
      <c r="I125" t="s">
        <v>43</v>
      </c>
      <c r="J125">
        <v>309.2</v>
      </c>
      <c r="K125">
        <v>3900.7</v>
      </c>
      <c r="L125">
        <v>6133000</v>
      </c>
      <c r="M125" t="b">
        <v>0</v>
      </c>
      <c r="N125" t="b">
        <v>0</v>
      </c>
      <c r="O125">
        <v>5000</v>
      </c>
      <c r="P125" t="b">
        <v>0</v>
      </c>
      <c r="Q125" t="b">
        <v>0</v>
      </c>
      <c r="R125" t="b">
        <v>0</v>
      </c>
      <c r="S125" t="s">
        <v>101</v>
      </c>
      <c r="T125" t="s">
        <v>1616</v>
      </c>
      <c r="U125">
        <v>78.013999999999996</v>
      </c>
      <c r="V125">
        <v>0</v>
      </c>
      <c r="W125">
        <v>0</v>
      </c>
      <c r="X125">
        <v>5</v>
      </c>
      <c r="Y125" s="6">
        <v>46143</v>
      </c>
      <c r="Z125">
        <v>1</v>
      </c>
    </row>
    <row r="126" spans="1:26" x14ac:dyDescent="0.3">
      <c r="A126" t="s">
        <v>230</v>
      </c>
      <c r="B126" s="5">
        <v>46061</v>
      </c>
      <c r="C126" s="5">
        <v>46063</v>
      </c>
      <c r="D126" s="5">
        <v>46064</v>
      </c>
      <c r="E126" s="5">
        <v>46065</v>
      </c>
      <c r="F126" t="s">
        <v>31</v>
      </c>
      <c r="G126" t="s">
        <v>61</v>
      </c>
      <c r="H126" t="s">
        <v>20</v>
      </c>
      <c r="I126" t="s">
        <v>43</v>
      </c>
      <c r="J126">
        <v>55.9</v>
      </c>
      <c r="K126">
        <v>2046.3</v>
      </c>
      <c r="L126">
        <v>2551000</v>
      </c>
      <c r="M126" t="b">
        <v>0</v>
      </c>
      <c r="N126" t="b">
        <v>0</v>
      </c>
      <c r="O126">
        <v>5000</v>
      </c>
      <c r="P126" t="b">
        <v>0</v>
      </c>
      <c r="Q126" t="b">
        <v>0</v>
      </c>
      <c r="R126" t="b">
        <v>0</v>
      </c>
      <c r="S126" t="s">
        <v>101</v>
      </c>
      <c r="T126" t="s">
        <v>1645</v>
      </c>
      <c r="U126">
        <v>40.926000000000002</v>
      </c>
      <c r="V126">
        <v>0</v>
      </c>
      <c r="W126">
        <v>0</v>
      </c>
      <c r="X126">
        <v>2</v>
      </c>
      <c r="Y126" s="6">
        <v>46054</v>
      </c>
      <c r="Z126">
        <v>1</v>
      </c>
    </row>
    <row r="127" spans="1:26" x14ac:dyDescent="0.3">
      <c r="A127" t="s">
        <v>231</v>
      </c>
      <c r="B127" s="5">
        <v>46158</v>
      </c>
      <c r="C127" s="5">
        <v>46159</v>
      </c>
      <c r="D127" s="5">
        <v>46162</v>
      </c>
      <c r="E127" s="5">
        <v>46162</v>
      </c>
      <c r="F127" t="s">
        <v>31</v>
      </c>
      <c r="G127" t="s">
        <v>53</v>
      </c>
      <c r="H127" t="s">
        <v>23</v>
      </c>
      <c r="I127" t="s">
        <v>44</v>
      </c>
      <c r="J127">
        <v>326.7</v>
      </c>
      <c r="K127">
        <v>431.8</v>
      </c>
      <c r="L127">
        <v>3873000</v>
      </c>
      <c r="M127" t="b">
        <v>0</v>
      </c>
      <c r="N127" t="b">
        <v>0</v>
      </c>
      <c r="O127">
        <v>1500</v>
      </c>
      <c r="P127" t="b">
        <v>0</v>
      </c>
      <c r="Q127" t="b">
        <v>0</v>
      </c>
      <c r="R127" t="b">
        <v>0</v>
      </c>
      <c r="S127" t="s">
        <v>96</v>
      </c>
      <c r="T127" t="s">
        <v>1627</v>
      </c>
      <c r="U127">
        <v>28.786666666666669</v>
      </c>
      <c r="V127">
        <v>0</v>
      </c>
      <c r="W127">
        <v>0</v>
      </c>
      <c r="X127">
        <v>3</v>
      </c>
      <c r="Y127" s="6">
        <v>46143</v>
      </c>
    </row>
    <row r="128" spans="1:26" x14ac:dyDescent="0.3">
      <c r="A128" t="s">
        <v>232</v>
      </c>
      <c r="B128" s="5">
        <v>46023</v>
      </c>
      <c r="C128" s="5">
        <v>46024</v>
      </c>
      <c r="D128" s="5">
        <v>46027</v>
      </c>
      <c r="E128" s="5">
        <v>46027</v>
      </c>
      <c r="F128" t="s">
        <v>31</v>
      </c>
      <c r="G128" t="s">
        <v>59</v>
      </c>
      <c r="H128" t="s">
        <v>21</v>
      </c>
      <c r="I128" t="s">
        <v>43</v>
      </c>
      <c r="J128">
        <v>309.10000000000002</v>
      </c>
      <c r="K128">
        <v>3801.6</v>
      </c>
      <c r="L128">
        <v>5872000</v>
      </c>
      <c r="M128" t="b">
        <v>0</v>
      </c>
      <c r="N128" t="b">
        <v>0</v>
      </c>
      <c r="O128">
        <v>5000</v>
      </c>
      <c r="P128" t="b">
        <v>0</v>
      </c>
      <c r="Q128" t="b">
        <v>0</v>
      </c>
      <c r="R128" t="b">
        <v>0</v>
      </c>
      <c r="S128" t="s">
        <v>96</v>
      </c>
      <c r="T128" t="s">
        <v>1628</v>
      </c>
      <c r="U128">
        <v>76.031999999999996</v>
      </c>
      <c r="V128">
        <v>0</v>
      </c>
      <c r="W128">
        <v>0</v>
      </c>
      <c r="X128">
        <v>3</v>
      </c>
      <c r="Y128" s="6">
        <v>46023</v>
      </c>
    </row>
    <row r="129" spans="1:26" x14ac:dyDescent="0.3">
      <c r="A129" t="s">
        <v>233</v>
      </c>
      <c r="B129" s="5">
        <v>46194</v>
      </c>
      <c r="C129" s="5">
        <v>46195</v>
      </c>
      <c r="D129" s="5">
        <v>46199</v>
      </c>
      <c r="E129" s="5">
        <v>46199</v>
      </c>
      <c r="F129" t="s">
        <v>33</v>
      </c>
      <c r="G129" t="s">
        <v>54</v>
      </c>
      <c r="H129" t="s">
        <v>22</v>
      </c>
      <c r="I129" t="s">
        <v>42</v>
      </c>
      <c r="J129">
        <v>949.1</v>
      </c>
      <c r="K129">
        <v>14287.8</v>
      </c>
      <c r="L129">
        <v>22286000</v>
      </c>
      <c r="M129" t="b">
        <v>0</v>
      </c>
      <c r="N129" t="b">
        <v>0</v>
      </c>
      <c r="O129">
        <v>16000</v>
      </c>
      <c r="P129" t="b">
        <v>0</v>
      </c>
      <c r="Q129" t="b">
        <v>0</v>
      </c>
      <c r="R129" t="b">
        <v>0</v>
      </c>
      <c r="S129" t="s">
        <v>96</v>
      </c>
      <c r="T129" t="s">
        <v>1642</v>
      </c>
      <c r="U129">
        <v>89.298749999999998</v>
      </c>
      <c r="V129">
        <v>0</v>
      </c>
      <c r="W129">
        <v>0</v>
      </c>
      <c r="X129">
        <v>4</v>
      </c>
      <c r="Y129" s="6">
        <v>46174</v>
      </c>
    </row>
    <row r="130" spans="1:26" x14ac:dyDescent="0.3">
      <c r="A130" t="s">
        <v>234</v>
      </c>
      <c r="B130" s="5">
        <v>46116</v>
      </c>
      <c r="C130" s="5">
        <v>46117</v>
      </c>
      <c r="D130" s="5">
        <v>46122</v>
      </c>
      <c r="E130" s="5">
        <v>46123</v>
      </c>
      <c r="F130" t="s">
        <v>31</v>
      </c>
      <c r="G130" t="s">
        <v>62</v>
      </c>
      <c r="H130" t="s">
        <v>20</v>
      </c>
      <c r="I130" t="s">
        <v>43</v>
      </c>
      <c r="J130">
        <v>721</v>
      </c>
      <c r="K130">
        <v>3857.9</v>
      </c>
      <c r="L130">
        <v>11022000</v>
      </c>
      <c r="M130" t="b">
        <v>0</v>
      </c>
      <c r="N130" t="b">
        <v>0</v>
      </c>
      <c r="O130">
        <v>5000</v>
      </c>
      <c r="P130" t="b">
        <v>0</v>
      </c>
      <c r="Q130" t="b">
        <v>0</v>
      </c>
      <c r="R130" t="b">
        <v>0</v>
      </c>
      <c r="S130" t="s">
        <v>101</v>
      </c>
      <c r="T130" t="s">
        <v>1615</v>
      </c>
      <c r="U130">
        <v>77.158000000000001</v>
      </c>
      <c r="V130">
        <v>0</v>
      </c>
      <c r="W130">
        <v>0</v>
      </c>
      <c r="X130">
        <v>6</v>
      </c>
      <c r="Y130" s="6">
        <v>46113</v>
      </c>
      <c r="Z130">
        <v>1</v>
      </c>
    </row>
    <row r="131" spans="1:26" x14ac:dyDescent="0.3">
      <c r="A131" t="s">
        <v>235</v>
      </c>
      <c r="B131" s="5">
        <v>46158</v>
      </c>
      <c r="C131" s="5">
        <v>46160</v>
      </c>
      <c r="D131" s="5">
        <v>46164</v>
      </c>
      <c r="E131" s="5">
        <v>46164</v>
      </c>
      <c r="F131" t="s">
        <v>33</v>
      </c>
      <c r="G131" t="s">
        <v>61</v>
      </c>
      <c r="H131" t="s">
        <v>22</v>
      </c>
      <c r="I131" t="s">
        <v>43</v>
      </c>
      <c r="J131">
        <v>660.2</v>
      </c>
      <c r="K131">
        <v>1407.3</v>
      </c>
      <c r="L131">
        <v>8093000</v>
      </c>
      <c r="M131" t="b">
        <v>0</v>
      </c>
      <c r="N131" t="b">
        <v>0</v>
      </c>
      <c r="O131">
        <v>5000</v>
      </c>
      <c r="P131" t="b">
        <v>0</v>
      </c>
      <c r="Q131" t="b">
        <v>0</v>
      </c>
      <c r="R131" t="b">
        <v>0</v>
      </c>
      <c r="S131" t="s">
        <v>96</v>
      </c>
      <c r="T131" t="s">
        <v>1643</v>
      </c>
      <c r="U131">
        <v>28.146000000000001</v>
      </c>
      <c r="V131">
        <v>0</v>
      </c>
      <c r="W131">
        <v>0</v>
      </c>
      <c r="X131">
        <v>4</v>
      </c>
      <c r="Y131" s="6">
        <v>46143</v>
      </c>
    </row>
    <row r="132" spans="1:26" x14ac:dyDescent="0.3">
      <c r="A132" t="s">
        <v>236</v>
      </c>
      <c r="B132" s="5">
        <v>46111</v>
      </c>
      <c r="C132" s="5">
        <v>46113</v>
      </c>
      <c r="D132" s="5">
        <v>46116</v>
      </c>
      <c r="E132" s="5">
        <v>46116</v>
      </c>
      <c r="F132" t="s">
        <v>33</v>
      </c>
      <c r="G132" t="s">
        <v>59</v>
      </c>
      <c r="H132" t="s">
        <v>22</v>
      </c>
      <c r="I132" t="s">
        <v>44</v>
      </c>
      <c r="J132">
        <v>482.6</v>
      </c>
      <c r="K132">
        <v>279.2</v>
      </c>
      <c r="L132">
        <v>5189000</v>
      </c>
      <c r="M132" t="b">
        <v>0</v>
      </c>
      <c r="N132" t="b">
        <v>0</v>
      </c>
      <c r="O132">
        <v>1500</v>
      </c>
      <c r="P132" t="b">
        <v>0</v>
      </c>
      <c r="Q132" t="b">
        <v>0</v>
      </c>
      <c r="R132" t="b">
        <v>0</v>
      </c>
      <c r="S132" t="s">
        <v>96</v>
      </c>
      <c r="T132" t="s">
        <v>1648</v>
      </c>
      <c r="U132">
        <v>18.61333333333333</v>
      </c>
      <c r="V132">
        <v>0</v>
      </c>
      <c r="W132">
        <v>0</v>
      </c>
      <c r="X132">
        <v>3</v>
      </c>
      <c r="Y132" s="6">
        <v>46113</v>
      </c>
    </row>
    <row r="133" spans="1:26" x14ac:dyDescent="0.3">
      <c r="A133" t="s">
        <v>237</v>
      </c>
      <c r="B133" s="5">
        <v>46125</v>
      </c>
      <c r="C133" s="5">
        <v>46126</v>
      </c>
      <c r="D133" s="5">
        <v>46128</v>
      </c>
      <c r="E133" s="5">
        <v>46128</v>
      </c>
      <c r="F133" t="s">
        <v>31</v>
      </c>
      <c r="G133" t="s">
        <v>52</v>
      </c>
      <c r="H133" t="s">
        <v>23</v>
      </c>
      <c r="I133" t="s">
        <v>44</v>
      </c>
      <c r="J133">
        <v>285.5</v>
      </c>
      <c r="K133">
        <v>1085.9000000000001</v>
      </c>
      <c r="L133">
        <v>3584000</v>
      </c>
      <c r="M133" t="b">
        <v>0</v>
      </c>
      <c r="N133" t="b">
        <v>0</v>
      </c>
      <c r="O133">
        <v>1500</v>
      </c>
      <c r="P133" t="b">
        <v>0</v>
      </c>
      <c r="Q133" t="b">
        <v>0</v>
      </c>
      <c r="R133" t="b">
        <v>0</v>
      </c>
      <c r="S133" t="s">
        <v>96</v>
      </c>
      <c r="T133" t="s">
        <v>1618</v>
      </c>
      <c r="U133">
        <v>72.393333333333345</v>
      </c>
      <c r="V133">
        <v>0</v>
      </c>
      <c r="W133">
        <v>0</v>
      </c>
      <c r="X133">
        <v>2</v>
      </c>
      <c r="Y133" s="6">
        <v>46113</v>
      </c>
    </row>
    <row r="134" spans="1:26" x14ac:dyDescent="0.3">
      <c r="A134" t="s">
        <v>238</v>
      </c>
      <c r="B134" s="5">
        <v>46046</v>
      </c>
      <c r="C134" s="5">
        <v>46048</v>
      </c>
      <c r="D134" s="5">
        <v>46049</v>
      </c>
      <c r="E134" s="5">
        <v>46049</v>
      </c>
      <c r="F134" t="s">
        <v>33</v>
      </c>
      <c r="G134" t="s">
        <v>60</v>
      </c>
      <c r="H134" t="s">
        <v>20</v>
      </c>
      <c r="I134" t="s">
        <v>43</v>
      </c>
      <c r="J134">
        <v>21.6</v>
      </c>
      <c r="K134">
        <v>1941.6</v>
      </c>
      <c r="L134">
        <v>1817000</v>
      </c>
      <c r="M134" t="b">
        <v>0</v>
      </c>
      <c r="N134" t="b">
        <v>0</v>
      </c>
      <c r="O134">
        <v>5000</v>
      </c>
      <c r="P134" t="b">
        <v>0</v>
      </c>
      <c r="Q134" t="b">
        <v>0</v>
      </c>
      <c r="R134" t="b">
        <v>0</v>
      </c>
      <c r="S134" t="s">
        <v>96</v>
      </c>
      <c r="T134" t="s">
        <v>1650</v>
      </c>
      <c r="U134">
        <v>38.832000000000001</v>
      </c>
      <c r="V134">
        <v>0</v>
      </c>
      <c r="W134">
        <v>0</v>
      </c>
      <c r="X134">
        <v>1</v>
      </c>
      <c r="Y134" s="6">
        <v>46023</v>
      </c>
    </row>
    <row r="135" spans="1:26" x14ac:dyDescent="0.3">
      <c r="A135" t="s">
        <v>239</v>
      </c>
      <c r="B135" s="5">
        <v>46115</v>
      </c>
      <c r="C135" s="5">
        <v>46115</v>
      </c>
      <c r="D135" s="5">
        <v>46117</v>
      </c>
      <c r="E135" s="5">
        <v>46118</v>
      </c>
      <c r="F135" t="s">
        <v>31</v>
      </c>
      <c r="G135" t="s">
        <v>52</v>
      </c>
      <c r="H135" t="s">
        <v>23</v>
      </c>
      <c r="I135" t="s">
        <v>42</v>
      </c>
      <c r="J135">
        <v>294.39999999999998</v>
      </c>
      <c r="K135">
        <v>4072.3</v>
      </c>
      <c r="L135">
        <v>7088000</v>
      </c>
      <c r="M135" t="b">
        <v>0</v>
      </c>
      <c r="N135" t="b">
        <v>0</v>
      </c>
      <c r="O135">
        <v>16000</v>
      </c>
      <c r="P135" t="b">
        <v>0</v>
      </c>
      <c r="Q135" t="b">
        <v>0</v>
      </c>
      <c r="R135" t="b">
        <v>0</v>
      </c>
      <c r="S135" t="s">
        <v>101</v>
      </c>
      <c r="T135" t="s">
        <v>1618</v>
      </c>
      <c r="U135">
        <v>25.451875000000001</v>
      </c>
      <c r="V135">
        <v>0</v>
      </c>
      <c r="W135">
        <v>0</v>
      </c>
      <c r="X135">
        <v>3</v>
      </c>
      <c r="Y135" s="6">
        <v>46113</v>
      </c>
      <c r="Z135">
        <v>1</v>
      </c>
    </row>
    <row r="136" spans="1:26" x14ac:dyDescent="0.3">
      <c r="A136" t="s">
        <v>240</v>
      </c>
      <c r="B136" s="5">
        <v>46098</v>
      </c>
      <c r="C136" s="5">
        <v>46099</v>
      </c>
      <c r="D136" s="5">
        <v>46103</v>
      </c>
      <c r="E136" s="5">
        <v>46104</v>
      </c>
      <c r="F136" t="s">
        <v>31</v>
      </c>
      <c r="G136" t="s">
        <v>56</v>
      </c>
      <c r="H136" t="s">
        <v>21</v>
      </c>
      <c r="I136" t="s">
        <v>44</v>
      </c>
      <c r="J136">
        <v>960.7</v>
      </c>
      <c r="K136">
        <v>1369.8</v>
      </c>
      <c r="L136">
        <v>11328000</v>
      </c>
      <c r="M136" t="b">
        <v>0</v>
      </c>
      <c r="N136" t="b">
        <v>0</v>
      </c>
      <c r="O136">
        <v>1500</v>
      </c>
      <c r="P136" t="b">
        <v>0</v>
      </c>
      <c r="Q136" t="b">
        <v>0</v>
      </c>
      <c r="R136" t="b">
        <v>0</v>
      </c>
      <c r="S136" t="s">
        <v>101</v>
      </c>
      <c r="T136" t="s">
        <v>1614</v>
      </c>
      <c r="U136">
        <v>91.32</v>
      </c>
      <c r="V136">
        <v>0</v>
      </c>
      <c r="W136">
        <v>0</v>
      </c>
      <c r="X136">
        <v>5</v>
      </c>
      <c r="Y136" s="6">
        <v>46082</v>
      </c>
      <c r="Z136">
        <v>1</v>
      </c>
    </row>
    <row r="137" spans="1:26" x14ac:dyDescent="0.3">
      <c r="A137" t="s">
        <v>241</v>
      </c>
      <c r="B137" s="5">
        <v>46165</v>
      </c>
      <c r="C137" s="5">
        <v>46166</v>
      </c>
      <c r="D137" s="5">
        <v>46169</v>
      </c>
      <c r="E137" s="5">
        <v>46170</v>
      </c>
      <c r="F137" t="s">
        <v>34</v>
      </c>
      <c r="G137" t="s">
        <v>54</v>
      </c>
      <c r="H137" t="s">
        <v>23</v>
      </c>
      <c r="I137" t="s">
        <v>44</v>
      </c>
      <c r="J137">
        <v>466</v>
      </c>
      <c r="K137">
        <v>895</v>
      </c>
      <c r="L137">
        <v>5003000</v>
      </c>
      <c r="M137" t="b">
        <v>0</v>
      </c>
      <c r="N137" t="b">
        <v>0</v>
      </c>
      <c r="O137">
        <v>1500</v>
      </c>
      <c r="P137" t="b">
        <v>0</v>
      </c>
      <c r="Q137" t="b">
        <v>0</v>
      </c>
      <c r="R137" t="b">
        <v>0</v>
      </c>
      <c r="S137" t="s">
        <v>101</v>
      </c>
      <c r="T137" t="s">
        <v>1635</v>
      </c>
      <c r="U137">
        <v>59.666666666666671</v>
      </c>
      <c r="V137">
        <v>0</v>
      </c>
      <c r="W137">
        <v>0</v>
      </c>
      <c r="X137">
        <v>4</v>
      </c>
      <c r="Y137" s="6">
        <v>46143</v>
      </c>
      <c r="Z137">
        <v>1</v>
      </c>
    </row>
    <row r="138" spans="1:26" x14ac:dyDescent="0.3">
      <c r="A138" t="s">
        <v>242</v>
      </c>
      <c r="B138" s="5">
        <v>46075</v>
      </c>
      <c r="C138" s="5">
        <v>46076</v>
      </c>
      <c r="D138" s="5">
        <v>46078</v>
      </c>
      <c r="E138" s="5">
        <v>46080</v>
      </c>
      <c r="F138" t="s">
        <v>34</v>
      </c>
      <c r="G138" t="s">
        <v>57</v>
      </c>
      <c r="H138" t="s">
        <v>20</v>
      </c>
      <c r="I138" t="s">
        <v>43</v>
      </c>
      <c r="J138">
        <v>154</v>
      </c>
      <c r="K138">
        <v>3844.5</v>
      </c>
      <c r="L138">
        <v>4864000</v>
      </c>
      <c r="M138" t="b">
        <v>0</v>
      </c>
      <c r="N138" t="b">
        <v>0</v>
      </c>
      <c r="O138">
        <v>5000</v>
      </c>
      <c r="P138" t="b">
        <v>0</v>
      </c>
      <c r="Q138" t="b">
        <v>0</v>
      </c>
      <c r="R138" t="b">
        <v>0</v>
      </c>
      <c r="S138" t="s">
        <v>101</v>
      </c>
      <c r="T138" t="s">
        <v>1620</v>
      </c>
      <c r="U138">
        <v>76.89</v>
      </c>
      <c r="V138">
        <v>0</v>
      </c>
      <c r="W138">
        <v>0</v>
      </c>
      <c r="X138">
        <v>4</v>
      </c>
      <c r="Y138" s="6">
        <v>46054</v>
      </c>
      <c r="Z138">
        <v>2</v>
      </c>
    </row>
    <row r="139" spans="1:26" x14ac:dyDescent="0.3">
      <c r="A139" t="s">
        <v>243</v>
      </c>
      <c r="B139" s="5">
        <v>46119</v>
      </c>
      <c r="C139" s="5">
        <v>46121</v>
      </c>
      <c r="D139" s="5">
        <v>46125</v>
      </c>
      <c r="E139" s="5">
        <v>46126</v>
      </c>
      <c r="F139" t="s">
        <v>33</v>
      </c>
      <c r="G139" t="s">
        <v>56</v>
      </c>
      <c r="H139" t="s">
        <v>23</v>
      </c>
      <c r="I139" t="s">
        <v>43</v>
      </c>
      <c r="J139">
        <v>1542.6</v>
      </c>
      <c r="K139">
        <v>1674.4</v>
      </c>
      <c r="L139">
        <v>25519000</v>
      </c>
      <c r="M139" t="b">
        <v>0</v>
      </c>
      <c r="N139" t="b">
        <v>0</v>
      </c>
      <c r="O139">
        <v>5000</v>
      </c>
      <c r="P139" t="b">
        <v>0</v>
      </c>
      <c r="Q139" t="b">
        <v>0</v>
      </c>
      <c r="R139" t="b">
        <v>0</v>
      </c>
      <c r="S139" t="s">
        <v>101</v>
      </c>
      <c r="T139" t="s">
        <v>1654</v>
      </c>
      <c r="U139">
        <v>33.488</v>
      </c>
      <c r="V139">
        <v>0</v>
      </c>
      <c r="W139">
        <v>0</v>
      </c>
      <c r="X139">
        <v>5</v>
      </c>
      <c r="Y139" s="6">
        <v>46113</v>
      </c>
      <c r="Z139">
        <v>1</v>
      </c>
    </row>
    <row r="140" spans="1:26" x14ac:dyDescent="0.3">
      <c r="A140" t="s">
        <v>244</v>
      </c>
      <c r="B140" s="5">
        <v>46115</v>
      </c>
      <c r="C140" s="5">
        <v>46115</v>
      </c>
      <c r="D140" s="5">
        <v>46117</v>
      </c>
      <c r="E140" s="5"/>
      <c r="F140" t="s">
        <v>32</v>
      </c>
      <c r="G140" t="s">
        <v>53</v>
      </c>
      <c r="H140" t="s">
        <v>20</v>
      </c>
      <c r="I140" t="s">
        <v>42</v>
      </c>
      <c r="J140">
        <v>260.3</v>
      </c>
      <c r="K140">
        <v>7372.7</v>
      </c>
      <c r="L140">
        <v>7710000</v>
      </c>
      <c r="M140" t="b">
        <v>0</v>
      </c>
      <c r="N140" t="b">
        <v>0</v>
      </c>
      <c r="O140">
        <v>16000</v>
      </c>
      <c r="P140" t="b">
        <v>0</v>
      </c>
      <c r="Q140" t="b">
        <v>0</v>
      </c>
      <c r="R140" t="b">
        <v>0</v>
      </c>
      <c r="S140" t="s">
        <v>203</v>
      </c>
      <c r="T140" t="s">
        <v>1612</v>
      </c>
      <c r="U140">
        <v>46.079374999999999</v>
      </c>
      <c r="V140">
        <v>0</v>
      </c>
      <c r="W140">
        <v>0</v>
      </c>
      <c r="Y140" s="6">
        <v>46113</v>
      </c>
    </row>
    <row r="141" spans="1:26" x14ac:dyDescent="0.3">
      <c r="A141" t="s">
        <v>245</v>
      </c>
      <c r="B141" s="5">
        <v>46098</v>
      </c>
      <c r="C141" s="5">
        <v>46099</v>
      </c>
      <c r="D141" s="5">
        <v>46101</v>
      </c>
      <c r="E141" s="5">
        <v>46101</v>
      </c>
      <c r="F141" t="s">
        <v>31</v>
      </c>
      <c r="G141" t="s">
        <v>58</v>
      </c>
      <c r="H141" t="s">
        <v>20</v>
      </c>
      <c r="I141" t="s">
        <v>42</v>
      </c>
      <c r="J141">
        <v>192</v>
      </c>
      <c r="K141">
        <v>13402.1</v>
      </c>
      <c r="L141">
        <v>9125000</v>
      </c>
      <c r="M141" t="b">
        <v>0</v>
      </c>
      <c r="N141" t="b">
        <v>0</v>
      </c>
      <c r="O141">
        <v>16000</v>
      </c>
      <c r="P141" t="b">
        <v>0</v>
      </c>
      <c r="Q141" t="b">
        <v>0</v>
      </c>
      <c r="R141" t="b">
        <v>0</v>
      </c>
      <c r="S141" t="s">
        <v>96</v>
      </c>
      <c r="T141" t="s">
        <v>1621</v>
      </c>
      <c r="U141">
        <v>83.763125000000002</v>
      </c>
      <c r="V141">
        <v>0</v>
      </c>
      <c r="W141">
        <v>0</v>
      </c>
      <c r="X141">
        <v>2</v>
      </c>
      <c r="Y141" s="6">
        <v>46082</v>
      </c>
    </row>
    <row r="142" spans="1:26" x14ac:dyDescent="0.3">
      <c r="A142" t="s">
        <v>246</v>
      </c>
      <c r="B142" s="5">
        <v>46073</v>
      </c>
      <c r="C142" s="5">
        <v>46074</v>
      </c>
      <c r="D142" s="5">
        <v>46078</v>
      </c>
      <c r="E142" s="5">
        <v>46079</v>
      </c>
      <c r="F142" t="s">
        <v>34</v>
      </c>
      <c r="G142" t="s">
        <v>56</v>
      </c>
      <c r="H142" t="s">
        <v>22</v>
      </c>
      <c r="I142" t="s">
        <v>45</v>
      </c>
      <c r="J142">
        <v>876.9</v>
      </c>
      <c r="K142">
        <v>519.70000000000005</v>
      </c>
      <c r="L142">
        <v>8340000</v>
      </c>
      <c r="M142" t="b">
        <v>0</v>
      </c>
      <c r="N142" t="b">
        <v>0</v>
      </c>
      <c r="O142">
        <v>1000</v>
      </c>
      <c r="P142" t="b">
        <v>0</v>
      </c>
      <c r="Q142" t="b">
        <v>0</v>
      </c>
      <c r="R142" t="b">
        <v>0</v>
      </c>
      <c r="S142" t="s">
        <v>101</v>
      </c>
      <c r="T142" t="s">
        <v>1646</v>
      </c>
      <c r="U142">
        <v>51.970000000000013</v>
      </c>
      <c r="V142">
        <v>0</v>
      </c>
      <c r="W142">
        <v>0</v>
      </c>
      <c r="X142">
        <v>5</v>
      </c>
      <c r="Y142" s="6">
        <v>46054</v>
      </c>
      <c r="Z142">
        <v>1</v>
      </c>
    </row>
    <row r="143" spans="1:26" x14ac:dyDescent="0.3">
      <c r="A143" t="s">
        <v>247</v>
      </c>
      <c r="B143" s="5">
        <v>46027</v>
      </c>
      <c r="C143" s="5">
        <v>46028</v>
      </c>
      <c r="D143" s="5">
        <v>46029</v>
      </c>
      <c r="E143" s="5">
        <v>46029</v>
      </c>
      <c r="F143" t="s">
        <v>32</v>
      </c>
      <c r="G143" t="s">
        <v>57</v>
      </c>
      <c r="H143" t="s">
        <v>21</v>
      </c>
      <c r="I143" t="s">
        <v>45</v>
      </c>
      <c r="J143">
        <v>14.4</v>
      </c>
      <c r="K143">
        <v>778</v>
      </c>
      <c r="L143">
        <v>6036000</v>
      </c>
      <c r="M143" t="b">
        <v>0</v>
      </c>
      <c r="N143" t="b">
        <v>0</v>
      </c>
      <c r="O143">
        <v>1000</v>
      </c>
      <c r="P143" t="b">
        <v>0</v>
      </c>
      <c r="Q143" t="b">
        <v>0</v>
      </c>
      <c r="R143" t="b">
        <v>0</v>
      </c>
      <c r="S143" t="s">
        <v>96</v>
      </c>
      <c r="T143" t="s">
        <v>1630</v>
      </c>
      <c r="U143">
        <v>77.8</v>
      </c>
      <c r="V143">
        <v>0</v>
      </c>
      <c r="W143">
        <v>0</v>
      </c>
      <c r="X143">
        <v>1</v>
      </c>
      <c r="Y143" s="6">
        <v>46023</v>
      </c>
    </row>
    <row r="144" spans="1:26" x14ac:dyDescent="0.3">
      <c r="A144" t="s">
        <v>248</v>
      </c>
      <c r="B144" s="5">
        <v>46137</v>
      </c>
      <c r="C144" s="5">
        <v>46138</v>
      </c>
      <c r="D144" s="5">
        <v>46139</v>
      </c>
      <c r="E144" s="5">
        <v>46139</v>
      </c>
      <c r="F144" t="s">
        <v>31</v>
      </c>
      <c r="G144" t="s">
        <v>55</v>
      </c>
      <c r="H144" t="s">
        <v>22</v>
      </c>
      <c r="I144" t="s">
        <v>45</v>
      </c>
      <c r="J144">
        <v>15.7</v>
      </c>
      <c r="K144">
        <v>80</v>
      </c>
      <c r="L144">
        <v>641000</v>
      </c>
      <c r="M144" t="b">
        <v>0</v>
      </c>
      <c r="N144" t="b">
        <v>0</v>
      </c>
      <c r="O144">
        <v>1000</v>
      </c>
      <c r="P144" t="b">
        <v>0</v>
      </c>
      <c r="Q144" t="b">
        <v>0</v>
      </c>
      <c r="R144" t="b">
        <v>0</v>
      </c>
      <c r="S144" t="s">
        <v>96</v>
      </c>
      <c r="T144" t="s">
        <v>1629</v>
      </c>
      <c r="U144">
        <v>8</v>
      </c>
      <c r="V144">
        <v>0</v>
      </c>
      <c r="W144">
        <v>0</v>
      </c>
      <c r="X144">
        <v>1</v>
      </c>
      <c r="Y144" s="6">
        <v>46113</v>
      </c>
    </row>
    <row r="145" spans="1:26" x14ac:dyDescent="0.3">
      <c r="A145" t="s">
        <v>249</v>
      </c>
      <c r="B145" s="5">
        <v>46101</v>
      </c>
      <c r="C145" s="5">
        <v>46101</v>
      </c>
      <c r="D145" s="5">
        <v>46103</v>
      </c>
      <c r="E145" s="5">
        <v>46103</v>
      </c>
      <c r="F145" t="s">
        <v>34</v>
      </c>
      <c r="G145" t="s">
        <v>61</v>
      </c>
      <c r="H145" t="s">
        <v>23</v>
      </c>
      <c r="I145" t="s">
        <v>44</v>
      </c>
      <c r="J145">
        <v>26.2</v>
      </c>
      <c r="K145">
        <v>266.3</v>
      </c>
      <c r="L145">
        <v>877000</v>
      </c>
      <c r="M145" t="b">
        <v>0</v>
      </c>
      <c r="N145" t="b">
        <v>0</v>
      </c>
      <c r="O145">
        <v>1500</v>
      </c>
      <c r="P145" t="b">
        <v>0</v>
      </c>
      <c r="Q145" t="b">
        <v>0</v>
      </c>
      <c r="R145" t="b">
        <v>0</v>
      </c>
      <c r="S145" t="s">
        <v>96</v>
      </c>
      <c r="T145" t="s">
        <v>1638</v>
      </c>
      <c r="U145">
        <v>17.75333333333333</v>
      </c>
      <c r="V145">
        <v>0</v>
      </c>
      <c r="W145">
        <v>0</v>
      </c>
      <c r="X145">
        <v>2</v>
      </c>
      <c r="Y145" s="6">
        <v>46082</v>
      </c>
    </row>
    <row r="146" spans="1:26" x14ac:dyDescent="0.3">
      <c r="A146" t="s">
        <v>250</v>
      </c>
      <c r="B146" s="5">
        <v>46190</v>
      </c>
      <c r="C146" s="5">
        <v>46192</v>
      </c>
      <c r="D146" s="5">
        <v>46194</v>
      </c>
      <c r="E146" s="5">
        <v>46193</v>
      </c>
      <c r="F146" t="s">
        <v>31</v>
      </c>
      <c r="G146" t="s">
        <v>57</v>
      </c>
      <c r="H146" t="s">
        <v>22</v>
      </c>
      <c r="I146" t="s">
        <v>44</v>
      </c>
      <c r="J146">
        <v>131.5</v>
      </c>
      <c r="K146">
        <v>718.1</v>
      </c>
      <c r="L146">
        <v>2223000</v>
      </c>
      <c r="M146" t="b">
        <v>0</v>
      </c>
      <c r="N146" t="b">
        <v>0</v>
      </c>
      <c r="O146">
        <v>1500</v>
      </c>
      <c r="P146" t="b">
        <v>0</v>
      </c>
      <c r="Q146" t="b">
        <v>0</v>
      </c>
      <c r="R146" t="b">
        <v>0</v>
      </c>
      <c r="S146" t="s">
        <v>96</v>
      </c>
      <c r="T146" t="s">
        <v>1617</v>
      </c>
      <c r="U146">
        <v>47.873333333333328</v>
      </c>
      <c r="V146">
        <v>0</v>
      </c>
      <c r="W146">
        <v>0</v>
      </c>
      <c r="X146">
        <v>1</v>
      </c>
      <c r="Y146" s="6">
        <v>46174</v>
      </c>
    </row>
    <row r="147" spans="1:26" x14ac:dyDescent="0.3">
      <c r="A147" t="s">
        <v>251</v>
      </c>
      <c r="B147" s="5">
        <v>46164</v>
      </c>
      <c r="C147" s="5">
        <v>46165</v>
      </c>
      <c r="D147" s="5">
        <v>46168</v>
      </c>
      <c r="E147" s="5">
        <v>46167</v>
      </c>
      <c r="F147" t="s">
        <v>31</v>
      </c>
      <c r="G147" t="s">
        <v>53</v>
      </c>
      <c r="H147" t="s">
        <v>20</v>
      </c>
      <c r="I147" t="s">
        <v>45</v>
      </c>
      <c r="J147">
        <v>316.3</v>
      </c>
      <c r="K147">
        <v>200.1</v>
      </c>
      <c r="L147">
        <v>3067000</v>
      </c>
      <c r="M147" t="b">
        <v>0</v>
      </c>
      <c r="N147" t="b">
        <v>0</v>
      </c>
      <c r="O147">
        <v>1000</v>
      </c>
      <c r="P147" t="b">
        <v>0</v>
      </c>
      <c r="Q147" t="b">
        <v>0</v>
      </c>
      <c r="R147" t="b">
        <v>0</v>
      </c>
      <c r="S147" t="s">
        <v>96</v>
      </c>
      <c r="T147" t="s">
        <v>1627</v>
      </c>
      <c r="U147">
        <v>20.010000000000002</v>
      </c>
      <c r="V147">
        <v>0</v>
      </c>
      <c r="W147">
        <v>0</v>
      </c>
      <c r="X147">
        <v>2</v>
      </c>
      <c r="Y147" s="6">
        <v>46143</v>
      </c>
    </row>
    <row r="148" spans="1:26" x14ac:dyDescent="0.3">
      <c r="A148" t="s">
        <v>252</v>
      </c>
      <c r="B148" s="5">
        <v>46039</v>
      </c>
      <c r="C148" s="5">
        <v>46040</v>
      </c>
      <c r="D148" s="5">
        <v>46041</v>
      </c>
      <c r="E148" s="5">
        <v>46041</v>
      </c>
      <c r="F148" t="s">
        <v>31</v>
      </c>
      <c r="G148" t="s">
        <v>55</v>
      </c>
      <c r="H148" t="s">
        <v>22</v>
      </c>
      <c r="I148" t="s">
        <v>42</v>
      </c>
      <c r="J148">
        <v>19.2</v>
      </c>
      <c r="K148">
        <v>8027.7</v>
      </c>
      <c r="L148">
        <v>3625000</v>
      </c>
      <c r="M148" t="b">
        <v>0</v>
      </c>
      <c r="N148" t="b">
        <v>0</v>
      </c>
      <c r="O148">
        <v>16000</v>
      </c>
      <c r="P148" t="b">
        <v>0</v>
      </c>
      <c r="Q148" t="b">
        <v>0</v>
      </c>
      <c r="R148" t="b">
        <v>0</v>
      </c>
      <c r="S148" t="s">
        <v>96</v>
      </c>
      <c r="T148" t="s">
        <v>1629</v>
      </c>
      <c r="U148">
        <v>50.173124999999999</v>
      </c>
      <c r="V148">
        <v>0</v>
      </c>
      <c r="W148">
        <v>0</v>
      </c>
      <c r="X148">
        <v>1</v>
      </c>
      <c r="Y148" s="6">
        <v>46023</v>
      </c>
    </row>
    <row r="149" spans="1:26" x14ac:dyDescent="0.3">
      <c r="A149" t="s">
        <v>253</v>
      </c>
      <c r="B149" s="5">
        <v>46156</v>
      </c>
      <c r="C149" s="5">
        <v>46157</v>
      </c>
      <c r="D149" s="5">
        <v>46159</v>
      </c>
      <c r="E149" s="5">
        <v>46159</v>
      </c>
      <c r="F149" t="s">
        <v>32</v>
      </c>
      <c r="G149" t="s">
        <v>59</v>
      </c>
      <c r="H149" t="s">
        <v>20</v>
      </c>
      <c r="I149" t="s">
        <v>43</v>
      </c>
      <c r="J149">
        <v>174.1</v>
      </c>
      <c r="K149">
        <v>644.6</v>
      </c>
      <c r="L149">
        <v>3631000</v>
      </c>
      <c r="M149" t="b">
        <v>0</v>
      </c>
      <c r="N149" t="b">
        <v>0</v>
      </c>
      <c r="O149">
        <v>5000</v>
      </c>
      <c r="P149" t="b">
        <v>0</v>
      </c>
      <c r="Q149" t="b">
        <v>0</v>
      </c>
      <c r="R149" t="b">
        <v>0</v>
      </c>
      <c r="S149" t="s">
        <v>96</v>
      </c>
      <c r="T149" t="s">
        <v>1619</v>
      </c>
      <c r="U149">
        <v>12.891999999999999</v>
      </c>
      <c r="V149">
        <v>0</v>
      </c>
      <c r="W149">
        <v>0</v>
      </c>
      <c r="X149">
        <v>2</v>
      </c>
      <c r="Y149" s="6">
        <v>46143</v>
      </c>
    </row>
    <row r="150" spans="1:26" x14ac:dyDescent="0.3">
      <c r="A150" t="s">
        <v>254</v>
      </c>
      <c r="B150" s="5">
        <v>46134</v>
      </c>
      <c r="C150" s="5">
        <v>46135</v>
      </c>
      <c r="D150" s="5">
        <v>46139</v>
      </c>
      <c r="E150" s="5">
        <v>46139</v>
      </c>
      <c r="F150" t="s">
        <v>34</v>
      </c>
      <c r="G150" t="s">
        <v>62</v>
      </c>
      <c r="H150" t="s">
        <v>20</v>
      </c>
      <c r="I150" t="s">
        <v>44</v>
      </c>
      <c r="J150">
        <v>718.8</v>
      </c>
      <c r="K150">
        <v>364</v>
      </c>
      <c r="L150">
        <v>7570000</v>
      </c>
      <c r="M150" t="b">
        <v>0</v>
      </c>
      <c r="N150" t="b">
        <v>0</v>
      </c>
      <c r="O150">
        <v>1500</v>
      </c>
      <c r="P150" t="b">
        <v>0</v>
      </c>
      <c r="Q150" t="b">
        <v>0</v>
      </c>
      <c r="R150" t="b">
        <v>0</v>
      </c>
      <c r="S150" t="s">
        <v>96</v>
      </c>
      <c r="T150" t="s">
        <v>1649</v>
      </c>
      <c r="U150">
        <v>24.266666666666669</v>
      </c>
      <c r="V150">
        <v>0</v>
      </c>
      <c r="W150">
        <v>0</v>
      </c>
      <c r="X150">
        <v>4</v>
      </c>
      <c r="Y150" s="6">
        <v>46113</v>
      </c>
    </row>
    <row r="151" spans="1:26" x14ac:dyDescent="0.3">
      <c r="A151" t="s">
        <v>255</v>
      </c>
      <c r="B151" s="5">
        <v>46045</v>
      </c>
      <c r="C151" s="5">
        <v>46045</v>
      </c>
      <c r="D151" s="5">
        <v>46047</v>
      </c>
      <c r="E151" s="5">
        <v>46048</v>
      </c>
      <c r="F151" t="s">
        <v>32</v>
      </c>
      <c r="G151" t="s">
        <v>59</v>
      </c>
      <c r="H151" t="s">
        <v>24</v>
      </c>
      <c r="I151" t="s">
        <v>45</v>
      </c>
      <c r="J151">
        <v>171.5</v>
      </c>
      <c r="K151">
        <v>727</v>
      </c>
      <c r="L151">
        <v>1828000</v>
      </c>
      <c r="M151" t="b">
        <v>0</v>
      </c>
      <c r="N151" t="b">
        <v>0</v>
      </c>
      <c r="O151">
        <v>1000</v>
      </c>
      <c r="P151" t="b">
        <v>0</v>
      </c>
      <c r="Q151" t="b">
        <v>0</v>
      </c>
      <c r="R151" t="b">
        <v>0</v>
      </c>
      <c r="S151" t="s">
        <v>101</v>
      </c>
      <c r="T151" t="s">
        <v>1619</v>
      </c>
      <c r="U151">
        <v>72.7</v>
      </c>
      <c r="V151">
        <v>0</v>
      </c>
      <c r="W151">
        <v>0</v>
      </c>
      <c r="X151">
        <v>3</v>
      </c>
      <c r="Y151" s="6">
        <v>46023</v>
      </c>
      <c r="Z151">
        <v>1</v>
      </c>
    </row>
    <row r="152" spans="1:26" x14ac:dyDescent="0.3">
      <c r="A152" t="s">
        <v>256</v>
      </c>
      <c r="B152" s="5">
        <v>46041</v>
      </c>
      <c r="C152" s="5">
        <v>46042</v>
      </c>
      <c r="D152" s="5">
        <v>46045</v>
      </c>
      <c r="E152" s="5">
        <v>46048</v>
      </c>
      <c r="F152" t="s">
        <v>34</v>
      </c>
      <c r="G152" t="s">
        <v>59</v>
      </c>
      <c r="H152" t="s">
        <v>22</v>
      </c>
      <c r="I152" t="s">
        <v>44</v>
      </c>
      <c r="J152">
        <v>335.5</v>
      </c>
      <c r="K152">
        <v>789.4</v>
      </c>
      <c r="L152">
        <v>4556000</v>
      </c>
      <c r="M152" t="b">
        <v>0</v>
      </c>
      <c r="N152" t="b">
        <v>0</v>
      </c>
      <c r="O152">
        <v>1500</v>
      </c>
      <c r="P152" t="b">
        <v>0</v>
      </c>
      <c r="Q152" t="b">
        <v>0</v>
      </c>
      <c r="R152" t="b">
        <v>0</v>
      </c>
      <c r="S152" t="s">
        <v>101</v>
      </c>
      <c r="T152" t="s">
        <v>1616</v>
      </c>
      <c r="U152">
        <v>52.626666666666672</v>
      </c>
      <c r="V152">
        <v>0</v>
      </c>
      <c r="W152">
        <v>0</v>
      </c>
      <c r="X152">
        <v>6</v>
      </c>
      <c r="Y152" s="6">
        <v>46023</v>
      </c>
      <c r="Z152">
        <v>3</v>
      </c>
    </row>
    <row r="153" spans="1:26" x14ac:dyDescent="0.3">
      <c r="A153" t="s">
        <v>257</v>
      </c>
      <c r="B153" s="5">
        <v>46160</v>
      </c>
      <c r="C153" s="5">
        <v>46161</v>
      </c>
      <c r="D153" s="5">
        <v>46165</v>
      </c>
      <c r="E153" s="5">
        <v>46165</v>
      </c>
      <c r="F153" t="s">
        <v>34</v>
      </c>
      <c r="G153" t="s">
        <v>60</v>
      </c>
      <c r="H153" t="s">
        <v>23</v>
      </c>
      <c r="I153" t="s">
        <v>43</v>
      </c>
      <c r="J153">
        <v>659</v>
      </c>
      <c r="K153">
        <v>593.1</v>
      </c>
      <c r="L153">
        <v>7758000</v>
      </c>
      <c r="M153" t="b">
        <v>0</v>
      </c>
      <c r="N153" t="b">
        <v>0</v>
      </c>
      <c r="O153">
        <v>5000</v>
      </c>
      <c r="P153" t="b">
        <v>0</v>
      </c>
      <c r="Q153" t="b">
        <v>0</v>
      </c>
      <c r="R153" t="b">
        <v>0</v>
      </c>
      <c r="S153" t="s">
        <v>96</v>
      </c>
      <c r="T153" t="s">
        <v>1644</v>
      </c>
      <c r="U153">
        <v>11.862</v>
      </c>
      <c r="V153">
        <v>0</v>
      </c>
      <c r="W153">
        <v>0</v>
      </c>
      <c r="X153">
        <v>4</v>
      </c>
      <c r="Y153" s="6">
        <v>46143</v>
      </c>
    </row>
    <row r="154" spans="1:26" x14ac:dyDescent="0.3">
      <c r="A154" t="s">
        <v>258</v>
      </c>
      <c r="B154" s="5">
        <v>46077</v>
      </c>
      <c r="C154" s="5">
        <v>46079</v>
      </c>
      <c r="D154" s="5">
        <v>46081</v>
      </c>
      <c r="E154" s="5">
        <v>46081</v>
      </c>
      <c r="F154" t="s">
        <v>32</v>
      </c>
      <c r="G154" t="s">
        <v>55</v>
      </c>
      <c r="H154" t="s">
        <v>22</v>
      </c>
      <c r="I154" t="s">
        <v>44</v>
      </c>
      <c r="J154">
        <v>133.1</v>
      </c>
      <c r="K154">
        <v>649.4</v>
      </c>
      <c r="L154">
        <v>1898000</v>
      </c>
      <c r="M154" t="b">
        <v>0</v>
      </c>
      <c r="N154" t="b">
        <v>0</v>
      </c>
      <c r="O154">
        <v>1500</v>
      </c>
      <c r="P154" t="b">
        <v>0</v>
      </c>
      <c r="Q154" t="b">
        <v>0</v>
      </c>
      <c r="R154" t="b">
        <v>0</v>
      </c>
      <c r="S154" t="s">
        <v>96</v>
      </c>
      <c r="T154" t="s">
        <v>1633</v>
      </c>
      <c r="U154">
        <v>43.293333333333337</v>
      </c>
      <c r="V154">
        <v>0</v>
      </c>
      <c r="W154">
        <v>0</v>
      </c>
      <c r="X154">
        <v>2</v>
      </c>
      <c r="Y154" s="6">
        <v>46054</v>
      </c>
    </row>
    <row r="155" spans="1:26" x14ac:dyDescent="0.3">
      <c r="A155" t="s">
        <v>259</v>
      </c>
      <c r="B155" s="5">
        <v>46138</v>
      </c>
      <c r="C155" s="5">
        <v>46139</v>
      </c>
      <c r="D155" s="5">
        <v>46138</v>
      </c>
      <c r="E155" s="5">
        <v>46143</v>
      </c>
      <c r="F155" t="s">
        <v>32</v>
      </c>
      <c r="G155" t="s">
        <v>54</v>
      </c>
      <c r="H155" t="s">
        <v>24</v>
      </c>
      <c r="I155" t="s">
        <v>43</v>
      </c>
      <c r="J155">
        <v>577.1</v>
      </c>
      <c r="K155">
        <v>3349.3</v>
      </c>
      <c r="L155">
        <v>9326000</v>
      </c>
      <c r="M155" t="b">
        <v>1</v>
      </c>
      <c r="N155" t="b">
        <v>0</v>
      </c>
      <c r="O155">
        <v>5000</v>
      </c>
      <c r="P155" t="b">
        <v>0</v>
      </c>
      <c r="Q155" t="b">
        <v>0</v>
      </c>
      <c r="R155" t="b">
        <v>1</v>
      </c>
      <c r="S155" t="s">
        <v>260</v>
      </c>
      <c r="T155" t="s">
        <v>1655</v>
      </c>
      <c r="U155">
        <v>66.986000000000004</v>
      </c>
      <c r="V155">
        <v>0</v>
      </c>
      <c r="W155">
        <v>1</v>
      </c>
      <c r="Y155" s="6">
        <v>46113</v>
      </c>
    </row>
    <row r="156" spans="1:26" x14ac:dyDescent="0.3">
      <c r="A156" t="s">
        <v>261</v>
      </c>
      <c r="B156" s="5">
        <v>46190</v>
      </c>
      <c r="C156" s="5">
        <v>46192</v>
      </c>
      <c r="D156" s="5">
        <v>46196</v>
      </c>
      <c r="E156" s="5">
        <v>46197</v>
      </c>
      <c r="F156" t="s">
        <v>31</v>
      </c>
      <c r="G156" t="s">
        <v>56</v>
      </c>
      <c r="H156" t="s">
        <v>22</v>
      </c>
      <c r="I156" t="s">
        <v>44</v>
      </c>
      <c r="J156">
        <v>916.8</v>
      </c>
      <c r="K156">
        <v>867.1</v>
      </c>
      <c r="L156">
        <v>9335000</v>
      </c>
      <c r="M156" t="b">
        <v>0</v>
      </c>
      <c r="N156" t="b">
        <v>0</v>
      </c>
      <c r="O156">
        <v>1500</v>
      </c>
      <c r="P156" t="b">
        <v>0</v>
      </c>
      <c r="Q156" t="b">
        <v>0</v>
      </c>
      <c r="R156" t="b">
        <v>0</v>
      </c>
      <c r="S156" t="s">
        <v>101</v>
      </c>
      <c r="T156" t="s">
        <v>1614</v>
      </c>
      <c r="U156">
        <v>57.806666666666672</v>
      </c>
      <c r="V156">
        <v>0</v>
      </c>
      <c r="W156">
        <v>0</v>
      </c>
      <c r="X156">
        <v>5</v>
      </c>
      <c r="Y156" s="6">
        <v>46174</v>
      </c>
      <c r="Z156">
        <v>1</v>
      </c>
    </row>
    <row r="157" spans="1:26" x14ac:dyDescent="0.3">
      <c r="A157" t="s">
        <v>262</v>
      </c>
      <c r="B157" s="5">
        <v>46170</v>
      </c>
      <c r="C157" s="5">
        <v>46171</v>
      </c>
      <c r="D157" s="5">
        <v>46174</v>
      </c>
      <c r="E157" s="5">
        <v>46174</v>
      </c>
      <c r="F157" t="s">
        <v>31</v>
      </c>
      <c r="G157" t="s">
        <v>54</v>
      </c>
      <c r="H157" t="s">
        <v>20</v>
      </c>
      <c r="I157" t="s">
        <v>45</v>
      </c>
      <c r="J157">
        <v>493</v>
      </c>
      <c r="K157">
        <v>370.4</v>
      </c>
      <c r="L157">
        <v>5575000</v>
      </c>
      <c r="M157" t="b">
        <v>0</v>
      </c>
      <c r="N157" t="b">
        <v>0</v>
      </c>
      <c r="O157">
        <v>1000</v>
      </c>
      <c r="P157" t="b">
        <v>0</v>
      </c>
      <c r="Q157" t="b">
        <v>0</v>
      </c>
      <c r="R157" t="b">
        <v>0</v>
      </c>
      <c r="S157" t="s">
        <v>96</v>
      </c>
      <c r="T157" t="s">
        <v>1631</v>
      </c>
      <c r="U157">
        <v>37.039999999999992</v>
      </c>
      <c r="V157">
        <v>0</v>
      </c>
      <c r="W157">
        <v>0</v>
      </c>
      <c r="X157">
        <v>3</v>
      </c>
      <c r="Y157" s="6">
        <v>46143</v>
      </c>
    </row>
    <row r="158" spans="1:26" x14ac:dyDescent="0.3">
      <c r="A158" t="s">
        <v>263</v>
      </c>
      <c r="B158" s="5">
        <v>46136</v>
      </c>
      <c r="C158" s="5">
        <v>46138</v>
      </c>
      <c r="D158" s="5">
        <v>46140</v>
      </c>
      <c r="E158" s="5">
        <v>46142</v>
      </c>
      <c r="F158" t="s">
        <v>31</v>
      </c>
      <c r="G158" t="s">
        <v>58</v>
      </c>
      <c r="H158" t="s">
        <v>23</v>
      </c>
      <c r="I158" t="s">
        <v>43</v>
      </c>
      <c r="J158">
        <v>178.4</v>
      </c>
      <c r="K158">
        <v>1561.8</v>
      </c>
      <c r="L158">
        <v>3165000</v>
      </c>
      <c r="M158" t="b">
        <v>0</v>
      </c>
      <c r="N158" t="b">
        <v>0</v>
      </c>
      <c r="O158">
        <v>5000</v>
      </c>
      <c r="P158" t="b">
        <v>0</v>
      </c>
      <c r="Q158" t="b">
        <v>0</v>
      </c>
      <c r="R158" t="b">
        <v>0</v>
      </c>
      <c r="S158" t="s">
        <v>101</v>
      </c>
      <c r="T158" t="s">
        <v>1621</v>
      </c>
      <c r="U158">
        <v>31.236000000000001</v>
      </c>
      <c r="V158">
        <v>0</v>
      </c>
      <c r="W158">
        <v>0</v>
      </c>
      <c r="X158">
        <v>4</v>
      </c>
      <c r="Y158" s="6">
        <v>46113</v>
      </c>
      <c r="Z158">
        <v>2</v>
      </c>
    </row>
    <row r="159" spans="1:26" x14ac:dyDescent="0.3">
      <c r="A159" t="s">
        <v>264</v>
      </c>
      <c r="B159" s="5">
        <v>46106</v>
      </c>
      <c r="C159" s="5">
        <v>46106</v>
      </c>
      <c r="D159" s="5">
        <v>46109</v>
      </c>
      <c r="E159" s="5">
        <v>46109</v>
      </c>
      <c r="F159" t="s">
        <v>33</v>
      </c>
      <c r="G159" t="s">
        <v>52</v>
      </c>
      <c r="H159" t="s">
        <v>21</v>
      </c>
      <c r="I159" t="s">
        <v>43</v>
      </c>
      <c r="J159">
        <v>599.4</v>
      </c>
      <c r="K159">
        <v>2442</v>
      </c>
      <c r="L159">
        <v>9253000</v>
      </c>
      <c r="M159" t="b">
        <v>0</v>
      </c>
      <c r="N159" t="b">
        <v>0</v>
      </c>
      <c r="O159">
        <v>5000</v>
      </c>
      <c r="P159" t="b">
        <v>0</v>
      </c>
      <c r="Q159" t="b">
        <v>0</v>
      </c>
      <c r="R159" t="b">
        <v>0</v>
      </c>
      <c r="S159" t="s">
        <v>96</v>
      </c>
      <c r="T159" t="s">
        <v>1622</v>
      </c>
      <c r="U159">
        <v>48.84</v>
      </c>
      <c r="V159">
        <v>0</v>
      </c>
      <c r="W159">
        <v>0</v>
      </c>
      <c r="X159">
        <v>3</v>
      </c>
      <c r="Y159" s="6">
        <v>46082</v>
      </c>
    </row>
    <row r="160" spans="1:26" x14ac:dyDescent="0.3">
      <c r="A160" t="s">
        <v>265</v>
      </c>
      <c r="B160" s="5">
        <v>46039</v>
      </c>
      <c r="C160" s="5">
        <v>46040</v>
      </c>
      <c r="D160" s="5">
        <v>46041</v>
      </c>
      <c r="E160" s="5"/>
      <c r="F160" t="s">
        <v>34</v>
      </c>
      <c r="G160" t="s">
        <v>55</v>
      </c>
      <c r="H160" t="s">
        <v>22</v>
      </c>
      <c r="I160" t="s">
        <v>44</v>
      </c>
      <c r="J160">
        <v>53.4</v>
      </c>
      <c r="K160">
        <v>932.3</v>
      </c>
      <c r="L160">
        <v>1519000</v>
      </c>
      <c r="M160" t="b">
        <v>0</v>
      </c>
      <c r="N160" t="b">
        <v>0</v>
      </c>
      <c r="O160">
        <v>1500</v>
      </c>
      <c r="P160" t="b">
        <v>0</v>
      </c>
      <c r="Q160" t="b">
        <v>0</v>
      </c>
      <c r="R160" t="b">
        <v>0</v>
      </c>
      <c r="S160" t="s">
        <v>203</v>
      </c>
      <c r="T160" t="s">
        <v>1639</v>
      </c>
      <c r="U160">
        <v>62.153333333333329</v>
      </c>
      <c r="V160">
        <v>0</v>
      </c>
      <c r="W160">
        <v>0</v>
      </c>
      <c r="Y160" s="6">
        <v>46023</v>
      </c>
    </row>
    <row r="161" spans="1:26" x14ac:dyDescent="0.3">
      <c r="A161" t="s">
        <v>266</v>
      </c>
      <c r="B161" s="5">
        <v>46087</v>
      </c>
      <c r="C161" s="5">
        <v>46088</v>
      </c>
      <c r="D161" s="5">
        <v>46091</v>
      </c>
      <c r="E161" s="5">
        <v>46091</v>
      </c>
      <c r="F161" t="s">
        <v>33</v>
      </c>
      <c r="G161" t="s">
        <v>53</v>
      </c>
      <c r="H161" t="s">
        <v>22</v>
      </c>
      <c r="I161" t="s">
        <v>43</v>
      </c>
      <c r="J161">
        <v>518.6</v>
      </c>
      <c r="K161">
        <v>3325.6</v>
      </c>
      <c r="L161">
        <v>9256000</v>
      </c>
      <c r="M161" t="b">
        <v>0</v>
      </c>
      <c r="N161" t="b">
        <v>0</v>
      </c>
      <c r="O161">
        <v>5000</v>
      </c>
      <c r="P161" t="b">
        <v>0</v>
      </c>
      <c r="Q161" t="b">
        <v>0</v>
      </c>
      <c r="R161" t="b">
        <v>0</v>
      </c>
      <c r="S161" t="s">
        <v>96</v>
      </c>
      <c r="T161" t="s">
        <v>1632</v>
      </c>
      <c r="U161">
        <v>66.512</v>
      </c>
      <c r="V161">
        <v>0</v>
      </c>
      <c r="W161">
        <v>0</v>
      </c>
      <c r="X161">
        <v>3</v>
      </c>
      <c r="Y161" s="6">
        <v>46082</v>
      </c>
    </row>
    <row r="162" spans="1:26" x14ac:dyDescent="0.3">
      <c r="A162" t="s">
        <v>267</v>
      </c>
      <c r="B162" s="5">
        <v>46198</v>
      </c>
      <c r="C162" s="5">
        <v>46199</v>
      </c>
      <c r="D162" s="5">
        <v>46200</v>
      </c>
      <c r="E162" s="5">
        <v>46200</v>
      </c>
      <c r="F162" t="s">
        <v>32</v>
      </c>
      <c r="G162" t="s">
        <v>57</v>
      </c>
      <c r="H162" t="s">
        <v>22</v>
      </c>
      <c r="I162" t="s">
        <v>45</v>
      </c>
      <c r="J162">
        <v>14.1</v>
      </c>
      <c r="K162">
        <v>203.7</v>
      </c>
      <c r="L162">
        <v>618000</v>
      </c>
      <c r="M162" t="b">
        <v>0</v>
      </c>
      <c r="N162" t="b">
        <v>0</v>
      </c>
      <c r="O162">
        <v>1000</v>
      </c>
      <c r="P162" t="b">
        <v>0</v>
      </c>
      <c r="Q162" t="b">
        <v>0</v>
      </c>
      <c r="R162" t="b">
        <v>0</v>
      </c>
      <c r="S162" t="s">
        <v>96</v>
      </c>
      <c r="T162" t="s">
        <v>1630</v>
      </c>
      <c r="U162">
        <v>20.37</v>
      </c>
      <c r="V162">
        <v>0</v>
      </c>
      <c r="W162">
        <v>0</v>
      </c>
      <c r="X162">
        <v>1</v>
      </c>
      <c r="Y162" s="6">
        <v>46174</v>
      </c>
    </row>
    <row r="163" spans="1:26" x14ac:dyDescent="0.3">
      <c r="A163" t="s">
        <v>268</v>
      </c>
      <c r="B163" s="5">
        <v>46186</v>
      </c>
      <c r="C163" s="5">
        <v>46187</v>
      </c>
      <c r="D163" s="5">
        <v>46190</v>
      </c>
      <c r="E163" s="5">
        <v>46190</v>
      </c>
      <c r="F163" t="s">
        <v>34</v>
      </c>
      <c r="G163" t="s">
        <v>57</v>
      </c>
      <c r="H163" t="s">
        <v>20</v>
      </c>
      <c r="I163" t="s">
        <v>42</v>
      </c>
      <c r="J163">
        <v>161.1</v>
      </c>
      <c r="K163">
        <v>9002.2000000000007</v>
      </c>
      <c r="L163">
        <v>7466000</v>
      </c>
      <c r="M163" t="b">
        <v>0</v>
      </c>
      <c r="N163" t="b">
        <v>0</v>
      </c>
      <c r="O163">
        <v>16000</v>
      </c>
      <c r="P163" t="b">
        <v>0</v>
      </c>
      <c r="Q163" t="b">
        <v>0</v>
      </c>
      <c r="R163" t="b">
        <v>0</v>
      </c>
      <c r="S163" t="s">
        <v>96</v>
      </c>
      <c r="T163" t="s">
        <v>1620</v>
      </c>
      <c r="U163">
        <v>56.263750000000002</v>
      </c>
      <c r="V163">
        <v>0</v>
      </c>
      <c r="W163">
        <v>0</v>
      </c>
      <c r="X163">
        <v>3</v>
      </c>
      <c r="Y163" s="6">
        <v>46174</v>
      </c>
    </row>
    <row r="164" spans="1:26" x14ac:dyDescent="0.3">
      <c r="A164" t="s">
        <v>269</v>
      </c>
      <c r="B164" s="5">
        <v>46037</v>
      </c>
      <c r="C164" s="5">
        <v>46038</v>
      </c>
      <c r="D164" s="5">
        <v>46041</v>
      </c>
      <c r="E164" s="5">
        <v>46041</v>
      </c>
      <c r="F164" t="s">
        <v>34</v>
      </c>
      <c r="G164" t="s">
        <v>63</v>
      </c>
      <c r="H164" t="s">
        <v>22</v>
      </c>
      <c r="I164" t="s">
        <v>42</v>
      </c>
      <c r="J164">
        <v>313</v>
      </c>
      <c r="K164">
        <v>5030.2</v>
      </c>
      <c r="L164">
        <v>8217000</v>
      </c>
      <c r="M164" t="b">
        <v>0</v>
      </c>
      <c r="N164" t="b">
        <v>0</v>
      </c>
      <c r="O164">
        <v>16000</v>
      </c>
      <c r="P164" t="b">
        <v>0</v>
      </c>
      <c r="Q164" t="b">
        <v>0</v>
      </c>
      <c r="R164" t="b">
        <v>0</v>
      </c>
      <c r="S164" t="s">
        <v>96</v>
      </c>
      <c r="T164" t="s">
        <v>1613</v>
      </c>
      <c r="U164">
        <v>31.438749999999999</v>
      </c>
      <c r="V164">
        <v>0</v>
      </c>
      <c r="W164">
        <v>0</v>
      </c>
      <c r="X164">
        <v>3</v>
      </c>
      <c r="Y164" s="6">
        <v>46023</v>
      </c>
    </row>
    <row r="165" spans="1:26" x14ac:dyDescent="0.3">
      <c r="A165" t="s">
        <v>270</v>
      </c>
      <c r="B165" s="5">
        <v>46066</v>
      </c>
      <c r="C165" s="5">
        <v>46066</v>
      </c>
      <c r="D165" s="5">
        <v>46069</v>
      </c>
      <c r="E165" s="5">
        <v>46069</v>
      </c>
      <c r="F165" t="s">
        <v>34</v>
      </c>
      <c r="G165" t="s">
        <v>52</v>
      </c>
      <c r="H165" t="s">
        <v>20</v>
      </c>
      <c r="I165" t="s">
        <v>45</v>
      </c>
      <c r="J165">
        <v>265.8</v>
      </c>
      <c r="K165">
        <v>843.1</v>
      </c>
      <c r="L165">
        <v>3054000</v>
      </c>
      <c r="M165" t="b">
        <v>0</v>
      </c>
      <c r="N165" t="b">
        <v>0</v>
      </c>
      <c r="O165">
        <v>1000</v>
      </c>
      <c r="P165" t="b">
        <v>0</v>
      </c>
      <c r="Q165" t="b">
        <v>0</v>
      </c>
      <c r="R165" t="b">
        <v>0</v>
      </c>
      <c r="S165" t="s">
        <v>96</v>
      </c>
      <c r="T165" t="s">
        <v>1623</v>
      </c>
      <c r="U165">
        <v>84.31</v>
      </c>
      <c r="V165">
        <v>0</v>
      </c>
      <c r="W165">
        <v>0</v>
      </c>
      <c r="X165">
        <v>3</v>
      </c>
      <c r="Y165" s="6">
        <v>46054</v>
      </c>
    </row>
    <row r="166" spans="1:26" x14ac:dyDescent="0.3">
      <c r="A166" t="s">
        <v>271</v>
      </c>
      <c r="B166" s="5">
        <v>46059</v>
      </c>
      <c r="C166" s="5">
        <v>46060</v>
      </c>
      <c r="D166" s="5">
        <v>46064</v>
      </c>
      <c r="E166" s="5">
        <v>46063</v>
      </c>
      <c r="F166" t="s">
        <v>33</v>
      </c>
      <c r="G166" t="s">
        <v>58</v>
      </c>
      <c r="H166" t="s">
        <v>24</v>
      </c>
      <c r="I166" t="s">
        <v>43</v>
      </c>
      <c r="J166">
        <v>705.9</v>
      </c>
      <c r="K166">
        <v>1131.5999999999999</v>
      </c>
      <c r="L166">
        <v>10007000</v>
      </c>
      <c r="M166" t="b">
        <v>0</v>
      </c>
      <c r="N166" t="b">
        <v>0</v>
      </c>
      <c r="O166">
        <v>5000</v>
      </c>
      <c r="P166" t="b">
        <v>0</v>
      </c>
      <c r="Q166" t="b">
        <v>0</v>
      </c>
      <c r="R166" t="b">
        <v>0</v>
      </c>
      <c r="S166" t="s">
        <v>96</v>
      </c>
      <c r="T166" t="s">
        <v>1651</v>
      </c>
      <c r="U166">
        <v>22.632000000000001</v>
      </c>
      <c r="V166">
        <v>0</v>
      </c>
      <c r="W166">
        <v>0</v>
      </c>
      <c r="X166">
        <v>3</v>
      </c>
      <c r="Y166" s="6">
        <v>46054</v>
      </c>
    </row>
    <row r="167" spans="1:26" x14ac:dyDescent="0.3">
      <c r="A167" t="s">
        <v>272</v>
      </c>
      <c r="B167" s="5">
        <v>46143</v>
      </c>
      <c r="C167" s="5">
        <v>46144</v>
      </c>
      <c r="D167" s="5">
        <v>46145</v>
      </c>
      <c r="E167" s="5">
        <v>46145</v>
      </c>
      <c r="F167" t="s">
        <v>31</v>
      </c>
      <c r="G167" t="s">
        <v>61</v>
      </c>
      <c r="H167" t="s">
        <v>21</v>
      </c>
      <c r="I167" t="s">
        <v>44</v>
      </c>
      <c r="J167">
        <v>60.8</v>
      </c>
      <c r="K167">
        <v>615.20000000000005</v>
      </c>
      <c r="L167">
        <v>1359000</v>
      </c>
      <c r="M167" t="b">
        <v>0</v>
      </c>
      <c r="N167" t="b">
        <v>0</v>
      </c>
      <c r="O167">
        <v>1500</v>
      </c>
      <c r="P167" t="b">
        <v>0</v>
      </c>
      <c r="Q167" t="b">
        <v>0</v>
      </c>
      <c r="R167" t="b">
        <v>0</v>
      </c>
      <c r="S167" t="s">
        <v>96</v>
      </c>
      <c r="T167" t="s">
        <v>1645</v>
      </c>
      <c r="U167">
        <v>41.013333333333343</v>
      </c>
      <c r="V167">
        <v>0</v>
      </c>
      <c r="W167">
        <v>0</v>
      </c>
      <c r="X167">
        <v>1</v>
      </c>
      <c r="Y167" s="6">
        <v>46143</v>
      </c>
    </row>
    <row r="168" spans="1:26" x14ac:dyDescent="0.3">
      <c r="A168" t="s">
        <v>273</v>
      </c>
      <c r="B168" s="5">
        <v>46135</v>
      </c>
      <c r="C168" s="5">
        <v>46136</v>
      </c>
      <c r="D168" s="5">
        <v>46140</v>
      </c>
      <c r="E168" s="5">
        <v>46140</v>
      </c>
      <c r="F168" t="s">
        <v>31</v>
      </c>
      <c r="G168" t="s">
        <v>62</v>
      </c>
      <c r="H168" t="s">
        <v>23</v>
      </c>
      <c r="I168" t="s">
        <v>44</v>
      </c>
      <c r="J168">
        <v>754.6</v>
      </c>
      <c r="K168">
        <v>730.1</v>
      </c>
      <c r="L168">
        <v>7751000</v>
      </c>
      <c r="M168" t="b">
        <v>0</v>
      </c>
      <c r="N168" t="b">
        <v>0</v>
      </c>
      <c r="O168">
        <v>1500</v>
      </c>
      <c r="P168" t="b">
        <v>0</v>
      </c>
      <c r="Q168" t="b">
        <v>0</v>
      </c>
      <c r="R168" t="b">
        <v>0</v>
      </c>
      <c r="S168" t="s">
        <v>96</v>
      </c>
      <c r="T168" t="s">
        <v>1615</v>
      </c>
      <c r="U168">
        <v>48.673333333333332</v>
      </c>
      <c r="V168">
        <v>0</v>
      </c>
      <c r="W168">
        <v>0</v>
      </c>
      <c r="X168">
        <v>4</v>
      </c>
      <c r="Y168" s="6">
        <v>46113</v>
      </c>
    </row>
    <row r="169" spans="1:26" x14ac:dyDescent="0.3">
      <c r="A169" t="s">
        <v>274</v>
      </c>
      <c r="B169" s="5">
        <v>46113</v>
      </c>
      <c r="C169" s="5">
        <v>46114</v>
      </c>
      <c r="D169" s="5">
        <v>46117</v>
      </c>
      <c r="E169" s="5">
        <v>46117</v>
      </c>
      <c r="F169" t="s">
        <v>33</v>
      </c>
      <c r="G169" t="s">
        <v>53</v>
      </c>
      <c r="H169" t="s">
        <v>20</v>
      </c>
      <c r="I169" t="s">
        <v>45</v>
      </c>
      <c r="J169">
        <v>585.4</v>
      </c>
      <c r="K169">
        <v>264.89999999999998</v>
      </c>
      <c r="L169">
        <v>6447000</v>
      </c>
      <c r="M169" t="b">
        <v>0</v>
      </c>
      <c r="N169" t="b">
        <v>0</v>
      </c>
      <c r="O169">
        <v>1000</v>
      </c>
      <c r="P169" t="b">
        <v>0</v>
      </c>
      <c r="Q169" t="b">
        <v>0</v>
      </c>
      <c r="R169" t="b">
        <v>0</v>
      </c>
      <c r="S169" t="s">
        <v>96</v>
      </c>
      <c r="T169" t="s">
        <v>1632</v>
      </c>
      <c r="U169">
        <v>26.49</v>
      </c>
      <c r="V169">
        <v>0</v>
      </c>
      <c r="W169">
        <v>0</v>
      </c>
      <c r="X169">
        <v>3</v>
      </c>
      <c r="Y169" s="6">
        <v>46113</v>
      </c>
    </row>
    <row r="170" spans="1:26" x14ac:dyDescent="0.3">
      <c r="A170" t="s">
        <v>275</v>
      </c>
      <c r="B170" s="5">
        <v>46194</v>
      </c>
      <c r="C170" s="5">
        <v>46195</v>
      </c>
      <c r="D170" s="5">
        <v>46198</v>
      </c>
      <c r="E170" s="5">
        <v>46198</v>
      </c>
      <c r="F170" t="s">
        <v>33</v>
      </c>
      <c r="G170" t="s">
        <v>53</v>
      </c>
      <c r="H170" t="s">
        <v>23</v>
      </c>
      <c r="I170" t="s">
        <v>43</v>
      </c>
      <c r="J170">
        <v>530.6</v>
      </c>
      <c r="K170">
        <v>3018.4</v>
      </c>
      <c r="L170">
        <v>7869000</v>
      </c>
      <c r="M170" t="b">
        <v>0</v>
      </c>
      <c r="N170" t="b">
        <v>0</v>
      </c>
      <c r="O170">
        <v>5000</v>
      </c>
      <c r="P170" t="b">
        <v>0</v>
      </c>
      <c r="Q170" t="b">
        <v>0</v>
      </c>
      <c r="R170" t="b">
        <v>0</v>
      </c>
      <c r="S170" t="s">
        <v>96</v>
      </c>
      <c r="T170" t="s">
        <v>1632</v>
      </c>
      <c r="U170">
        <v>60.368000000000002</v>
      </c>
      <c r="V170">
        <v>0</v>
      </c>
      <c r="W170">
        <v>0</v>
      </c>
      <c r="X170">
        <v>3</v>
      </c>
      <c r="Y170" s="6">
        <v>46174</v>
      </c>
    </row>
    <row r="171" spans="1:26" x14ac:dyDescent="0.3">
      <c r="A171" t="s">
        <v>276</v>
      </c>
      <c r="B171" s="5">
        <v>46023</v>
      </c>
      <c r="C171" s="5">
        <v>46025</v>
      </c>
      <c r="D171" s="5">
        <v>46027</v>
      </c>
      <c r="E171" s="5">
        <v>46027</v>
      </c>
      <c r="F171" t="s">
        <v>34</v>
      </c>
      <c r="G171" t="s">
        <v>57</v>
      </c>
      <c r="H171" t="s">
        <v>20</v>
      </c>
      <c r="I171" t="s">
        <v>43</v>
      </c>
      <c r="J171">
        <v>156</v>
      </c>
      <c r="K171">
        <v>3626.7</v>
      </c>
      <c r="L171">
        <v>4088000</v>
      </c>
      <c r="M171" t="b">
        <v>0</v>
      </c>
      <c r="N171" t="b">
        <v>0</v>
      </c>
      <c r="O171">
        <v>5000</v>
      </c>
      <c r="P171" t="b">
        <v>0</v>
      </c>
      <c r="Q171" t="b">
        <v>0</v>
      </c>
      <c r="R171" t="b">
        <v>0</v>
      </c>
      <c r="S171" t="s">
        <v>96</v>
      </c>
      <c r="T171" t="s">
        <v>1620</v>
      </c>
      <c r="U171">
        <v>72.533999999999992</v>
      </c>
      <c r="V171">
        <v>0</v>
      </c>
      <c r="W171">
        <v>0</v>
      </c>
      <c r="X171">
        <v>2</v>
      </c>
      <c r="Y171" s="6">
        <v>46023</v>
      </c>
    </row>
    <row r="172" spans="1:26" x14ac:dyDescent="0.3">
      <c r="A172" t="s">
        <v>277</v>
      </c>
      <c r="B172" s="5">
        <v>46136</v>
      </c>
      <c r="C172" s="5">
        <v>46136</v>
      </c>
      <c r="D172" s="5">
        <v>46137</v>
      </c>
      <c r="E172" s="5">
        <v>46138</v>
      </c>
      <c r="F172" t="s">
        <v>34</v>
      </c>
      <c r="G172" t="s">
        <v>55</v>
      </c>
      <c r="H172" t="s">
        <v>20</v>
      </c>
      <c r="I172" t="s">
        <v>43</v>
      </c>
      <c r="J172">
        <v>53.9</v>
      </c>
      <c r="K172">
        <v>1026.0999999999999</v>
      </c>
      <c r="L172">
        <v>1676000</v>
      </c>
      <c r="M172" t="b">
        <v>0</v>
      </c>
      <c r="N172" t="b">
        <v>0</v>
      </c>
      <c r="O172">
        <v>5000</v>
      </c>
      <c r="P172" t="b">
        <v>0</v>
      </c>
      <c r="Q172" t="b">
        <v>0</v>
      </c>
      <c r="R172" t="b">
        <v>0</v>
      </c>
      <c r="S172" t="s">
        <v>101</v>
      </c>
      <c r="T172" t="s">
        <v>1639</v>
      </c>
      <c r="U172">
        <v>20.521999999999998</v>
      </c>
      <c r="V172">
        <v>0</v>
      </c>
      <c r="W172">
        <v>0</v>
      </c>
      <c r="X172">
        <v>2</v>
      </c>
      <c r="Y172" s="6">
        <v>46113</v>
      </c>
      <c r="Z172">
        <v>1</v>
      </c>
    </row>
    <row r="173" spans="1:26" x14ac:dyDescent="0.3">
      <c r="A173" t="s">
        <v>278</v>
      </c>
      <c r="B173" s="5">
        <v>46101</v>
      </c>
      <c r="C173" s="5">
        <v>46102</v>
      </c>
      <c r="D173" s="5">
        <v>46105</v>
      </c>
      <c r="E173" s="5">
        <v>46105</v>
      </c>
      <c r="F173" t="s">
        <v>34</v>
      </c>
      <c r="G173" t="s">
        <v>54</v>
      </c>
      <c r="H173" t="s">
        <v>24</v>
      </c>
      <c r="I173" t="s">
        <v>43</v>
      </c>
      <c r="J173">
        <v>460.3</v>
      </c>
      <c r="K173">
        <v>1464.3</v>
      </c>
      <c r="L173">
        <v>7231000</v>
      </c>
      <c r="M173" t="b">
        <v>0</v>
      </c>
      <c r="N173" t="b">
        <v>0</v>
      </c>
      <c r="O173">
        <v>5000</v>
      </c>
      <c r="P173" t="b">
        <v>0</v>
      </c>
      <c r="Q173" t="b">
        <v>0</v>
      </c>
      <c r="R173" t="b">
        <v>0</v>
      </c>
      <c r="S173" t="s">
        <v>96</v>
      </c>
      <c r="T173" t="s">
        <v>1635</v>
      </c>
      <c r="U173">
        <v>29.286000000000001</v>
      </c>
      <c r="V173">
        <v>0</v>
      </c>
      <c r="W173">
        <v>0</v>
      </c>
      <c r="X173">
        <v>3</v>
      </c>
      <c r="Y173" s="6">
        <v>46082</v>
      </c>
    </row>
    <row r="174" spans="1:26" x14ac:dyDescent="0.3">
      <c r="A174" t="s">
        <v>279</v>
      </c>
      <c r="B174" s="5">
        <v>46043</v>
      </c>
      <c r="C174" s="5">
        <v>46044</v>
      </c>
      <c r="D174" s="5">
        <v>46048</v>
      </c>
      <c r="E174" s="5">
        <v>46050</v>
      </c>
      <c r="F174" t="s">
        <v>34</v>
      </c>
      <c r="G174" t="s">
        <v>56</v>
      </c>
      <c r="H174" t="s">
        <v>23</v>
      </c>
      <c r="I174" t="s">
        <v>45</v>
      </c>
      <c r="J174">
        <v>946.6</v>
      </c>
      <c r="K174">
        <v>652.70000000000005</v>
      </c>
      <c r="L174">
        <v>10272000</v>
      </c>
      <c r="M174" t="b">
        <v>0</v>
      </c>
      <c r="N174" t="b">
        <v>0</v>
      </c>
      <c r="O174">
        <v>1000</v>
      </c>
      <c r="P174" t="b">
        <v>0</v>
      </c>
      <c r="Q174" t="b">
        <v>0</v>
      </c>
      <c r="R174" t="b">
        <v>0</v>
      </c>
      <c r="S174" t="s">
        <v>101</v>
      </c>
      <c r="T174" t="s">
        <v>1646</v>
      </c>
      <c r="U174">
        <v>65.27000000000001</v>
      </c>
      <c r="V174">
        <v>0</v>
      </c>
      <c r="W174">
        <v>0</v>
      </c>
      <c r="X174">
        <v>6</v>
      </c>
      <c r="Y174" s="6">
        <v>46023</v>
      </c>
      <c r="Z174">
        <v>2</v>
      </c>
    </row>
    <row r="175" spans="1:26" x14ac:dyDescent="0.3">
      <c r="A175" t="s">
        <v>280</v>
      </c>
      <c r="B175" s="5">
        <v>46117</v>
      </c>
      <c r="C175" s="5">
        <v>46118</v>
      </c>
      <c r="D175" s="5">
        <v>46120</v>
      </c>
      <c r="E175" s="5">
        <v>46121</v>
      </c>
      <c r="F175" t="s">
        <v>32</v>
      </c>
      <c r="G175" t="s">
        <v>58</v>
      </c>
      <c r="H175" t="s">
        <v>23</v>
      </c>
      <c r="I175" t="s">
        <v>45</v>
      </c>
      <c r="J175">
        <v>299.60000000000002</v>
      </c>
      <c r="K175">
        <v>510.6</v>
      </c>
      <c r="L175">
        <v>3528000</v>
      </c>
      <c r="M175" t="b">
        <v>0</v>
      </c>
      <c r="N175" t="b">
        <v>0</v>
      </c>
      <c r="O175">
        <v>1000</v>
      </c>
      <c r="P175" t="b">
        <v>0</v>
      </c>
      <c r="Q175" t="b">
        <v>0</v>
      </c>
      <c r="R175" t="b">
        <v>0</v>
      </c>
      <c r="S175" t="s">
        <v>101</v>
      </c>
      <c r="T175" t="s">
        <v>1656</v>
      </c>
      <c r="U175">
        <v>51.06</v>
      </c>
      <c r="V175">
        <v>0</v>
      </c>
      <c r="W175">
        <v>0</v>
      </c>
      <c r="X175">
        <v>3</v>
      </c>
      <c r="Y175" s="6">
        <v>46113</v>
      </c>
      <c r="Z175">
        <v>1</v>
      </c>
    </row>
    <row r="176" spans="1:26" x14ac:dyDescent="0.3">
      <c r="A176" t="s">
        <v>281</v>
      </c>
      <c r="B176" s="5">
        <v>46127</v>
      </c>
      <c r="C176" s="5">
        <v>46128</v>
      </c>
      <c r="D176" s="5">
        <v>46131</v>
      </c>
      <c r="E176" s="5">
        <v>46131</v>
      </c>
      <c r="F176" t="s">
        <v>31</v>
      </c>
      <c r="G176" t="s">
        <v>54</v>
      </c>
      <c r="H176" t="s">
        <v>21</v>
      </c>
      <c r="I176" t="s">
        <v>45</v>
      </c>
      <c r="J176">
        <v>483.9</v>
      </c>
      <c r="K176">
        <v>106</v>
      </c>
      <c r="L176">
        <v>5028000</v>
      </c>
      <c r="M176" t="b">
        <v>0</v>
      </c>
      <c r="N176" t="b">
        <v>0</v>
      </c>
      <c r="O176">
        <v>1000</v>
      </c>
      <c r="P176" t="b">
        <v>0</v>
      </c>
      <c r="Q176" t="b">
        <v>0</v>
      </c>
      <c r="R176" t="b">
        <v>0</v>
      </c>
      <c r="S176" t="s">
        <v>96</v>
      </c>
      <c r="T176" t="s">
        <v>1631</v>
      </c>
      <c r="U176">
        <v>10.6</v>
      </c>
      <c r="V176">
        <v>0</v>
      </c>
      <c r="W176">
        <v>0</v>
      </c>
      <c r="X176">
        <v>3</v>
      </c>
      <c r="Y176" s="6">
        <v>46113</v>
      </c>
    </row>
    <row r="177" spans="1:26" x14ac:dyDescent="0.3">
      <c r="A177" t="s">
        <v>282</v>
      </c>
      <c r="B177" s="5">
        <v>46136</v>
      </c>
      <c r="C177" s="5">
        <v>46136</v>
      </c>
      <c r="D177" s="5">
        <v>46140</v>
      </c>
      <c r="E177" s="5">
        <v>46140</v>
      </c>
      <c r="F177" t="s">
        <v>34</v>
      </c>
      <c r="G177" t="s">
        <v>60</v>
      </c>
      <c r="H177" t="s">
        <v>22</v>
      </c>
      <c r="I177" t="s">
        <v>43</v>
      </c>
      <c r="J177">
        <v>601.29999999999995</v>
      </c>
      <c r="K177">
        <v>3779.9</v>
      </c>
      <c r="L177">
        <v>10390000</v>
      </c>
      <c r="M177" t="b">
        <v>0</v>
      </c>
      <c r="N177" t="b">
        <v>0</v>
      </c>
      <c r="O177">
        <v>5000</v>
      </c>
      <c r="P177" t="b">
        <v>0</v>
      </c>
      <c r="Q177" t="b">
        <v>0</v>
      </c>
      <c r="R177" t="b">
        <v>0</v>
      </c>
      <c r="S177" t="s">
        <v>96</v>
      </c>
      <c r="T177" t="s">
        <v>1644</v>
      </c>
      <c r="U177">
        <v>75.597999999999999</v>
      </c>
      <c r="V177">
        <v>0</v>
      </c>
      <c r="W177">
        <v>0</v>
      </c>
      <c r="X177">
        <v>4</v>
      </c>
      <c r="Y177" s="6">
        <v>46113</v>
      </c>
    </row>
    <row r="178" spans="1:26" x14ac:dyDescent="0.3">
      <c r="A178" t="s">
        <v>283</v>
      </c>
      <c r="B178" s="5">
        <v>46058</v>
      </c>
      <c r="C178" s="5">
        <v>46059</v>
      </c>
      <c r="D178" s="5">
        <v>46062</v>
      </c>
      <c r="E178" s="5">
        <v>46063</v>
      </c>
      <c r="F178" t="s">
        <v>33</v>
      </c>
      <c r="G178" t="s">
        <v>52</v>
      </c>
      <c r="H178" t="s">
        <v>24</v>
      </c>
      <c r="I178" t="s">
        <v>44</v>
      </c>
      <c r="J178">
        <v>579.29999999999995</v>
      </c>
      <c r="K178">
        <v>328.9</v>
      </c>
      <c r="L178">
        <v>6129000</v>
      </c>
      <c r="M178" t="b">
        <v>0</v>
      </c>
      <c r="N178" t="b">
        <v>0</v>
      </c>
      <c r="O178">
        <v>1500</v>
      </c>
      <c r="P178" t="b">
        <v>0</v>
      </c>
      <c r="Q178" t="b">
        <v>0</v>
      </c>
      <c r="R178" t="b">
        <v>0</v>
      </c>
      <c r="S178" t="s">
        <v>101</v>
      </c>
      <c r="T178" t="s">
        <v>1622</v>
      </c>
      <c r="U178">
        <v>21.926666666666669</v>
      </c>
      <c r="V178">
        <v>0</v>
      </c>
      <c r="W178">
        <v>0</v>
      </c>
      <c r="X178">
        <v>4</v>
      </c>
      <c r="Y178" s="6">
        <v>46054</v>
      </c>
      <c r="Z178">
        <v>1</v>
      </c>
    </row>
    <row r="179" spans="1:26" x14ac:dyDescent="0.3">
      <c r="A179" t="s">
        <v>284</v>
      </c>
      <c r="B179" s="5">
        <v>46196</v>
      </c>
      <c r="C179" s="5">
        <v>46196</v>
      </c>
      <c r="D179" s="5">
        <v>46197</v>
      </c>
      <c r="E179" s="5">
        <v>46198</v>
      </c>
      <c r="F179" t="s">
        <v>31</v>
      </c>
      <c r="G179" t="s">
        <v>61</v>
      </c>
      <c r="H179" t="s">
        <v>22</v>
      </c>
      <c r="I179" t="s">
        <v>44</v>
      </c>
      <c r="J179">
        <v>53.1</v>
      </c>
      <c r="K179">
        <v>826.9</v>
      </c>
      <c r="L179">
        <v>1369000</v>
      </c>
      <c r="M179" t="b">
        <v>0</v>
      </c>
      <c r="N179" t="b">
        <v>0</v>
      </c>
      <c r="O179">
        <v>1500</v>
      </c>
      <c r="P179" t="b">
        <v>0</v>
      </c>
      <c r="Q179" t="b">
        <v>0</v>
      </c>
      <c r="R179" t="b">
        <v>0</v>
      </c>
      <c r="S179" t="s">
        <v>101</v>
      </c>
      <c r="T179" t="s">
        <v>1645</v>
      </c>
      <c r="U179">
        <v>55.126666666666672</v>
      </c>
      <c r="V179">
        <v>0</v>
      </c>
      <c r="W179">
        <v>0</v>
      </c>
      <c r="X179">
        <v>2</v>
      </c>
      <c r="Y179" s="6">
        <v>46174</v>
      </c>
      <c r="Z179">
        <v>1</v>
      </c>
    </row>
    <row r="180" spans="1:26" x14ac:dyDescent="0.3">
      <c r="A180" t="s">
        <v>285</v>
      </c>
      <c r="B180" s="5">
        <v>46068</v>
      </c>
      <c r="C180" s="5">
        <v>46069</v>
      </c>
      <c r="D180" s="5">
        <v>46070</v>
      </c>
      <c r="E180" s="5">
        <v>46071</v>
      </c>
      <c r="F180" t="s">
        <v>31</v>
      </c>
      <c r="G180" t="s">
        <v>61</v>
      </c>
      <c r="H180" t="s">
        <v>21</v>
      </c>
      <c r="I180" t="s">
        <v>43</v>
      </c>
      <c r="J180">
        <v>58.2</v>
      </c>
      <c r="K180">
        <v>2995.5</v>
      </c>
      <c r="L180">
        <v>2475000</v>
      </c>
      <c r="M180" t="b">
        <v>0</v>
      </c>
      <c r="N180" t="b">
        <v>0</v>
      </c>
      <c r="O180">
        <v>5000</v>
      </c>
      <c r="P180" t="b">
        <v>0</v>
      </c>
      <c r="Q180" t="b">
        <v>0</v>
      </c>
      <c r="R180" t="b">
        <v>0</v>
      </c>
      <c r="S180" t="s">
        <v>101</v>
      </c>
      <c r="T180" t="s">
        <v>1645</v>
      </c>
      <c r="U180">
        <v>59.91</v>
      </c>
      <c r="V180">
        <v>0</v>
      </c>
      <c r="W180">
        <v>0</v>
      </c>
      <c r="X180">
        <v>2</v>
      </c>
      <c r="Y180" s="6">
        <v>46054</v>
      </c>
      <c r="Z180">
        <v>1</v>
      </c>
    </row>
    <row r="181" spans="1:26" x14ac:dyDescent="0.3">
      <c r="A181" t="s">
        <v>286</v>
      </c>
      <c r="B181" s="5">
        <v>46144</v>
      </c>
      <c r="C181" s="5">
        <v>46145</v>
      </c>
      <c r="D181" s="5">
        <v>46148</v>
      </c>
      <c r="E181" s="5">
        <v>46149</v>
      </c>
      <c r="F181" t="s">
        <v>34</v>
      </c>
      <c r="G181" t="s">
        <v>59</v>
      </c>
      <c r="H181" t="s">
        <v>23</v>
      </c>
      <c r="I181" t="s">
        <v>44</v>
      </c>
      <c r="J181">
        <v>358.2</v>
      </c>
      <c r="K181">
        <v>575.20000000000005</v>
      </c>
      <c r="L181">
        <v>3668000</v>
      </c>
      <c r="M181" t="b">
        <v>0</v>
      </c>
      <c r="N181" t="b">
        <v>0</v>
      </c>
      <c r="O181">
        <v>1500</v>
      </c>
      <c r="P181" t="b">
        <v>0</v>
      </c>
      <c r="Q181" t="b">
        <v>0</v>
      </c>
      <c r="R181" t="b">
        <v>0</v>
      </c>
      <c r="S181" t="s">
        <v>101</v>
      </c>
      <c r="T181" t="s">
        <v>1616</v>
      </c>
      <c r="U181">
        <v>38.346666666666671</v>
      </c>
      <c r="V181">
        <v>0</v>
      </c>
      <c r="W181">
        <v>0</v>
      </c>
      <c r="X181">
        <v>4</v>
      </c>
      <c r="Y181" s="6">
        <v>46143</v>
      </c>
      <c r="Z181">
        <v>1</v>
      </c>
    </row>
    <row r="182" spans="1:26" x14ac:dyDescent="0.3">
      <c r="A182" t="s">
        <v>287</v>
      </c>
      <c r="B182" s="5">
        <v>46110</v>
      </c>
      <c r="C182" s="5">
        <v>46110</v>
      </c>
      <c r="D182" s="5">
        <v>46113</v>
      </c>
      <c r="E182" s="5">
        <v>46113</v>
      </c>
      <c r="F182" t="s">
        <v>33</v>
      </c>
      <c r="G182" t="s">
        <v>53</v>
      </c>
      <c r="H182" t="s">
        <v>21</v>
      </c>
      <c r="I182" t="s">
        <v>44</v>
      </c>
      <c r="J182">
        <v>594.9</v>
      </c>
      <c r="K182">
        <v>585.9</v>
      </c>
      <c r="L182">
        <v>6072000</v>
      </c>
      <c r="M182" t="b">
        <v>0</v>
      </c>
      <c r="N182" t="b">
        <v>0</v>
      </c>
      <c r="O182">
        <v>1500</v>
      </c>
      <c r="P182" t="b">
        <v>0</v>
      </c>
      <c r="Q182" t="b">
        <v>0</v>
      </c>
      <c r="R182" t="b">
        <v>0</v>
      </c>
      <c r="S182" t="s">
        <v>96</v>
      </c>
      <c r="T182" t="s">
        <v>1632</v>
      </c>
      <c r="U182">
        <v>39.06</v>
      </c>
      <c r="V182">
        <v>0</v>
      </c>
      <c r="W182">
        <v>0</v>
      </c>
      <c r="X182">
        <v>3</v>
      </c>
      <c r="Y182" s="6">
        <v>46082</v>
      </c>
    </row>
    <row r="183" spans="1:26" x14ac:dyDescent="0.3">
      <c r="A183" t="s">
        <v>288</v>
      </c>
      <c r="B183" s="5">
        <v>46042</v>
      </c>
      <c r="C183" s="5">
        <v>46043</v>
      </c>
      <c r="D183" s="5">
        <v>46047</v>
      </c>
      <c r="E183" s="5">
        <v>46048</v>
      </c>
      <c r="F183" t="s">
        <v>34</v>
      </c>
      <c r="G183" t="s">
        <v>56</v>
      </c>
      <c r="H183" t="s">
        <v>20</v>
      </c>
      <c r="I183" t="s">
        <v>43</v>
      </c>
      <c r="J183">
        <v>914</v>
      </c>
      <c r="K183">
        <v>2485.4</v>
      </c>
      <c r="L183">
        <v>13005000</v>
      </c>
      <c r="M183" t="b">
        <v>0</v>
      </c>
      <c r="N183" t="b">
        <v>0</v>
      </c>
      <c r="O183">
        <v>5000</v>
      </c>
      <c r="P183" t="b">
        <v>0</v>
      </c>
      <c r="Q183" t="b">
        <v>0</v>
      </c>
      <c r="R183" t="b">
        <v>0</v>
      </c>
      <c r="S183" t="s">
        <v>101</v>
      </c>
      <c r="T183" t="s">
        <v>1646</v>
      </c>
      <c r="U183">
        <v>49.708000000000013</v>
      </c>
      <c r="V183">
        <v>0</v>
      </c>
      <c r="W183">
        <v>0</v>
      </c>
      <c r="X183">
        <v>5</v>
      </c>
      <c r="Y183" s="6">
        <v>46023</v>
      </c>
      <c r="Z183">
        <v>1</v>
      </c>
    </row>
    <row r="184" spans="1:26" x14ac:dyDescent="0.3">
      <c r="A184" t="s">
        <v>289</v>
      </c>
      <c r="B184" s="5">
        <v>46149</v>
      </c>
      <c r="C184" s="5">
        <v>46149</v>
      </c>
      <c r="D184" s="5">
        <v>46151</v>
      </c>
      <c r="E184" s="5">
        <v>46151</v>
      </c>
      <c r="F184" t="s">
        <v>32</v>
      </c>
      <c r="G184" t="s">
        <v>58</v>
      </c>
      <c r="H184" t="s">
        <v>20</v>
      </c>
      <c r="I184" t="s">
        <v>43</v>
      </c>
      <c r="J184">
        <v>289.10000000000002</v>
      </c>
      <c r="K184">
        <v>2824.5</v>
      </c>
      <c r="L184">
        <v>5423000</v>
      </c>
      <c r="M184" t="b">
        <v>0</v>
      </c>
      <c r="N184" t="b">
        <v>0</v>
      </c>
      <c r="O184">
        <v>5000</v>
      </c>
      <c r="P184" t="b">
        <v>0</v>
      </c>
      <c r="Q184" t="b">
        <v>0</v>
      </c>
      <c r="R184" t="b">
        <v>0</v>
      </c>
      <c r="S184" t="s">
        <v>96</v>
      </c>
      <c r="T184" t="s">
        <v>1656</v>
      </c>
      <c r="U184">
        <v>56.489999999999988</v>
      </c>
      <c r="V184">
        <v>0</v>
      </c>
      <c r="W184">
        <v>0</v>
      </c>
      <c r="X184">
        <v>2</v>
      </c>
      <c r="Y184" s="6">
        <v>46143</v>
      </c>
    </row>
    <row r="185" spans="1:26" x14ac:dyDescent="0.3">
      <c r="A185" t="s">
        <v>290</v>
      </c>
      <c r="B185" s="5">
        <v>46039</v>
      </c>
      <c r="C185" s="5">
        <v>46040</v>
      </c>
      <c r="D185" s="5">
        <v>46043</v>
      </c>
      <c r="E185" s="5">
        <v>46044</v>
      </c>
      <c r="F185" t="s">
        <v>34</v>
      </c>
      <c r="G185" t="s">
        <v>53</v>
      </c>
      <c r="H185" t="s">
        <v>20</v>
      </c>
      <c r="I185" t="s">
        <v>42</v>
      </c>
      <c r="J185">
        <v>311.60000000000002</v>
      </c>
      <c r="K185">
        <v>11523.8</v>
      </c>
      <c r="M185" t="b">
        <v>0</v>
      </c>
      <c r="N185" t="b">
        <v>1</v>
      </c>
      <c r="O185">
        <v>16000</v>
      </c>
      <c r="P185" t="b">
        <v>0</v>
      </c>
      <c r="Q185" t="b">
        <v>0</v>
      </c>
      <c r="R185" t="b">
        <v>1</v>
      </c>
      <c r="S185" t="s">
        <v>101</v>
      </c>
      <c r="T185" t="s">
        <v>1636</v>
      </c>
      <c r="U185">
        <v>72.023749999999993</v>
      </c>
      <c r="V185">
        <v>0</v>
      </c>
      <c r="W185">
        <v>1</v>
      </c>
      <c r="X185">
        <v>4</v>
      </c>
      <c r="Y185" s="6">
        <v>46023</v>
      </c>
      <c r="Z185">
        <v>1</v>
      </c>
    </row>
    <row r="186" spans="1:26" x14ac:dyDescent="0.3">
      <c r="A186" t="s">
        <v>291</v>
      </c>
      <c r="B186" s="5">
        <v>46094</v>
      </c>
      <c r="C186" s="5">
        <v>46095</v>
      </c>
      <c r="D186" s="5">
        <v>46098</v>
      </c>
      <c r="E186" s="5">
        <v>46098</v>
      </c>
      <c r="F186" t="s">
        <v>34</v>
      </c>
      <c r="G186" t="s">
        <v>63</v>
      </c>
      <c r="H186" t="s">
        <v>23</v>
      </c>
      <c r="I186" t="s">
        <v>44</v>
      </c>
      <c r="J186">
        <v>363.9</v>
      </c>
      <c r="K186">
        <v>1183</v>
      </c>
      <c r="L186">
        <v>4638000</v>
      </c>
      <c r="M186" t="b">
        <v>0</v>
      </c>
      <c r="N186" t="b">
        <v>0</v>
      </c>
      <c r="O186">
        <v>1500</v>
      </c>
      <c r="P186" t="b">
        <v>0</v>
      </c>
      <c r="Q186" t="b">
        <v>0</v>
      </c>
      <c r="R186" t="b">
        <v>0</v>
      </c>
      <c r="S186" t="s">
        <v>96</v>
      </c>
      <c r="T186" t="s">
        <v>1613</v>
      </c>
      <c r="U186">
        <v>78.86666666666666</v>
      </c>
      <c r="V186">
        <v>0</v>
      </c>
      <c r="W186">
        <v>0</v>
      </c>
      <c r="X186">
        <v>3</v>
      </c>
      <c r="Y186" s="6">
        <v>46082</v>
      </c>
    </row>
    <row r="187" spans="1:26" x14ac:dyDescent="0.3">
      <c r="A187" t="s">
        <v>292</v>
      </c>
      <c r="B187" s="5">
        <v>46074</v>
      </c>
      <c r="C187" s="5">
        <v>46075</v>
      </c>
      <c r="D187" s="5">
        <v>46079</v>
      </c>
      <c r="E187" s="5">
        <v>46080</v>
      </c>
      <c r="F187" t="s">
        <v>34</v>
      </c>
      <c r="G187" t="s">
        <v>62</v>
      </c>
      <c r="H187" t="s">
        <v>21</v>
      </c>
      <c r="I187" t="s">
        <v>45</v>
      </c>
      <c r="J187">
        <v>765.6</v>
      </c>
      <c r="K187">
        <v>702.8</v>
      </c>
      <c r="L187">
        <v>8112000</v>
      </c>
      <c r="M187" t="b">
        <v>0</v>
      </c>
      <c r="N187" t="b">
        <v>0</v>
      </c>
      <c r="O187">
        <v>1000</v>
      </c>
      <c r="P187" t="b">
        <v>0</v>
      </c>
      <c r="Q187" t="b">
        <v>0</v>
      </c>
      <c r="R187" t="b">
        <v>0</v>
      </c>
      <c r="S187" t="s">
        <v>101</v>
      </c>
      <c r="T187" t="s">
        <v>1649</v>
      </c>
      <c r="U187">
        <v>70.28</v>
      </c>
      <c r="V187">
        <v>0</v>
      </c>
      <c r="W187">
        <v>0</v>
      </c>
      <c r="X187">
        <v>5</v>
      </c>
      <c r="Y187" s="6">
        <v>46054</v>
      </c>
      <c r="Z187">
        <v>1</v>
      </c>
    </row>
    <row r="188" spans="1:26" x14ac:dyDescent="0.3">
      <c r="A188" t="s">
        <v>293</v>
      </c>
      <c r="B188" s="5">
        <v>46088</v>
      </c>
      <c r="C188" s="5">
        <v>46089</v>
      </c>
      <c r="D188" s="5">
        <v>46091</v>
      </c>
      <c r="E188" s="5">
        <v>46091</v>
      </c>
      <c r="F188" t="s">
        <v>33</v>
      </c>
      <c r="G188" t="s">
        <v>62</v>
      </c>
      <c r="H188" t="s">
        <v>21</v>
      </c>
      <c r="I188" t="s">
        <v>45</v>
      </c>
      <c r="J188">
        <v>146.9</v>
      </c>
      <c r="K188">
        <v>533.5</v>
      </c>
      <c r="L188">
        <v>1675000</v>
      </c>
      <c r="M188" t="b">
        <v>0</v>
      </c>
      <c r="N188" t="b">
        <v>0</v>
      </c>
      <c r="O188">
        <v>1000</v>
      </c>
      <c r="P188" t="b">
        <v>0</v>
      </c>
      <c r="Q188" t="b">
        <v>0</v>
      </c>
      <c r="R188" t="b">
        <v>0</v>
      </c>
      <c r="S188" t="s">
        <v>96</v>
      </c>
      <c r="T188" t="s">
        <v>1657</v>
      </c>
      <c r="U188">
        <v>53.349999999999987</v>
      </c>
      <c r="V188">
        <v>0</v>
      </c>
      <c r="W188">
        <v>0</v>
      </c>
      <c r="X188">
        <v>2</v>
      </c>
      <c r="Y188" s="6">
        <v>46082</v>
      </c>
    </row>
    <row r="189" spans="1:26" x14ac:dyDescent="0.3">
      <c r="A189" t="s">
        <v>294</v>
      </c>
      <c r="B189" s="5">
        <v>46192</v>
      </c>
      <c r="C189" s="5">
        <v>46192</v>
      </c>
      <c r="D189" s="5">
        <v>46196</v>
      </c>
      <c r="E189" s="5">
        <v>46197</v>
      </c>
      <c r="F189" t="s">
        <v>34</v>
      </c>
      <c r="G189" t="s">
        <v>56</v>
      </c>
      <c r="H189" t="s">
        <v>22</v>
      </c>
      <c r="I189" t="s">
        <v>45</v>
      </c>
      <c r="J189">
        <v>930.2</v>
      </c>
      <c r="K189">
        <v>400.1</v>
      </c>
      <c r="L189">
        <v>9199000</v>
      </c>
      <c r="M189" t="b">
        <v>0</v>
      </c>
      <c r="N189" t="b">
        <v>0</v>
      </c>
      <c r="O189">
        <v>1000</v>
      </c>
      <c r="P189" t="b">
        <v>0</v>
      </c>
      <c r="Q189" t="b">
        <v>0</v>
      </c>
      <c r="R189" t="b">
        <v>0</v>
      </c>
      <c r="S189" t="s">
        <v>101</v>
      </c>
      <c r="T189" t="s">
        <v>1646</v>
      </c>
      <c r="U189">
        <v>40.01</v>
      </c>
      <c r="V189">
        <v>0</v>
      </c>
      <c r="W189">
        <v>0</v>
      </c>
      <c r="X189">
        <v>5</v>
      </c>
      <c r="Y189" s="6">
        <v>46174</v>
      </c>
      <c r="Z189">
        <v>1</v>
      </c>
    </row>
    <row r="190" spans="1:26" x14ac:dyDescent="0.3">
      <c r="A190" t="s">
        <v>295</v>
      </c>
      <c r="B190" s="5">
        <v>46118</v>
      </c>
      <c r="C190" s="5">
        <v>46119</v>
      </c>
      <c r="D190" s="5">
        <v>46122</v>
      </c>
      <c r="E190" s="5">
        <v>46123</v>
      </c>
      <c r="F190" t="s">
        <v>31</v>
      </c>
      <c r="G190" t="s">
        <v>54</v>
      </c>
      <c r="H190" t="s">
        <v>20</v>
      </c>
      <c r="I190" t="s">
        <v>44</v>
      </c>
      <c r="J190">
        <v>470.1</v>
      </c>
      <c r="K190">
        <v>817.6</v>
      </c>
      <c r="L190">
        <v>5286000</v>
      </c>
      <c r="M190" t="b">
        <v>0</v>
      </c>
      <c r="N190" t="b">
        <v>0</v>
      </c>
      <c r="O190">
        <v>1500</v>
      </c>
      <c r="P190" t="b">
        <v>0</v>
      </c>
      <c r="Q190" t="b">
        <v>0</v>
      </c>
      <c r="R190" t="b">
        <v>0</v>
      </c>
      <c r="S190" t="s">
        <v>101</v>
      </c>
      <c r="T190" t="s">
        <v>1631</v>
      </c>
      <c r="U190">
        <v>54.506666666666668</v>
      </c>
      <c r="V190">
        <v>0</v>
      </c>
      <c r="W190">
        <v>0</v>
      </c>
      <c r="X190">
        <v>4</v>
      </c>
      <c r="Y190" s="6">
        <v>46113</v>
      </c>
      <c r="Z190">
        <v>1</v>
      </c>
    </row>
    <row r="191" spans="1:26" x14ac:dyDescent="0.3">
      <c r="A191" t="s">
        <v>296</v>
      </c>
      <c r="B191" s="5">
        <v>46155</v>
      </c>
      <c r="C191" s="5">
        <v>46156</v>
      </c>
      <c r="D191" s="5">
        <v>46158</v>
      </c>
      <c r="E191" s="5">
        <v>46158</v>
      </c>
      <c r="F191" t="s">
        <v>34</v>
      </c>
      <c r="G191" t="s">
        <v>58</v>
      </c>
      <c r="H191" t="s">
        <v>24</v>
      </c>
      <c r="I191" t="s">
        <v>44</v>
      </c>
      <c r="J191">
        <v>146</v>
      </c>
      <c r="K191">
        <v>273.89999999999998</v>
      </c>
      <c r="L191">
        <v>1953000</v>
      </c>
      <c r="M191" t="b">
        <v>0</v>
      </c>
      <c r="N191" t="b">
        <v>0</v>
      </c>
      <c r="O191">
        <v>1500</v>
      </c>
      <c r="P191" t="b">
        <v>0</v>
      </c>
      <c r="Q191" t="b">
        <v>0</v>
      </c>
      <c r="R191" t="b">
        <v>0</v>
      </c>
      <c r="S191" t="s">
        <v>96</v>
      </c>
      <c r="T191" t="s">
        <v>1637</v>
      </c>
      <c r="U191">
        <v>18.260000000000002</v>
      </c>
      <c r="V191">
        <v>0</v>
      </c>
      <c r="W191">
        <v>0</v>
      </c>
      <c r="X191">
        <v>2</v>
      </c>
      <c r="Y191" s="6">
        <v>46143</v>
      </c>
    </row>
    <row r="192" spans="1:26" x14ac:dyDescent="0.3">
      <c r="A192" t="s">
        <v>297</v>
      </c>
      <c r="B192" s="5">
        <v>46184</v>
      </c>
      <c r="C192" s="5">
        <v>46185</v>
      </c>
      <c r="D192" s="5">
        <v>46189</v>
      </c>
      <c r="E192" s="5">
        <v>46191</v>
      </c>
      <c r="F192" t="s">
        <v>34</v>
      </c>
      <c r="G192" t="s">
        <v>56</v>
      </c>
      <c r="H192" t="s">
        <v>22</v>
      </c>
      <c r="I192" t="s">
        <v>42</v>
      </c>
      <c r="J192">
        <v>869</v>
      </c>
      <c r="K192">
        <v>4226.3999999999996</v>
      </c>
      <c r="L192">
        <v>18292000</v>
      </c>
      <c r="M192" t="b">
        <v>0</v>
      </c>
      <c r="N192" t="b">
        <v>0</v>
      </c>
      <c r="O192">
        <v>16000</v>
      </c>
      <c r="P192" t="b">
        <v>0</v>
      </c>
      <c r="Q192" t="b">
        <v>0</v>
      </c>
      <c r="R192" t="b">
        <v>0</v>
      </c>
      <c r="S192" t="s">
        <v>101</v>
      </c>
      <c r="T192" t="s">
        <v>1646</v>
      </c>
      <c r="U192">
        <v>26.414999999999999</v>
      </c>
      <c r="V192">
        <v>0</v>
      </c>
      <c r="W192">
        <v>0</v>
      </c>
      <c r="X192">
        <v>6</v>
      </c>
      <c r="Y192" s="6">
        <v>46174</v>
      </c>
      <c r="Z192">
        <v>2</v>
      </c>
    </row>
    <row r="193" spans="1:26" x14ac:dyDescent="0.3">
      <c r="A193" t="s">
        <v>298</v>
      </c>
      <c r="B193" s="5">
        <v>46057</v>
      </c>
      <c r="C193" s="5">
        <v>46058</v>
      </c>
      <c r="D193" s="5">
        <v>46062</v>
      </c>
      <c r="E193" s="5">
        <v>46062</v>
      </c>
      <c r="F193" t="s">
        <v>33</v>
      </c>
      <c r="G193" t="s">
        <v>52</v>
      </c>
      <c r="H193" t="s">
        <v>23</v>
      </c>
      <c r="I193" t="s">
        <v>44</v>
      </c>
      <c r="J193">
        <v>652.1</v>
      </c>
      <c r="K193">
        <v>887.2</v>
      </c>
      <c r="L193">
        <v>6167000</v>
      </c>
      <c r="M193" t="b">
        <v>0</v>
      </c>
      <c r="N193" t="b">
        <v>0</v>
      </c>
      <c r="O193">
        <v>1500</v>
      </c>
      <c r="P193" t="b">
        <v>0</v>
      </c>
      <c r="Q193" t="b">
        <v>0</v>
      </c>
      <c r="R193" t="b">
        <v>0</v>
      </c>
      <c r="S193" t="s">
        <v>96</v>
      </c>
      <c r="T193" t="s">
        <v>1622</v>
      </c>
      <c r="U193">
        <v>59.146666666666668</v>
      </c>
      <c r="V193">
        <v>0</v>
      </c>
      <c r="W193">
        <v>0</v>
      </c>
      <c r="X193">
        <v>4</v>
      </c>
      <c r="Y193" s="6">
        <v>46054</v>
      </c>
    </row>
    <row r="194" spans="1:26" x14ac:dyDescent="0.3">
      <c r="A194" t="s">
        <v>299</v>
      </c>
      <c r="B194" s="5">
        <v>46056</v>
      </c>
      <c r="C194" s="5">
        <v>46057</v>
      </c>
      <c r="D194" s="5">
        <v>46060</v>
      </c>
      <c r="E194" s="5">
        <v>46060</v>
      </c>
      <c r="F194" t="s">
        <v>32</v>
      </c>
      <c r="G194" t="s">
        <v>58</v>
      </c>
      <c r="H194" t="s">
        <v>22</v>
      </c>
      <c r="I194" t="s">
        <v>42</v>
      </c>
      <c r="J194">
        <v>330.1</v>
      </c>
      <c r="K194">
        <v>4868</v>
      </c>
      <c r="L194">
        <v>8639000</v>
      </c>
      <c r="M194" t="b">
        <v>0</v>
      </c>
      <c r="N194" t="b">
        <v>0</v>
      </c>
      <c r="O194">
        <v>16000</v>
      </c>
      <c r="P194" t="b">
        <v>0</v>
      </c>
      <c r="Q194" t="b">
        <v>0</v>
      </c>
      <c r="R194" t="b">
        <v>0</v>
      </c>
      <c r="S194" t="s">
        <v>96</v>
      </c>
      <c r="T194" t="s">
        <v>1656</v>
      </c>
      <c r="U194">
        <v>30.425000000000001</v>
      </c>
      <c r="V194">
        <v>0</v>
      </c>
      <c r="W194">
        <v>0</v>
      </c>
      <c r="X194">
        <v>3</v>
      </c>
      <c r="Y194" s="6">
        <v>46054</v>
      </c>
    </row>
    <row r="195" spans="1:26" x14ac:dyDescent="0.3">
      <c r="A195" t="s">
        <v>300</v>
      </c>
      <c r="B195" s="5">
        <v>46145</v>
      </c>
      <c r="C195" s="5">
        <v>46146</v>
      </c>
      <c r="D195" s="5">
        <v>46150</v>
      </c>
      <c r="E195" s="5"/>
      <c r="F195" t="s">
        <v>34</v>
      </c>
      <c r="G195" t="s">
        <v>60</v>
      </c>
      <c r="H195" t="s">
        <v>23</v>
      </c>
      <c r="I195" t="s">
        <v>43</v>
      </c>
      <c r="J195">
        <v>676.9</v>
      </c>
      <c r="K195">
        <v>1379.8</v>
      </c>
      <c r="L195">
        <v>9806000</v>
      </c>
      <c r="M195" t="b">
        <v>0</v>
      </c>
      <c r="N195" t="b">
        <v>0</v>
      </c>
      <c r="O195">
        <v>5000</v>
      </c>
      <c r="P195" t="b">
        <v>0</v>
      </c>
      <c r="Q195" t="b">
        <v>0</v>
      </c>
      <c r="R195" t="b">
        <v>0</v>
      </c>
      <c r="S195" t="s">
        <v>203</v>
      </c>
      <c r="T195" t="s">
        <v>1644</v>
      </c>
      <c r="U195">
        <v>27.596</v>
      </c>
      <c r="V195">
        <v>0</v>
      </c>
      <c r="W195">
        <v>0</v>
      </c>
      <c r="Y195" s="6">
        <v>46143</v>
      </c>
    </row>
    <row r="196" spans="1:26" x14ac:dyDescent="0.3">
      <c r="A196" t="s">
        <v>301</v>
      </c>
      <c r="B196" s="5">
        <v>46096</v>
      </c>
      <c r="C196" s="5">
        <v>46098</v>
      </c>
      <c r="D196" s="5">
        <v>46102</v>
      </c>
      <c r="E196" s="5">
        <v>46103</v>
      </c>
      <c r="F196" t="s">
        <v>33</v>
      </c>
      <c r="G196" t="s">
        <v>58</v>
      </c>
      <c r="H196" t="s">
        <v>24</v>
      </c>
      <c r="I196" t="s">
        <v>43</v>
      </c>
      <c r="J196">
        <v>661.3</v>
      </c>
      <c r="K196">
        <v>4111.8</v>
      </c>
      <c r="L196">
        <v>11406000</v>
      </c>
      <c r="M196" t="b">
        <v>0</v>
      </c>
      <c r="N196" t="b">
        <v>0</v>
      </c>
      <c r="O196">
        <v>5000</v>
      </c>
      <c r="P196" t="b">
        <v>0</v>
      </c>
      <c r="Q196" t="b">
        <v>0</v>
      </c>
      <c r="R196" t="b">
        <v>0</v>
      </c>
      <c r="S196" t="s">
        <v>101</v>
      </c>
      <c r="T196" t="s">
        <v>1651</v>
      </c>
      <c r="U196">
        <v>82.236000000000004</v>
      </c>
      <c r="V196">
        <v>0</v>
      </c>
      <c r="W196">
        <v>0</v>
      </c>
      <c r="X196">
        <v>5</v>
      </c>
      <c r="Y196" s="6">
        <v>46082</v>
      </c>
      <c r="Z196">
        <v>1</v>
      </c>
    </row>
    <row r="197" spans="1:26" x14ac:dyDescent="0.3">
      <c r="A197" t="s">
        <v>302</v>
      </c>
      <c r="B197" s="5">
        <v>46096</v>
      </c>
      <c r="C197" s="5">
        <v>46098</v>
      </c>
      <c r="D197" s="5">
        <v>46101</v>
      </c>
      <c r="E197" s="5"/>
      <c r="F197" t="s">
        <v>34</v>
      </c>
      <c r="G197" t="s">
        <v>54</v>
      </c>
      <c r="H197" t="s">
        <v>21</v>
      </c>
      <c r="I197" t="s">
        <v>44</v>
      </c>
      <c r="J197">
        <v>480.1</v>
      </c>
      <c r="K197">
        <v>1005.2</v>
      </c>
      <c r="L197">
        <v>4832000</v>
      </c>
      <c r="M197" t="b">
        <v>0</v>
      </c>
      <c r="N197" t="b">
        <v>0</v>
      </c>
      <c r="O197">
        <v>1500</v>
      </c>
      <c r="P197" t="b">
        <v>0</v>
      </c>
      <c r="Q197" t="b">
        <v>0</v>
      </c>
      <c r="R197" t="b">
        <v>0</v>
      </c>
      <c r="S197" t="s">
        <v>203</v>
      </c>
      <c r="T197" t="s">
        <v>1635</v>
      </c>
      <c r="U197">
        <v>67.013333333333335</v>
      </c>
      <c r="V197">
        <v>0</v>
      </c>
      <c r="W197">
        <v>0</v>
      </c>
      <c r="Y197" s="6">
        <v>46082</v>
      </c>
    </row>
    <row r="198" spans="1:26" x14ac:dyDescent="0.3">
      <c r="A198" t="s">
        <v>303</v>
      </c>
      <c r="B198" s="5">
        <v>46039</v>
      </c>
      <c r="C198" s="5">
        <v>46040</v>
      </c>
      <c r="D198" s="5">
        <v>46042</v>
      </c>
      <c r="E198" s="5">
        <v>46043</v>
      </c>
      <c r="F198" t="s">
        <v>34</v>
      </c>
      <c r="G198" t="s">
        <v>57</v>
      </c>
      <c r="H198" t="s">
        <v>23</v>
      </c>
      <c r="I198" t="s">
        <v>44</v>
      </c>
      <c r="J198">
        <v>147.30000000000001</v>
      </c>
      <c r="K198">
        <v>805.7</v>
      </c>
      <c r="L198">
        <v>2437000</v>
      </c>
      <c r="M198" t="b">
        <v>0</v>
      </c>
      <c r="N198" t="b">
        <v>0</v>
      </c>
      <c r="O198">
        <v>1500</v>
      </c>
      <c r="P198" t="b">
        <v>0</v>
      </c>
      <c r="Q198" t="b">
        <v>0</v>
      </c>
      <c r="R198" t="b">
        <v>0</v>
      </c>
      <c r="S198" t="s">
        <v>101</v>
      </c>
      <c r="T198" t="s">
        <v>1620</v>
      </c>
      <c r="U198">
        <v>53.713333333333338</v>
      </c>
      <c r="V198">
        <v>0</v>
      </c>
      <c r="W198">
        <v>0</v>
      </c>
      <c r="X198">
        <v>3</v>
      </c>
      <c r="Y198" s="6">
        <v>46023</v>
      </c>
      <c r="Z198">
        <v>1</v>
      </c>
    </row>
    <row r="199" spans="1:26" x14ac:dyDescent="0.3">
      <c r="A199" t="s">
        <v>304</v>
      </c>
      <c r="B199" s="5">
        <v>46102</v>
      </c>
      <c r="C199" s="5">
        <v>46103</v>
      </c>
      <c r="D199" s="5">
        <v>46105</v>
      </c>
      <c r="E199" s="5">
        <v>46106</v>
      </c>
      <c r="F199" t="s">
        <v>31</v>
      </c>
      <c r="G199" t="s">
        <v>58</v>
      </c>
      <c r="H199" t="s">
        <v>23</v>
      </c>
      <c r="I199" t="s">
        <v>43</v>
      </c>
      <c r="J199">
        <v>197.5</v>
      </c>
      <c r="K199">
        <v>3372.4</v>
      </c>
      <c r="L199">
        <v>4318000</v>
      </c>
      <c r="M199" t="b">
        <v>0</v>
      </c>
      <c r="N199" t="b">
        <v>0</v>
      </c>
      <c r="O199">
        <v>5000</v>
      </c>
      <c r="P199" t="b">
        <v>0</v>
      </c>
      <c r="Q199" t="b">
        <v>0</v>
      </c>
      <c r="R199" t="b">
        <v>0</v>
      </c>
      <c r="S199" t="s">
        <v>101</v>
      </c>
      <c r="T199" t="s">
        <v>1621</v>
      </c>
      <c r="U199">
        <v>67.447999999999993</v>
      </c>
      <c r="V199">
        <v>0</v>
      </c>
      <c r="W199">
        <v>0</v>
      </c>
      <c r="X199">
        <v>3</v>
      </c>
      <c r="Y199" s="6">
        <v>46082</v>
      </c>
      <c r="Z199">
        <v>1</v>
      </c>
    </row>
    <row r="200" spans="1:26" x14ac:dyDescent="0.3">
      <c r="A200" t="s">
        <v>305</v>
      </c>
      <c r="B200" s="5">
        <v>46102</v>
      </c>
      <c r="C200" s="5">
        <v>46103</v>
      </c>
      <c r="D200" s="5">
        <v>46104</v>
      </c>
      <c r="E200" s="5">
        <v>46102</v>
      </c>
      <c r="F200" t="s">
        <v>34</v>
      </c>
      <c r="G200" t="s">
        <v>61</v>
      </c>
      <c r="H200" t="s">
        <v>23</v>
      </c>
      <c r="I200" t="s">
        <v>43</v>
      </c>
      <c r="J200">
        <v>21.1</v>
      </c>
      <c r="K200">
        <v>2068.1</v>
      </c>
      <c r="L200">
        <v>2068000</v>
      </c>
      <c r="M200" t="b">
        <v>1</v>
      </c>
      <c r="N200" t="b">
        <v>0</v>
      </c>
      <c r="O200">
        <v>5000</v>
      </c>
      <c r="P200" t="b">
        <v>0</v>
      </c>
      <c r="Q200" t="b">
        <v>0</v>
      </c>
      <c r="R200" t="b">
        <v>1</v>
      </c>
      <c r="S200" t="s">
        <v>260</v>
      </c>
      <c r="T200" t="s">
        <v>1638</v>
      </c>
      <c r="U200">
        <v>41.362000000000002</v>
      </c>
      <c r="V200">
        <v>0</v>
      </c>
      <c r="W200">
        <v>1</v>
      </c>
      <c r="Y200" s="6">
        <v>46082</v>
      </c>
    </row>
    <row r="201" spans="1:26" x14ac:dyDescent="0.3">
      <c r="A201" t="s">
        <v>306</v>
      </c>
      <c r="B201" s="5">
        <v>46113</v>
      </c>
      <c r="C201" s="5">
        <v>46114</v>
      </c>
      <c r="D201" s="5">
        <v>46118</v>
      </c>
      <c r="E201" s="5">
        <v>46118</v>
      </c>
      <c r="F201" t="s">
        <v>34</v>
      </c>
      <c r="G201" t="s">
        <v>60</v>
      </c>
      <c r="H201" t="s">
        <v>22</v>
      </c>
      <c r="I201" t="s">
        <v>45</v>
      </c>
      <c r="J201">
        <v>629.29999999999995</v>
      </c>
      <c r="K201">
        <v>717.9</v>
      </c>
      <c r="L201">
        <v>5625000</v>
      </c>
      <c r="M201" t="b">
        <v>0</v>
      </c>
      <c r="N201" t="b">
        <v>0</v>
      </c>
      <c r="O201">
        <v>1000</v>
      </c>
      <c r="P201" t="b">
        <v>0</v>
      </c>
      <c r="Q201" t="b">
        <v>0</v>
      </c>
      <c r="R201" t="b">
        <v>0</v>
      </c>
      <c r="S201" t="s">
        <v>96</v>
      </c>
      <c r="T201" t="s">
        <v>1644</v>
      </c>
      <c r="U201">
        <v>71.789999999999992</v>
      </c>
      <c r="V201">
        <v>0</v>
      </c>
      <c r="W201">
        <v>0</v>
      </c>
      <c r="X201">
        <v>4</v>
      </c>
      <c r="Y201" s="6">
        <v>46113</v>
      </c>
    </row>
    <row r="202" spans="1:26" x14ac:dyDescent="0.3">
      <c r="A202" t="s">
        <v>307</v>
      </c>
      <c r="B202" s="5">
        <v>46189</v>
      </c>
      <c r="C202" s="5">
        <v>46190</v>
      </c>
      <c r="D202" s="5">
        <v>46194</v>
      </c>
      <c r="E202" s="5">
        <v>46194</v>
      </c>
      <c r="F202" t="s">
        <v>33</v>
      </c>
      <c r="G202" t="s">
        <v>59</v>
      </c>
      <c r="H202" t="s">
        <v>22</v>
      </c>
      <c r="I202" t="s">
        <v>44</v>
      </c>
      <c r="J202">
        <v>503.9</v>
      </c>
      <c r="K202">
        <v>183.3</v>
      </c>
      <c r="L202">
        <v>5671000</v>
      </c>
      <c r="M202" t="b">
        <v>0</v>
      </c>
      <c r="N202" t="b">
        <v>0</v>
      </c>
      <c r="O202">
        <v>1500</v>
      </c>
      <c r="P202" t="b">
        <v>0</v>
      </c>
      <c r="Q202" t="b">
        <v>0</v>
      </c>
      <c r="R202" t="b">
        <v>0</v>
      </c>
      <c r="S202" t="s">
        <v>96</v>
      </c>
      <c r="T202" t="s">
        <v>1648</v>
      </c>
      <c r="U202">
        <v>12.22</v>
      </c>
      <c r="V202">
        <v>0</v>
      </c>
      <c r="W202">
        <v>0</v>
      </c>
      <c r="X202">
        <v>4</v>
      </c>
      <c r="Y202" s="6">
        <v>46174</v>
      </c>
    </row>
    <row r="203" spans="1:26" x14ac:dyDescent="0.3">
      <c r="A203" t="s">
        <v>308</v>
      </c>
      <c r="B203" s="5">
        <v>46120</v>
      </c>
      <c r="C203" s="5">
        <v>46122</v>
      </c>
      <c r="D203" s="5">
        <v>46126</v>
      </c>
      <c r="E203" s="5">
        <v>46126</v>
      </c>
      <c r="F203" t="s">
        <v>34</v>
      </c>
      <c r="G203" t="s">
        <v>56</v>
      </c>
      <c r="H203" t="s">
        <v>22</v>
      </c>
      <c r="I203" t="s">
        <v>44</v>
      </c>
      <c r="J203">
        <v>851.5</v>
      </c>
      <c r="K203">
        <v>984.2</v>
      </c>
      <c r="L203">
        <v>8719000</v>
      </c>
      <c r="M203" t="b">
        <v>0</v>
      </c>
      <c r="N203" t="b">
        <v>0</v>
      </c>
      <c r="O203">
        <v>1500</v>
      </c>
      <c r="P203" t="b">
        <v>0</v>
      </c>
      <c r="Q203" t="b">
        <v>0</v>
      </c>
      <c r="R203" t="b">
        <v>0</v>
      </c>
      <c r="S203" t="s">
        <v>96</v>
      </c>
      <c r="T203" t="s">
        <v>1646</v>
      </c>
      <c r="U203">
        <v>65.61333333333333</v>
      </c>
      <c r="V203">
        <v>0</v>
      </c>
      <c r="W203">
        <v>0</v>
      </c>
      <c r="X203">
        <v>4</v>
      </c>
      <c r="Y203" s="6">
        <v>46113</v>
      </c>
    </row>
    <row r="204" spans="1:26" x14ac:dyDescent="0.3">
      <c r="A204" t="s">
        <v>309</v>
      </c>
      <c r="B204" s="5">
        <v>46190</v>
      </c>
      <c r="C204" s="5">
        <v>46191</v>
      </c>
      <c r="D204" s="5">
        <v>46194</v>
      </c>
      <c r="E204" s="5">
        <v>46194</v>
      </c>
      <c r="F204" t="s">
        <v>34</v>
      </c>
      <c r="G204" t="s">
        <v>63</v>
      </c>
      <c r="H204" t="s">
        <v>23</v>
      </c>
      <c r="I204" t="s">
        <v>43</v>
      </c>
      <c r="J204">
        <v>332</v>
      </c>
      <c r="K204">
        <v>4129.8</v>
      </c>
      <c r="L204">
        <v>6025000</v>
      </c>
      <c r="M204" t="b">
        <v>0</v>
      </c>
      <c r="N204" t="b">
        <v>0</v>
      </c>
      <c r="O204">
        <v>5000</v>
      </c>
      <c r="P204" t="b">
        <v>0</v>
      </c>
      <c r="Q204" t="b">
        <v>0</v>
      </c>
      <c r="R204" t="b">
        <v>0</v>
      </c>
      <c r="S204" t="s">
        <v>96</v>
      </c>
      <c r="T204" t="s">
        <v>1613</v>
      </c>
      <c r="U204">
        <v>82.596000000000004</v>
      </c>
      <c r="V204">
        <v>0</v>
      </c>
      <c r="W204">
        <v>0</v>
      </c>
      <c r="X204">
        <v>3</v>
      </c>
      <c r="Y204" s="6">
        <v>46174</v>
      </c>
    </row>
    <row r="205" spans="1:26" x14ac:dyDescent="0.3">
      <c r="A205" t="s">
        <v>310</v>
      </c>
      <c r="B205" s="5">
        <v>46024</v>
      </c>
      <c r="C205" s="5">
        <v>46025</v>
      </c>
      <c r="D205" s="5">
        <v>46028</v>
      </c>
      <c r="E205" s="5">
        <v>46029</v>
      </c>
      <c r="F205" t="s">
        <v>33</v>
      </c>
      <c r="G205" t="s">
        <v>57</v>
      </c>
      <c r="H205" t="s">
        <v>24</v>
      </c>
      <c r="I205" t="s">
        <v>43</v>
      </c>
      <c r="J205">
        <v>512.20000000000005</v>
      </c>
      <c r="K205">
        <v>1516.1</v>
      </c>
      <c r="L205">
        <v>7634000</v>
      </c>
      <c r="M205" t="b">
        <v>0</v>
      </c>
      <c r="N205" t="b">
        <v>0</v>
      </c>
      <c r="O205">
        <v>5000</v>
      </c>
      <c r="P205" t="b">
        <v>0</v>
      </c>
      <c r="Q205" t="b">
        <v>0</v>
      </c>
      <c r="R205" t="b">
        <v>0</v>
      </c>
      <c r="S205" t="s">
        <v>101</v>
      </c>
      <c r="T205" t="s">
        <v>1624</v>
      </c>
      <c r="U205">
        <v>30.321999999999999</v>
      </c>
      <c r="V205">
        <v>0</v>
      </c>
      <c r="W205">
        <v>0</v>
      </c>
      <c r="X205">
        <v>4</v>
      </c>
      <c r="Y205" s="6">
        <v>46023</v>
      </c>
      <c r="Z205">
        <v>1</v>
      </c>
    </row>
    <row r="206" spans="1:26" x14ac:dyDescent="0.3">
      <c r="A206" t="s">
        <v>311</v>
      </c>
      <c r="B206" s="5">
        <v>46131</v>
      </c>
      <c r="C206" s="5">
        <v>46133</v>
      </c>
      <c r="D206" s="5">
        <v>46136</v>
      </c>
      <c r="E206" s="5">
        <v>46136</v>
      </c>
      <c r="F206" t="s">
        <v>31</v>
      </c>
      <c r="G206" t="s">
        <v>53</v>
      </c>
      <c r="H206" t="s">
        <v>22</v>
      </c>
      <c r="I206" t="s">
        <v>43</v>
      </c>
      <c r="J206">
        <v>316.5</v>
      </c>
      <c r="K206">
        <v>4267.6000000000004</v>
      </c>
      <c r="L206">
        <v>6694000</v>
      </c>
      <c r="M206" t="b">
        <v>0</v>
      </c>
      <c r="N206" t="b">
        <v>0</v>
      </c>
      <c r="O206">
        <v>5000</v>
      </c>
      <c r="P206" t="b">
        <v>0</v>
      </c>
      <c r="Q206" t="b">
        <v>0</v>
      </c>
      <c r="R206" t="b">
        <v>0</v>
      </c>
      <c r="S206" t="s">
        <v>96</v>
      </c>
      <c r="T206" t="s">
        <v>1627</v>
      </c>
      <c r="U206">
        <v>85.352000000000004</v>
      </c>
      <c r="V206">
        <v>0</v>
      </c>
      <c r="W206">
        <v>0</v>
      </c>
      <c r="X206">
        <v>3</v>
      </c>
      <c r="Y206" s="6">
        <v>46113</v>
      </c>
    </row>
    <row r="207" spans="1:26" x14ac:dyDescent="0.3">
      <c r="A207" t="s">
        <v>312</v>
      </c>
      <c r="B207" s="5">
        <v>46115</v>
      </c>
      <c r="C207" s="5">
        <v>46117</v>
      </c>
      <c r="D207" s="5">
        <v>46121</v>
      </c>
      <c r="E207" s="5">
        <v>46121</v>
      </c>
      <c r="F207" t="s">
        <v>33</v>
      </c>
      <c r="G207" t="s">
        <v>58</v>
      </c>
      <c r="H207" t="s">
        <v>22</v>
      </c>
      <c r="I207" t="s">
        <v>44</v>
      </c>
      <c r="J207">
        <v>715.3</v>
      </c>
      <c r="K207">
        <v>619.5</v>
      </c>
      <c r="L207">
        <v>8118000</v>
      </c>
      <c r="M207" t="b">
        <v>0</v>
      </c>
      <c r="N207" t="b">
        <v>0</v>
      </c>
      <c r="O207">
        <v>1500</v>
      </c>
      <c r="P207" t="b">
        <v>0</v>
      </c>
      <c r="Q207" t="b">
        <v>0</v>
      </c>
      <c r="R207" t="b">
        <v>0</v>
      </c>
      <c r="S207" t="s">
        <v>96</v>
      </c>
      <c r="T207" t="s">
        <v>1651</v>
      </c>
      <c r="U207">
        <v>41.3</v>
      </c>
      <c r="V207">
        <v>0</v>
      </c>
      <c r="W207">
        <v>0</v>
      </c>
      <c r="X207">
        <v>4</v>
      </c>
      <c r="Y207" s="6">
        <v>46113</v>
      </c>
    </row>
    <row r="208" spans="1:26" x14ac:dyDescent="0.3">
      <c r="A208" t="s">
        <v>313</v>
      </c>
      <c r="B208" s="5">
        <v>46132</v>
      </c>
      <c r="C208" s="5">
        <v>46132</v>
      </c>
      <c r="D208" s="5">
        <v>46135</v>
      </c>
      <c r="E208" s="5">
        <v>46135</v>
      </c>
      <c r="F208" t="s">
        <v>32</v>
      </c>
      <c r="G208" t="s">
        <v>60</v>
      </c>
      <c r="H208" t="s">
        <v>20</v>
      </c>
      <c r="I208" t="s">
        <v>42</v>
      </c>
      <c r="J208">
        <v>469</v>
      </c>
      <c r="K208">
        <v>3886.7</v>
      </c>
      <c r="L208">
        <v>11040000</v>
      </c>
      <c r="M208" t="b">
        <v>0</v>
      </c>
      <c r="N208" t="b">
        <v>0</v>
      </c>
      <c r="O208">
        <v>16000</v>
      </c>
      <c r="P208" t="b">
        <v>0</v>
      </c>
      <c r="Q208" t="b">
        <v>0</v>
      </c>
      <c r="R208" t="b">
        <v>0</v>
      </c>
      <c r="S208" t="s">
        <v>96</v>
      </c>
      <c r="T208" t="s">
        <v>1647</v>
      </c>
      <c r="U208">
        <v>24.291875000000001</v>
      </c>
      <c r="V208">
        <v>0</v>
      </c>
      <c r="W208">
        <v>0</v>
      </c>
      <c r="X208">
        <v>3</v>
      </c>
      <c r="Y208" s="6">
        <v>46113</v>
      </c>
    </row>
    <row r="209" spans="1:26" x14ac:dyDescent="0.3">
      <c r="A209" t="s">
        <v>314</v>
      </c>
      <c r="B209" s="5">
        <v>46135</v>
      </c>
      <c r="C209" s="5">
        <v>46135</v>
      </c>
      <c r="D209" s="5">
        <v>46139</v>
      </c>
      <c r="E209" s="5">
        <v>46139</v>
      </c>
      <c r="F209" t="s">
        <v>33</v>
      </c>
      <c r="G209" t="s">
        <v>58</v>
      </c>
      <c r="H209" t="s">
        <v>22</v>
      </c>
      <c r="I209" t="s">
        <v>42</v>
      </c>
      <c r="J209">
        <v>709.9</v>
      </c>
      <c r="K209">
        <v>2897.3</v>
      </c>
      <c r="L209">
        <v>15363000</v>
      </c>
      <c r="M209" t="b">
        <v>0</v>
      </c>
      <c r="N209" t="b">
        <v>0</v>
      </c>
      <c r="O209">
        <v>16000</v>
      </c>
      <c r="P209" t="b">
        <v>0</v>
      </c>
      <c r="Q209" t="b">
        <v>0</v>
      </c>
      <c r="R209" t="b">
        <v>0</v>
      </c>
      <c r="S209" t="s">
        <v>96</v>
      </c>
      <c r="T209" t="s">
        <v>1651</v>
      </c>
      <c r="U209">
        <v>18.108125000000001</v>
      </c>
      <c r="V209">
        <v>0</v>
      </c>
      <c r="W209">
        <v>0</v>
      </c>
      <c r="X209">
        <v>4</v>
      </c>
      <c r="Y209" s="6">
        <v>46113</v>
      </c>
    </row>
    <row r="210" spans="1:26" x14ac:dyDescent="0.3">
      <c r="A210" t="s">
        <v>315</v>
      </c>
      <c r="B210" s="5">
        <v>46031</v>
      </c>
      <c r="C210" s="5">
        <v>46032</v>
      </c>
      <c r="D210" s="5">
        <v>46036</v>
      </c>
      <c r="E210" s="5">
        <v>46036</v>
      </c>
      <c r="F210" t="s">
        <v>33</v>
      </c>
      <c r="G210" t="s">
        <v>54</v>
      </c>
      <c r="H210" t="s">
        <v>21</v>
      </c>
      <c r="I210" t="s">
        <v>43</v>
      </c>
      <c r="J210">
        <v>921.4</v>
      </c>
      <c r="K210">
        <v>2496.1</v>
      </c>
      <c r="L210">
        <v>12411000</v>
      </c>
      <c r="M210" t="b">
        <v>0</v>
      </c>
      <c r="N210" t="b">
        <v>0</v>
      </c>
      <c r="O210">
        <v>5000</v>
      </c>
      <c r="P210" t="b">
        <v>0</v>
      </c>
      <c r="Q210" t="b">
        <v>0</v>
      </c>
      <c r="R210" t="b">
        <v>0</v>
      </c>
      <c r="S210" t="s">
        <v>96</v>
      </c>
      <c r="T210" t="s">
        <v>1642</v>
      </c>
      <c r="U210">
        <v>49.921999999999997</v>
      </c>
      <c r="V210">
        <v>0</v>
      </c>
      <c r="W210">
        <v>0</v>
      </c>
      <c r="X210">
        <v>4</v>
      </c>
      <c r="Y210" s="6">
        <v>46023</v>
      </c>
    </row>
    <row r="211" spans="1:26" x14ac:dyDescent="0.3">
      <c r="A211" t="s">
        <v>316</v>
      </c>
      <c r="B211" s="5">
        <v>46144</v>
      </c>
      <c r="C211" s="5">
        <v>46145</v>
      </c>
      <c r="D211" s="5">
        <v>46148</v>
      </c>
      <c r="E211" s="5">
        <v>46148</v>
      </c>
      <c r="F211" t="s">
        <v>31</v>
      </c>
      <c r="G211" t="s">
        <v>53</v>
      </c>
      <c r="H211" t="s">
        <v>23</v>
      </c>
      <c r="I211" t="s">
        <v>42</v>
      </c>
      <c r="J211">
        <v>323.3</v>
      </c>
      <c r="K211">
        <v>11939.6</v>
      </c>
      <c r="L211">
        <v>9988000</v>
      </c>
      <c r="M211" t="b">
        <v>0</v>
      </c>
      <c r="N211" t="b">
        <v>0</v>
      </c>
      <c r="O211">
        <v>16000</v>
      </c>
      <c r="P211" t="b">
        <v>0</v>
      </c>
      <c r="Q211" t="b">
        <v>0</v>
      </c>
      <c r="R211" t="b">
        <v>0</v>
      </c>
      <c r="S211" t="s">
        <v>96</v>
      </c>
      <c r="T211" t="s">
        <v>1627</v>
      </c>
      <c r="U211">
        <v>74.622500000000002</v>
      </c>
      <c r="V211">
        <v>0</v>
      </c>
      <c r="W211">
        <v>0</v>
      </c>
      <c r="X211">
        <v>3</v>
      </c>
      <c r="Y211" s="6">
        <v>46143</v>
      </c>
    </row>
    <row r="212" spans="1:26" x14ac:dyDescent="0.3">
      <c r="A212" t="s">
        <v>317</v>
      </c>
      <c r="B212" s="5">
        <v>46198</v>
      </c>
      <c r="C212" s="5">
        <v>46199</v>
      </c>
      <c r="D212" s="5">
        <v>46203</v>
      </c>
      <c r="E212" s="5">
        <v>46203</v>
      </c>
      <c r="F212" t="s">
        <v>33</v>
      </c>
      <c r="G212" t="s">
        <v>55</v>
      </c>
      <c r="H212" t="s">
        <v>21</v>
      </c>
      <c r="I212" t="s">
        <v>45</v>
      </c>
      <c r="J212">
        <v>624.5</v>
      </c>
      <c r="K212">
        <v>490.6</v>
      </c>
      <c r="L212">
        <v>6153000</v>
      </c>
      <c r="M212" t="b">
        <v>0</v>
      </c>
      <c r="N212" t="b">
        <v>0</v>
      </c>
      <c r="O212">
        <v>1000</v>
      </c>
      <c r="P212" t="b">
        <v>0</v>
      </c>
      <c r="Q212" t="b">
        <v>0</v>
      </c>
      <c r="R212" t="b">
        <v>0</v>
      </c>
      <c r="S212" t="s">
        <v>96</v>
      </c>
      <c r="T212" t="s">
        <v>1626</v>
      </c>
      <c r="U212">
        <v>49.06</v>
      </c>
      <c r="V212">
        <v>0</v>
      </c>
      <c r="W212">
        <v>0</v>
      </c>
      <c r="X212">
        <v>4</v>
      </c>
      <c r="Y212" s="6">
        <v>46174</v>
      </c>
    </row>
    <row r="213" spans="1:26" x14ac:dyDescent="0.3">
      <c r="A213" t="s">
        <v>318</v>
      </c>
      <c r="B213" s="5">
        <v>46055</v>
      </c>
      <c r="C213" s="5">
        <v>46056</v>
      </c>
      <c r="D213" s="5">
        <v>46060</v>
      </c>
      <c r="E213" s="5">
        <v>46061</v>
      </c>
      <c r="F213" t="s">
        <v>33</v>
      </c>
      <c r="G213" t="s">
        <v>61</v>
      </c>
      <c r="H213" t="s">
        <v>22</v>
      </c>
      <c r="I213" t="s">
        <v>43</v>
      </c>
      <c r="J213">
        <v>659.8</v>
      </c>
      <c r="K213">
        <v>1639</v>
      </c>
      <c r="L213">
        <v>9431000</v>
      </c>
      <c r="M213" t="b">
        <v>0</v>
      </c>
      <c r="N213" t="b">
        <v>0</v>
      </c>
      <c r="O213">
        <v>5000</v>
      </c>
      <c r="P213" t="b">
        <v>0</v>
      </c>
      <c r="Q213" t="b">
        <v>0</v>
      </c>
      <c r="R213" t="b">
        <v>0</v>
      </c>
      <c r="S213" t="s">
        <v>101</v>
      </c>
      <c r="T213" t="s">
        <v>1643</v>
      </c>
      <c r="U213">
        <v>32.78</v>
      </c>
      <c r="V213">
        <v>0</v>
      </c>
      <c r="W213">
        <v>0</v>
      </c>
      <c r="X213">
        <v>5</v>
      </c>
      <c r="Y213" s="6">
        <v>46054</v>
      </c>
      <c r="Z213">
        <v>1</v>
      </c>
    </row>
    <row r="214" spans="1:26" x14ac:dyDescent="0.3">
      <c r="A214" t="s">
        <v>319</v>
      </c>
      <c r="B214" s="5">
        <v>46164</v>
      </c>
      <c r="C214" s="5">
        <v>46164</v>
      </c>
      <c r="D214" s="5">
        <v>46168</v>
      </c>
      <c r="E214" s="5">
        <v>46168</v>
      </c>
      <c r="F214" t="s">
        <v>33</v>
      </c>
      <c r="G214" t="s">
        <v>55</v>
      </c>
      <c r="H214" t="s">
        <v>20</v>
      </c>
      <c r="I214" t="s">
        <v>45</v>
      </c>
      <c r="J214">
        <v>600.20000000000005</v>
      </c>
      <c r="K214">
        <v>272.2</v>
      </c>
      <c r="L214">
        <v>5380000</v>
      </c>
      <c r="M214" t="b">
        <v>0</v>
      </c>
      <c r="N214" t="b">
        <v>0</v>
      </c>
      <c r="O214">
        <v>1000</v>
      </c>
      <c r="P214" t="b">
        <v>0</v>
      </c>
      <c r="Q214" t="b">
        <v>0</v>
      </c>
      <c r="R214" t="b">
        <v>0</v>
      </c>
      <c r="S214" t="s">
        <v>96</v>
      </c>
      <c r="T214" t="s">
        <v>1626</v>
      </c>
      <c r="U214">
        <v>27.22</v>
      </c>
      <c r="V214">
        <v>0</v>
      </c>
      <c r="W214">
        <v>0</v>
      </c>
      <c r="X214">
        <v>4</v>
      </c>
      <c r="Y214" s="6">
        <v>46143</v>
      </c>
    </row>
    <row r="215" spans="1:26" x14ac:dyDescent="0.3">
      <c r="A215" t="s">
        <v>320</v>
      </c>
      <c r="B215" s="5">
        <v>46164</v>
      </c>
      <c r="C215" s="5">
        <v>46164</v>
      </c>
      <c r="D215" s="5">
        <v>46166</v>
      </c>
      <c r="E215" s="5">
        <v>46166</v>
      </c>
      <c r="F215" t="s">
        <v>31</v>
      </c>
      <c r="G215" t="s">
        <v>57</v>
      </c>
      <c r="H215" t="s">
        <v>22</v>
      </c>
      <c r="I215" t="s">
        <v>42</v>
      </c>
      <c r="J215">
        <v>126.7</v>
      </c>
      <c r="K215">
        <v>8737.7000000000007</v>
      </c>
      <c r="L215">
        <v>5656000</v>
      </c>
      <c r="M215" t="b">
        <v>0</v>
      </c>
      <c r="N215" t="b">
        <v>0</v>
      </c>
      <c r="O215">
        <v>16000</v>
      </c>
      <c r="P215" t="b">
        <v>0</v>
      </c>
      <c r="Q215" t="b">
        <v>0</v>
      </c>
      <c r="R215" t="b">
        <v>0</v>
      </c>
      <c r="S215" t="s">
        <v>96</v>
      </c>
      <c r="T215" t="s">
        <v>1617</v>
      </c>
      <c r="U215">
        <v>54.610624999999999</v>
      </c>
      <c r="V215">
        <v>0</v>
      </c>
      <c r="W215">
        <v>0</v>
      </c>
      <c r="X215">
        <v>2</v>
      </c>
      <c r="Y215" s="6">
        <v>46143</v>
      </c>
    </row>
    <row r="216" spans="1:26" x14ac:dyDescent="0.3">
      <c r="A216" t="s">
        <v>321</v>
      </c>
      <c r="B216" s="5">
        <v>46053</v>
      </c>
      <c r="C216" s="5">
        <v>46053</v>
      </c>
      <c r="D216" s="5">
        <v>46056</v>
      </c>
      <c r="E216" s="5">
        <v>46057</v>
      </c>
      <c r="F216" t="s">
        <v>33</v>
      </c>
      <c r="G216" t="s">
        <v>53</v>
      </c>
      <c r="H216" t="s">
        <v>24</v>
      </c>
      <c r="I216" t="s">
        <v>44</v>
      </c>
      <c r="J216">
        <v>581.1</v>
      </c>
      <c r="K216">
        <v>626.9</v>
      </c>
      <c r="L216">
        <v>6056000</v>
      </c>
      <c r="M216" t="b">
        <v>0</v>
      </c>
      <c r="N216" t="b">
        <v>0</v>
      </c>
      <c r="O216">
        <v>1500</v>
      </c>
      <c r="P216" t="b">
        <v>0</v>
      </c>
      <c r="Q216" t="b">
        <v>0</v>
      </c>
      <c r="R216" t="b">
        <v>0</v>
      </c>
      <c r="S216" t="s">
        <v>101</v>
      </c>
      <c r="T216" t="s">
        <v>1632</v>
      </c>
      <c r="U216">
        <v>41.793333333333329</v>
      </c>
      <c r="V216">
        <v>0</v>
      </c>
      <c r="W216">
        <v>0</v>
      </c>
      <c r="X216">
        <v>4</v>
      </c>
      <c r="Y216" s="6">
        <v>46023</v>
      </c>
      <c r="Z216">
        <v>1</v>
      </c>
    </row>
    <row r="217" spans="1:26" x14ac:dyDescent="0.3">
      <c r="A217" t="s">
        <v>322</v>
      </c>
      <c r="B217" s="5">
        <v>46140</v>
      </c>
      <c r="C217" s="5">
        <v>46141</v>
      </c>
      <c r="D217" s="5">
        <v>46143</v>
      </c>
      <c r="E217" s="5">
        <v>46144</v>
      </c>
      <c r="F217" t="s">
        <v>32</v>
      </c>
      <c r="G217" t="s">
        <v>59</v>
      </c>
      <c r="H217" t="s">
        <v>22</v>
      </c>
      <c r="I217" t="s">
        <v>43</v>
      </c>
      <c r="J217">
        <v>173</v>
      </c>
      <c r="K217">
        <v>1382.7</v>
      </c>
      <c r="L217">
        <v>3792000</v>
      </c>
      <c r="M217" t="b">
        <v>0</v>
      </c>
      <c r="N217" t="b">
        <v>0</v>
      </c>
      <c r="O217">
        <v>5000</v>
      </c>
      <c r="P217" t="b">
        <v>0</v>
      </c>
      <c r="Q217" t="b">
        <v>0</v>
      </c>
      <c r="R217" t="b">
        <v>0</v>
      </c>
      <c r="S217" t="s">
        <v>101</v>
      </c>
      <c r="T217" t="s">
        <v>1619</v>
      </c>
      <c r="U217">
        <v>27.654</v>
      </c>
      <c r="V217">
        <v>0</v>
      </c>
      <c r="W217">
        <v>0</v>
      </c>
      <c r="X217">
        <v>3</v>
      </c>
      <c r="Y217" s="6">
        <v>46113</v>
      </c>
      <c r="Z217">
        <v>1</v>
      </c>
    </row>
    <row r="218" spans="1:26" x14ac:dyDescent="0.3">
      <c r="A218" t="s">
        <v>323</v>
      </c>
      <c r="B218" s="5">
        <v>46168</v>
      </c>
      <c r="C218" s="5">
        <v>46170</v>
      </c>
      <c r="D218" s="5">
        <v>46174</v>
      </c>
      <c r="E218" s="5">
        <v>46175</v>
      </c>
      <c r="F218" t="s">
        <v>31</v>
      </c>
      <c r="G218" t="s">
        <v>56</v>
      </c>
      <c r="H218" t="s">
        <v>20</v>
      </c>
      <c r="I218" t="s">
        <v>43</v>
      </c>
      <c r="J218">
        <v>901.3</v>
      </c>
      <c r="K218">
        <v>882</v>
      </c>
      <c r="L218">
        <v>11018000</v>
      </c>
      <c r="M218" t="b">
        <v>0</v>
      </c>
      <c r="N218" t="b">
        <v>0</v>
      </c>
      <c r="O218">
        <v>5000</v>
      </c>
      <c r="P218" t="b">
        <v>0</v>
      </c>
      <c r="Q218" t="b">
        <v>0</v>
      </c>
      <c r="R218" t="b">
        <v>0</v>
      </c>
      <c r="S218" t="s">
        <v>101</v>
      </c>
      <c r="T218" t="s">
        <v>1614</v>
      </c>
      <c r="U218">
        <v>17.64</v>
      </c>
      <c r="V218">
        <v>0</v>
      </c>
      <c r="W218">
        <v>0</v>
      </c>
      <c r="X218">
        <v>5</v>
      </c>
      <c r="Y218" s="6">
        <v>46143</v>
      </c>
      <c r="Z218">
        <v>1</v>
      </c>
    </row>
    <row r="219" spans="1:26" x14ac:dyDescent="0.3">
      <c r="A219" t="s">
        <v>324</v>
      </c>
      <c r="B219" s="5">
        <v>46119</v>
      </c>
      <c r="C219" s="5">
        <v>46120</v>
      </c>
      <c r="D219" s="5">
        <v>46121</v>
      </c>
      <c r="E219" s="5">
        <v>46121</v>
      </c>
      <c r="F219" t="s">
        <v>31</v>
      </c>
      <c r="G219" t="s">
        <v>61</v>
      </c>
      <c r="H219" t="s">
        <v>20</v>
      </c>
      <c r="I219" t="s">
        <v>43</v>
      </c>
      <c r="J219">
        <v>53.5</v>
      </c>
      <c r="K219">
        <v>1350.7</v>
      </c>
      <c r="L219">
        <v>1817000</v>
      </c>
      <c r="M219" t="b">
        <v>0</v>
      </c>
      <c r="N219" t="b">
        <v>0</v>
      </c>
      <c r="O219">
        <v>5000</v>
      </c>
      <c r="P219" t="b">
        <v>0</v>
      </c>
      <c r="Q219" t="b">
        <v>0</v>
      </c>
      <c r="R219" t="b">
        <v>0</v>
      </c>
      <c r="S219" t="s">
        <v>96</v>
      </c>
      <c r="T219" t="s">
        <v>1645</v>
      </c>
      <c r="U219">
        <v>27.013999999999999</v>
      </c>
      <c r="V219">
        <v>0</v>
      </c>
      <c r="W219">
        <v>0</v>
      </c>
      <c r="X219">
        <v>1</v>
      </c>
      <c r="Y219" s="6">
        <v>46113</v>
      </c>
    </row>
    <row r="220" spans="1:26" x14ac:dyDescent="0.3">
      <c r="A220" t="s">
        <v>325</v>
      </c>
      <c r="B220" s="5">
        <v>46084</v>
      </c>
      <c r="C220" s="5">
        <v>46084</v>
      </c>
      <c r="D220" s="5">
        <v>46088</v>
      </c>
      <c r="E220" s="5">
        <v>46088</v>
      </c>
      <c r="F220" t="s">
        <v>33</v>
      </c>
      <c r="G220" t="s">
        <v>54</v>
      </c>
      <c r="H220" t="s">
        <v>21</v>
      </c>
      <c r="I220" t="s">
        <v>45</v>
      </c>
      <c r="J220">
        <v>930.9</v>
      </c>
      <c r="K220">
        <v>297.10000000000002</v>
      </c>
      <c r="L220">
        <v>8013000</v>
      </c>
      <c r="M220" t="b">
        <v>0</v>
      </c>
      <c r="N220" t="b">
        <v>0</v>
      </c>
      <c r="O220">
        <v>1000</v>
      </c>
      <c r="P220" t="b">
        <v>0</v>
      </c>
      <c r="Q220" t="b">
        <v>0</v>
      </c>
      <c r="R220" t="b">
        <v>0</v>
      </c>
      <c r="S220" t="s">
        <v>96</v>
      </c>
      <c r="T220" t="s">
        <v>1642</v>
      </c>
      <c r="U220">
        <v>29.71</v>
      </c>
      <c r="V220">
        <v>0</v>
      </c>
      <c r="W220">
        <v>0</v>
      </c>
      <c r="X220">
        <v>4</v>
      </c>
      <c r="Y220" s="6">
        <v>46082</v>
      </c>
    </row>
    <row r="221" spans="1:26" x14ac:dyDescent="0.3">
      <c r="A221" t="s">
        <v>326</v>
      </c>
      <c r="B221" s="5">
        <v>46155</v>
      </c>
      <c r="C221" s="5">
        <v>46156</v>
      </c>
      <c r="D221" s="5">
        <v>46157</v>
      </c>
      <c r="E221" s="5">
        <v>46157</v>
      </c>
      <c r="F221" t="s">
        <v>33</v>
      </c>
      <c r="G221" t="s">
        <v>60</v>
      </c>
      <c r="H221" t="s">
        <v>21</v>
      </c>
      <c r="I221" t="s">
        <v>42</v>
      </c>
      <c r="J221">
        <v>28.2</v>
      </c>
      <c r="K221">
        <v>11422</v>
      </c>
      <c r="L221">
        <v>4428000</v>
      </c>
      <c r="M221" t="b">
        <v>0</v>
      </c>
      <c r="N221" t="b">
        <v>0</v>
      </c>
      <c r="O221">
        <v>16000</v>
      </c>
      <c r="P221" t="b">
        <v>0</v>
      </c>
      <c r="Q221" t="b">
        <v>0</v>
      </c>
      <c r="R221" t="b">
        <v>0</v>
      </c>
      <c r="S221" t="s">
        <v>96</v>
      </c>
      <c r="T221" t="s">
        <v>1650</v>
      </c>
      <c r="U221">
        <v>71.387500000000003</v>
      </c>
      <c r="V221">
        <v>0</v>
      </c>
      <c r="W221">
        <v>0</v>
      </c>
      <c r="X221">
        <v>1</v>
      </c>
      <c r="Y221" s="6">
        <v>46143</v>
      </c>
    </row>
    <row r="222" spans="1:26" x14ac:dyDescent="0.3">
      <c r="A222" t="s">
        <v>327</v>
      </c>
      <c r="B222" s="5">
        <v>46164</v>
      </c>
      <c r="C222" s="5">
        <v>46165</v>
      </c>
      <c r="D222" s="5">
        <v>46167</v>
      </c>
      <c r="E222" s="5">
        <v>46168</v>
      </c>
      <c r="F222" t="s">
        <v>34</v>
      </c>
      <c r="G222" t="s">
        <v>57</v>
      </c>
      <c r="H222" t="s">
        <v>22</v>
      </c>
      <c r="I222" t="s">
        <v>42</v>
      </c>
      <c r="J222">
        <v>151.9</v>
      </c>
      <c r="K222">
        <v>9137.6</v>
      </c>
      <c r="L222">
        <v>5534000</v>
      </c>
      <c r="M222" t="b">
        <v>0</v>
      </c>
      <c r="N222" t="b">
        <v>0</v>
      </c>
      <c r="O222">
        <v>16000</v>
      </c>
      <c r="P222" t="b">
        <v>0</v>
      </c>
      <c r="Q222" t="b">
        <v>0</v>
      </c>
      <c r="R222" t="b">
        <v>0</v>
      </c>
      <c r="S222" t="s">
        <v>101</v>
      </c>
      <c r="T222" t="s">
        <v>1620</v>
      </c>
      <c r="U222">
        <v>57.110000000000007</v>
      </c>
      <c r="V222">
        <v>0</v>
      </c>
      <c r="W222">
        <v>0</v>
      </c>
      <c r="X222">
        <v>3</v>
      </c>
      <c r="Y222" s="6">
        <v>46143</v>
      </c>
      <c r="Z222">
        <v>1</v>
      </c>
    </row>
    <row r="223" spans="1:26" x14ac:dyDescent="0.3">
      <c r="A223" t="s">
        <v>328</v>
      </c>
      <c r="B223" s="5">
        <v>46071</v>
      </c>
      <c r="C223" s="5">
        <v>46072</v>
      </c>
      <c r="D223" s="5">
        <v>46075</v>
      </c>
      <c r="E223" s="5">
        <v>46075</v>
      </c>
      <c r="F223" t="s">
        <v>31</v>
      </c>
      <c r="G223" t="s">
        <v>53</v>
      </c>
      <c r="H223" t="s">
        <v>22</v>
      </c>
      <c r="I223" t="s">
        <v>44</v>
      </c>
      <c r="J223">
        <v>307.5</v>
      </c>
      <c r="K223">
        <v>271.89999999999998</v>
      </c>
      <c r="L223">
        <v>3477000</v>
      </c>
      <c r="M223" t="b">
        <v>0</v>
      </c>
      <c r="N223" t="b">
        <v>0</v>
      </c>
      <c r="O223">
        <v>1500</v>
      </c>
      <c r="P223" t="b">
        <v>0</v>
      </c>
      <c r="Q223" t="b">
        <v>0</v>
      </c>
      <c r="R223" t="b">
        <v>0</v>
      </c>
      <c r="S223" t="s">
        <v>96</v>
      </c>
      <c r="T223" t="s">
        <v>1627</v>
      </c>
      <c r="U223">
        <v>18.126666666666669</v>
      </c>
      <c r="V223">
        <v>0</v>
      </c>
      <c r="W223">
        <v>0</v>
      </c>
      <c r="X223">
        <v>3</v>
      </c>
      <c r="Y223" s="6">
        <v>46054</v>
      </c>
    </row>
    <row r="224" spans="1:26" x14ac:dyDescent="0.3">
      <c r="A224" t="s">
        <v>329</v>
      </c>
      <c r="B224" s="5">
        <v>46194</v>
      </c>
      <c r="C224" s="5">
        <v>46195</v>
      </c>
      <c r="D224" s="5">
        <v>46198</v>
      </c>
      <c r="E224" s="5">
        <v>46200</v>
      </c>
      <c r="F224" t="s">
        <v>32</v>
      </c>
      <c r="G224" t="s">
        <v>54</v>
      </c>
      <c r="H224" t="s">
        <v>24</v>
      </c>
      <c r="I224" t="s">
        <v>42</v>
      </c>
      <c r="J224">
        <v>511.7</v>
      </c>
      <c r="K224">
        <v>9096.6</v>
      </c>
      <c r="L224">
        <v>12486000</v>
      </c>
      <c r="M224" t="b">
        <v>0</v>
      </c>
      <c r="N224" t="b">
        <v>0</v>
      </c>
      <c r="O224">
        <v>16000</v>
      </c>
      <c r="P224" t="b">
        <v>0</v>
      </c>
      <c r="Q224" t="b">
        <v>0</v>
      </c>
      <c r="R224" t="b">
        <v>0</v>
      </c>
      <c r="S224" t="s">
        <v>101</v>
      </c>
      <c r="T224" t="s">
        <v>1655</v>
      </c>
      <c r="U224">
        <v>56.853750000000012</v>
      </c>
      <c r="V224">
        <v>0</v>
      </c>
      <c r="W224">
        <v>0</v>
      </c>
      <c r="X224">
        <v>5</v>
      </c>
      <c r="Y224" s="6">
        <v>46174</v>
      </c>
      <c r="Z224">
        <v>2</v>
      </c>
    </row>
    <row r="225" spans="1:26" x14ac:dyDescent="0.3">
      <c r="A225" t="s">
        <v>330</v>
      </c>
      <c r="B225" s="5">
        <v>46103</v>
      </c>
      <c r="C225" s="5">
        <v>46104</v>
      </c>
      <c r="D225" s="5">
        <v>46108</v>
      </c>
      <c r="E225" s="5">
        <v>46108</v>
      </c>
      <c r="F225" t="s">
        <v>34</v>
      </c>
      <c r="G225" t="s">
        <v>62</v>
      </c>
      <c r="H225" t="s">
        <v>24</v>
      </c>
      <c r="I225" t="s">
        <v>44</v>
      </c>
      <c r="J225">
        <v>713</v>
      </c>
      <c r="K225">
        <v>598.29999999999995</v>
      </c>
      <c r="L225">
        <v>7461000</v>
      </c>
      <c r="M225" t="b">
        <v>0</v>
      </c>
      <c r="N225" t="b">
        <v>0</v>
      </c>
      <c r="O225">
        <v>1500</v>
      </c>
      <c r="P225" t="b">
        <v>0</v>
      </c>
      <c r="Q225" t="b">
        <v>0</v>
      </c>
      <c r="R225" t="b">
        <v>0</v>
      </c>
      <c r="S225" t="s">
        <v>96</v>
      </c>
      <c r="T225" t="s">
        <v>1649</v>
      </c>
      <c r="U225">
        <v>39.886666666666663</v>
      </c>
      <c r="V225">
        <v>0</v>
      </c>
      <c r="W225">
        <v>0</v>
      </c>
      <c r="X225">
        <v>4</v>
      </c>
      <c r="Y225" s="6">
        <v>46082</v>
      </c>
    </row>
    <row r="226" spans="1:26" x14ac:dyDescent="0.3">
      <c r="A226" t="s">
        <v>331</v>
      </c>
      <c r="B226" s="5">
        <v>46027</v>
      </c>
      <c r="C226" s="5">
        <v>46028</v>
      </c>
      <c r="D226" s="5">
        <v>46031</v>
      </c>
      <c r="E226" s="5">
        <v>46031</v>
      </c>
      <c r="F226" t="s">
        <v>34</v>
      </c>
      <c r="G226" t="s">
        <v>53</v>
      </c>
      <c r="H226" t="s">
        <v>20</v>
      </c>
      <c r="I226" t="s">
        <v>43</v>
      </c>
      <c r="J226">
        <v>320.10000000000002</v>
      </c>
      <c r="K226">
        <v>1973.6</v>
      </c>
      <c r="L226">
        <v>5374000</v>
      </c>
      <c r="M226" t="b">
        <v>0</v>
      </c>
      <c r="N226" t="b">
        <v>0</v>
      </c>
      <c r="O226">
        <v>5000</v>
      </c>
      <c r="P226" t="b">
        <v>0</v>
      </c>
      <c r="Q226" t="b">
        <v>0</v>
      </c>
      <c r="R226" t="b">
        <v>0</v>
      </c>
      <c r="S226" t="s">
        <v>96</v>
      </c>
      <c r="T226" t="s">
        <v>1636</v>
      </c>
      <c r="U226">
        <v>39.471999999999987</v>
      </c>
      <c r="V226">
        <v>0</v>
      </c>
      <c r="W226">
        <v>0</v>
      </c>
      <c r="X226">
        <v>3</v>
      </c>
      <c r="Y226" s="6">
        <v>46023</v>
      </c>
    </row>
    <row r="227" spans="1:26" x14ac:dyDescent="0.3">
      <c r="A227" t="s">
        <v>332</v>
      </c>
      <c r="B227" s="5">
        <v>46104</v>
      </c>
      <c r="C227" s="5">
        <v>46106</v>
      </c>
      <c r="D227" s="5">
        <v>46110</v>
      </c>
      <c r="E227" s="5">
        <v>46110</v>
      </c>
      <c r="F227" t="s">
        <v>34</v>
      </c>
      <c r="G227" t="s">
        <v>60</v>
      </c>
      <c r="H227" t="s">
        <v>22</v>
      </c>
      <c r="I227" t="s">
        <v>45</v>
      </c>
      <c r="J227">
        <v>646.9</v>
      </c>
      <c r="K227">
        <v>221</v>
      </c>
      <c r="L227">
        <v>6066000</v>
      </c>
      <c r="M227" t="b">
        <v>0</v>
      </c>
      <c r="N227" t="b">
        <v>0</v>
      </c>
      <c r="O227">
        <v>1000</v>
      </c>
      <c r="P227" t="b">
        <v>0</v>
      </c>
      <c r="Q227" t="b">
        <v>0</v>
      </c>
      <c r="R227" t="b">
        <v>0</v>
      </c>
      <c r="S227" t="s">
        <v>96</v>
      </c>
      <c r="T227" t="s">
        <v>1644</v>
      </c>
      <c r="U227">
        <v>22.1</v>
      </c>
      <c r="V227">
        <v>0</v>
      </c>
      <c r="W227">
        <v>0</v>
      </c>
      <c r="X227">
        <v>4</v>
      </c>
      <c r="Y227" s="6">
        <v>46082</v>
      </c>
    </row>
    <row r="228" spans="1:26" x14ac:dyDescent="0.3">
      <c r="A228" t="s">
        <v>333</v>
      </c>
      <c r="B228" s="5">
        <v>46121</v>
      </c>
      <c r="C228" s="5">
        <v>46122</v>
      </c>
      <c r="D228" s="5">
        <v>46126</v>
      </c>
      <c r="E228" s="5">
        <v>46126</v>
      </c>
      <c r="F228" t="s">
        <v>31</v>
      </c>
      <c r="G228" t="s">
        <v>62</v>
      </c>
      <c r="H228" t="s">
        <v>21</v>
      </c>
      <c r="I228" t="s">
        <v>45</v>
      </c>
      <c r="J228">
        <v>686.3</v>
      </c>
      <c r="K228">
        <v>857.1</v>
      </c>
      <c r="L228">
        <v>7016000</v>
      </c>
      <c r="M228" t="b">
        <v>0</v>
      </c>
      <c r="N228" t="b">
        <v>0</v>
      </c>
      <c r="O228">
        <v>1000</v>
      </c>
      <c r="P228" t="b">
        <v>0</v>
      </c>
      <c r="Q228" t="b">
        <v>0</v>
      </c>
      <c r="R228" t="b">
        <v>0</v>
      </c>
      <c r="S228" t="s">
        <v>96</v>
      </c>
      <c r="T228" t="s">
        <v>1615</v>
      </c>
      <c r="U228">
        <v>85.71</v>
      </c>
      <c r="V228">
        <v>0</v>
      </c>
      <c r="W228">
        <v>0</v>
      </c>
      <c r="X228">
        <v>4</v>
      </c>
      <c r="Y228" s="6">
        <v>46113</v>
      </c>
    </row>
    <row r="229" spans="1:26" x14ac:dyDescent="0.3">
      <c r="A229" t="s">
        <v>334</v>
      </c>
      <c r="B229" s="5">
        <v>46135</v>
      </c>
      <c r="C229" s="5">
        <v>46136</v>
      </c>
      <c r="D229" s="5">
        <v>46138</v>
      </c>
      <c r="E229" s="5">
        <v>46139</v>
      </c>
      <c r="F229" t="s">
        <v>32</v>
      </c>
      <c r="G229" t="s">
        <v>61</v>
      </c>
      <c r="H229" t="s">
        <v>23</v>
      </c>
      <c r="I229" t="s">
        <v>43</v>
      </c>
      <c r="J229">
        <v>166.3</v>
      </c>
      <c r="K229">
        <v>3444.3</v>
      </c>
      <c r="L229">
        <v>4051000</v>
      </c>
      <c r="M229" t="b">
        <v>0</v>
      </c>
      <c r="N229" t="b">
        <v>0</v>
      </c>
      <c r="O229">
        <v>5000</v>
      </c>
      <c r="P229" t="b">
        <v>0</v>
      </c>
      <c r="Q229" t="b">
        <v>0</v>
      </c>
      <c r="R229" t="b">
        <v>0</v>
      </c>
      <c r="S229" t="s">
        <v>101</v>
      </c>
      <c r="T229" t="s">
        <v>1653</v>
      </c>
      <c r="U229">
        <v>68.885999999999996</v>
      </c>
      <c r="V229">
        <v>0</v>
      </c>
      <c r="W229">
        <v>0</v>
      </c>
      <c r="X229">
        <v>3</v>
      </c>
      <c r="Y229" s="6">
        <v>46113</v>
      </c>
      <c r="Z229">
        <v>1</v>
      </c>
    </row>
    <row r="230" spans="1:26" x14ac:dyDescent="0.3">
      <c r="A230" t="s">
        <v>335</v>
      </c>
      <c r="B230" s="5">
        <v>46065</v>
      </c>
      <c r="C230" s="5">
        <v>46065</v>
      </c>
      <c r="D230" s="5">
        <v>46067</v>
      </c>
      <c r="E230" s="5">
        <v>46067</v>
      </c>
      <c r="F230" t="s">
        <v>34</v>
      </c>
      <c r="G230" t="s">
        <v>57</v>
      </c>
      <c r="H230" t="s">
        <v>22</v>
      </c>
      <c r="I230" t="s">
        <v>43</v>
      </c>
      <c r="J230">
        <v>162.1</v>
      </c>
      <c r="K230">
        <v>1600.5</v>
      </c>
      <c r="L230">
        <v>3186000</v>
      </c>
      <c r="M230" t="b">
        <v>0</v>
      </c>
      <c r="N230" t="b">
        <v>0</v>
      </c>
      <c r="O230">
        <v>5000</v>
      </c>
      <c r="P230" t="b">
        <v>0</v>
      </c>
      <c r="Q230" t="b">
        <v>0</v>
      </c>
      <c r="R230" t="b">
        <v>0</v>
      </c>
      <c r="S230" t="s">
        <v>96</v>
      </c>
      <c r="T230" t="s">
        <v>1620</v>
      </c>
      <c r="U230">
        <v>32.01</v>
      </c>
      <c r="V230">
        <v>0</v>
      </c>
      <c r="W230">
        <v>0</v>
      </c>
      <c r="X230">
        <v>2</v>
      </c>
      <c r="Y230" s="6">
        <v>46054</v>
      </c>
    </row>
    <row r="231" spans="1:26" x14ac:dyDescent="0.3">
      <c r="A231" t="s">
        <v>336</v>
      </c>
      <c r="B231" s="5">
        <v>46093</v>
      </c>
      <c r="C231" s="5">
        <v>46094</v>
      </c>
      <c r="D231" s="5">
        <v>46096</v>
      </c>
      <c r="E231" s="5">
        <v>46096</v>
      </c>
      <c r="F231" t="s">
        <v>31</v>
      </c>
      <c r="G231" t="s">
        <v>58</v>
      </c>
      <c r="H231" t="s">
        <v>20</v>
      </c>
      <c r="I231" t="s">
        <v>45</v>
      </c>
      <c r="J231">
        <v>192.2</v>
      </c>
      <c r="K231">
        <v>287.2</v>
      </c>
      <c r="L231">
        <v>2306000</v>
      </c>
      <c r="M231" t="b">
        <v>0</v>
      </c>
      <c r="N231" t="b">
        <v>0</v>
      </c>
      <c r="O231">
        <v>1000</v>
      </c>
      <c r="P231" t="b">
        <v>0</v>
      </c>
      <c r="Q231" t="b">
        <v>0</v>
      </c>
      <c r="R231" t="b">
        <v>0</v>
      </c>
      <c r="S231" t="s">
        <v>96</v>
      </c>
      <c r="T231" t="s">
        <v>1621</v>
      </c>
      <c r="U231">
        <v>28.72</v>
      </c>
      <c r="V231">
        <v>0</v>
      </c>
      <c r="W231">
        <v>0</v>
      </c>
      <c r="X231">
        <v>2</v>
      </c>
      <c r="Y231" s="6">
        <v>46082</v>
      </c>
    </row>
    <row r="232" spans="1:26" x14ac:dyDescent="0.3">
      <c r="A232" t="s">
        <v>337</v>
      </c>
      <c r="B232" s="5">
        <v>46038</v>
      </c>
      <c r="C232" s="5">
        <v>46038</v>
      </c>
      <c r="D232" s="5">
        <v>46042</v>
      </c>
      <c r="E232" s="5">
        <v>46045</v>
      </c>
      <c r="F232" t="s">
        <v>32</v>
      </c>
      <c r="G232" t="s">
        <v>62</v>
      </c>
      <c r="H232" t="s">
        <v>24</v>
      </c>
      <c r="I232" t="s">
        <v>42</v>
      </c>
      <c r="J232">
        <v>625.5</v>
      </c>
      <c r="K232">
        <v>6418.9</v>
      </c>
      <c r="L232">
        <v>14112000</v>
      </c>
      <c r="M232" t="b">
        <v>0</v>
      </c>
      <c r="N232" t="b">
        <v>0</v>
      </c>
      <c r="O232">
        <v>16000</v>
      </c>
      <c r="P232" t="b">
        <v>0</v>
      </c>
      <c r="Q232" t="b">
        <v>0</v>
      </c>
      <c r="R232" t="b">
        <v>0</v>
      </c>
      <c r="S232" t="s">
        <v>101</v>
      </c>
      <c r="T232" t="s">
        <v>1641</v>
      </c>
      <c r="U232">
        <v>40.118124999999999</v>
      </c>
      <c r="V232">
        <v>0</v>
      </c>
      <c r="W232">
        <v>0</v>
      </c>
      <c r="X232">
        <v>7</v>
      </c>
      <c r="Y232" s="6">
        <v>46023</v>
      </c>
      <c r="Z232">
        <v>3</v>
      </c>
    </row>
    <row r="233" spans="1:26" x14ac:dyDescent="0.3">
      <c r="A233" t="s">
        <v>338</v>
      </c>
      <c r="B233" s="5">
        <v>46165</v>
      </c>
      <c r="C233" s="5">
        <v>46166</v>
      </c>
      <c r="D233" s="5">
        <v>46168</v>
      </c>
      <c r="E233" s="5">
        <v>46168</v>
      </c>
      <c r="F233" t="s">
        <v>34</v>
      </c>
      <c r="G233" t="s">
        <v>53</v>
      </c>
      <c r="H233" t="s">
        <v>23</v>
      </c>
      <c r="I233" t="s">
        <v>42</v>
      </c>
      <c r="J233">
        <v>298.8</v>
      </c>
      <c r="K233">
        <v>7721.6</v>
      </c>
      <c r="L233">
        <v>9998000</v>
      </c>
      <c r="M233" t="b">
        <v>0</v>
      </c>
      <c r="N233" t="b">
        <v>0</v>
      </c>
      <c r="O233">
        <v>16000</v>
      </c>
      <c r="P233" t="b">
        <v>0</v>
      </c>
      <c r="Q233" t="b">
        <v>0</v>
      </c>
      <c r="R233" t="b">
        <v>0</v>
      </c>
      <c r="S233" t="s">
        <v>96</v>
      </c>
      <c r="T233" t="s">
        <v>1636</v>
      </c>
      <c r="U233">
        <v>48.260000000000012</v>
      </c>
      <c r="V233">
        <v>0</v>
      </c>
      <c r="W233">
        <v>0</v>
      </c>
      <c r="X233">
        <v>2</v>
      </c>
      <c r="Y233" s="6">
        <v>46143</v>
      </c>
    </row>
    <row r="234" spans="1:26" x14ac:dyDescent="0.3">
      <c r="A234" t="s">
        <v>339</v>
      </c>
      <c r="B234" s="5">
        <v>46082</v>
      </c>
      <c r="C234" s="5">
        <v>46082</v>
      </c>
      <c r="D234" s="5">
        <v>46084</v>
      </c>
      <c r="E234" s="5">
        <v>46084</v>
      </c>
      <c r="F234" t="s">
        <v>31</v>
      </c>
      <c r="G234" t="s">
        <v>58</v>
      </c>
      <c r="H234" t="s">
        <v>22</v>
      </c>
      <c r="I234" t="s">
        <v>43</v>
      </c>
      <c r="J234">
        <v>194.6</v>
      </c>
      <c r="K234">
        <v>1978</v>
      </c>
      <c r="L234">
        <v>4049000</v>
      </c>
      <c r="M234" t="b">
        <v>0</v>
      </c>
      <c r="N234" t="b">
        <v>0</v>
      </c>
      <c r="O234">
        <v>5000</v>
      </c>
      <c r="P234" t="b">
        <v>0</v>
      </c>
      <c r="Q234" t="b">
        <v>0</v>
      </c>
      <c r="R234" t="b">
        <v>0</v>
      </c>
      <c r="S234" t="s">
        <v>96</v>
      </c>
      <c r="T234" t="s">
        <v>1621</v>
      </c>
      <c r="U234">
        <v>39.56</v>
      </c>
      <c r="V234">
        <v>0</v>
      </c>
      <c r="W234">
        <v>0</v>
      </c>
      <c r="X234">
        <v>2</v>
      </c>
      <c r="Y234" s="6">
        <v>46082</v>
      </c>
    </row>
    <row r="235" spans="1:26" x14ac:dyDescent="0.3">
      <c r="A235" t="s">
        <v>340</v>
      </c>
      <c r="B235" s="5">
        <v>46189</v>
      </c>
      <c r="C235" s="5">
        <v>46191</v>
      </c>
      <c r="D235" s="5">
        <v>46193</v>
      </c>
      <c r="E235" s="5">
        <v>46192</v>
      </c>
      <c r="F235" t="s">
        <v>34</v>
      </c>
      <c r="G235" t="s">
        <v>57</v>
      </c>
      <c r="H235" t="s">
        <v>24</v>
      </c>
      <c r="I235" t="s">
        <v>43</v>
      </c>
      <c r="J235">
        <v>153.80000000000001</v>
      </c>
      <c r="K235">
        <v>1133.2</v>
      </c>
      <c r="L235">
        <v>3067000</v>
      </c>
      <c r="M235" t="b">
        <v>0</v>
      </c>
      <c r="N235" t="b">
        <v>0</v>
      </c>
      <c r="O235">
        <v>5000</v>
      </c>
      <c r="P235" t="b">
        <v>0</v>
      </c>
      <c r="Q235" t="b">
        <v>0</v>
      </c>
      <c r="R235" t="b">
        <v>0</v>
      </c>
      <c r="S235" t="s">
        <v>96</v>
      </c>
      <c r="T235" t="s">
        <v>1620</v>
      </c>
      <c r="U235">
        <v>22.664000000000001</v>
      </c>
      <c r="V235">
        <v>0</v>
      </c>
      <c r="W235">
        <v>0</v>
      </c>
      <c r="X235">
        <v>1</v>
      </c>
      <c r="Y235" s="6">
        <v>46174</v>
      </c>
    </row>
    <row r="236" spans="1:26" x14ac:dyDescent="0.3">
      <c r="A236" t="s">
        <v>341</v>
      </c>
      <c r="B236" s="5">
        <v>46115</v>
      </c>
      <c r="C236" s="5">
        <v>46116</v>
      </c>
      <c r="D236" s="5">
        <v>46119</v>
      </c>
      <c r="E236" s="5">
        <v>46119</v>
      </c>
      <c r="F236" t="s">
        <v>32</v>
      </c>
      <c r="G236" t="s">
        <v>54</v>
      </c>
      <c r="H236" t="s">
        <v>24</v>
      </c>
      <c r="I236" t="s">
        <v>43</v>
      </c>
      <c r="J236">
        <v>544.20000000000005</v>
      </c>
      <c r="K236">
        <v>3271.7</v>
      </c>
      <c r="L236">
        <v>8651000</v>
      </c>
      <c r="M236" t="b">
        <v>0</v>
      </c>
      <c r="N236" t="b">
        <v>0</v>
      </c>
      <c r="O236">
        <v>5000</v>
      </c>
      <c r="P236" t="b">
        <v>0</v>
      </c>
      <c r="Q236" t="b">
        <v>0</v>
      </c>
      <c r="R236" t="b">
        <v>0</v>
      </c>
      <c r="S236" t="s">
        <v>96</v>
      </c>
      <c r="T236" t="s">
        <v>1655</v>
      </c>
      <c r="U236">
        <v>65.433999999999997</v>
      </c>
      <c r="V236">
        <v>0</v>
      </c>
      <c r="W236">
        <v>0</v>
      </c>
      <c r="X236">
        <v>3</v>
      </c>
      <c r="Y236" s="6">
        <v>46113</v>
      </c>
    </row>
    <row r="237" spans="1:26" x14ac:dyDescent="0.3">
      <c r="A237" t="s">
        <v>342</v>
      </c>
      <c r="B237" s="5">
        <v>46203</v>
      </c>
      <c r="C237" s="5">
        <v>46203</v>
      </c>
      <c r="D237" s="5">
        <v>46205</v>
      </c>
      <c r="E237" s="5">
        <v>46205</v>
      </c>
      <c r="F237" t="s">
        <v>31</v>
      </c>
      <c r="G237" t="s">
        <v>63</v>
      </c>
      <c r="H237" t="s">
        <v>20</v>
      </c>
      <c r="I237" t="s">
        <v>43</v>
      </c>
      <c r="J237">
        <v>295</v>
      </c>
      <c r="K237">
        <v>2385.9</v>
      </c>
      <c r="L237">
        <v>4979000</v>
      </c>
      <c r="M237" t="b">
        <v>0</v>
      </c>
      <c r="N237" t="b">
        <v>0</v>
      </c>
      <c r="O237">
        <v>5000</v>
      </c>
      <c r="P237" t="b">
        <v>0</v>
      </c>
      <c r="Q237" t="b">
        <v>0</v>
      </c>
      <c r="R237" t="b">
        <v>0</v>
      </c>
      <c r="S237" t="s">
        <v>96</v>
      </c>
      <c r="T237" t="s">
        <v>1640</v>
      </c>
      <c r="U237">
        <v>47.718000000000004</v>
      </c>
      <c r="V237">
        <v>0</v>
      </c>
      <c r="W237">
        <v>0</v>
      </c>
      <c r="X237">
        <v>2</v>
      </c>
      <c r="Y237" s="6">
        <v>46174</v>
      </c>
    </row>
    <row r="238" spans="1:26" x14ac:dyDescent="0.3">
      <c r="A238" t="s">
        <v>343</v>
      </c>
      <c r="B238" s="5">
        <v>46023</v>
      </c>
      <c r="C238" s="5">
        <v>46024</v>
      </c>
      <c r="D238" s="5">
        <v>46027</v>
      </c>
      <c r="E238" s="5">
        <v>46027</v>
      </c>
      <c r="F238" t="s">
        <v>32</v>
      </c>
      <c r="G238" t="s">
        <v>54</v>
      </c>
      <c r="H238" t="s">
        <v>22</v>
      </c>
      <c r="I238" t="s">
        <v>43</v>
      </c>
      <c r="J238">
        <v>598.79999999999995</v>
      </c>
      <c r="K238">
        <v>3123.3</v>
      </c>
      <c r="L238">
        <v>10015000</v>
      </c>
      <c r="M238" t="b">
        <v>0</v>
      </c>
      <c r="N238" t="b">
        <v>0</v>
      </c>
      <c r="O238">
        <v>5000</v>
      </c>
      <c r="P238" t="b">
        <v>0</v>
      </c>
      <c r="Q238" t="b">
        <v>0</v>
      </c>
      <c r="R238" t="b">
        <v>0</v>
      </c>
      <c r="S238" t="s">
        <v>96</v>
      </c>
      <c r="T238" t="s">
        <v>1655</v>
      </c>
      <c r="U238">
        <v>62.466000000000001</v>
      </c>
      <c r="V238">
        <v>0</v>
      </c>
      <c r="W238">
        <v>0</v>
      </c>
      <c r="X238">
        <v>3</v>
      </c>
      <c r="Y238" s="6">
        <v>46023</v>
      </c>
    </row>
    <row r="239" spans="1:26" x14ac:dyDescent="0.3">
      <c r="A239" t="s">
        <v>344</v>
      </c>
      <c r="B239" s="5">
        <v>46085</v>
      </c>
      <c r="C239" s="5">
        <v>46087</v>
      </c>
      <c r="D239" s="5">
        <v>46088</v>
      </c>
      <c r="E239" s="5">
        <v>46088</v>
      </c>
      <c r="F239" t="s">
        <v>34</v>
      </c>
      <c r="G239" t="s">
        <v>61</v>
      </c>
      <c r="H239" t="s">
        <v>22</v>
      </c>
      <c r="I239" t="s">
        <v>44</v>
      </c>
      <c r="J239">
        <v>16.7</v>
      </c>
      <c r="K239">
        <v>1346.6</v>
      </c>
      <c r="L239">
        <v>1445000</v>
      </c>
      <c r="M239" t="b">
        <v>0</v>
      </c>
      <c r="N239" t="b">
        <v>0</v>
      </c>
      <c r="O239">
        <v>1500</v>
      </c>
      <c r="P239" t="b">
        <v>0</v>
      </c>
      <c r="Q239" t="b">
        <v>0</v>
      </c>
      <c r="R239" t="b">
        <v>0</v>
      </c>
      <c r="S239" t="s">
        <v>96</v>
      </c>
      <c r="T239" t="s">
        <v>1638</v>
      </c>
      <c r="U239">
        <v>89.773333333333326</v>
      </c>
      <c r="V239">
        <v>0</v>
      </c>
      <c r="W239">
        <v>0</v>
      </c>
      <c r="X239">
        <v>1</v>
      </c>
      <c r="Y239" s="6">
        <v>46082</v>
      </c>
    </row>
    <row r="240" spans="1:26" x14ac:dyDescent="0.3">
      <c r="A240" t="s">
        <v>345</v>
      </c>
      <c r="B240" s="5">
        <v>46156</v>
      </c>
      <c r="C240" s="5">
        <v>46157</v>
      </c>
      <c r="D240" s="5">
        <v>46160</v>
      </c>
      <c r="E240" s="5">
        <v>46160</v>
      </c>
      <c r="F240" t="s">
        <v>34</v>
      </c>
      <c r="G240" t="s">
        <v>63</v>
      </c>
      <c r="H240" t="s">
        <v>21</v>
      </c>
      <c r="I240" t="s">
        <v>43</v>
      </c>
      <c r="J240">
        <v>347.1</v>
      </c>
      <c r="K240">
        <v>3458</v>
      </c>
      <c r="L240">
        <v>5894000</v>
      </c>
      <c r="M240" t="b">
        <v>0</v>
      </c>
      <c r="N240" t="b">
        <v>0</v>
      </c>
      <c r="O240">
        <v>5000</v>
      </c>
      <c r="P240" t="b">
        <v>0</v>
      </c>
      <c r="Q240" t="b">
        <v>0</v>
      </c>
      <c r="R240" t="b">
        <v>0</v>
      </c>
      <c r="S240" t="s">
        <v>96</v>
      </c>
      <c r="T240" t="s">
        <v>1613</v>
      </c>
      <c r="U240">
        <v>69.16</v>
      </c>
      <c r="V240">
        <v>0</v>
      </c>
      <c r="W240">
        <v>0</v>
      </c>
      <c r="X240">
        <v>3</v>
      </c>
      <c r="Y240" s="6">
        <v>46143</v>
      </c>
    </row>
    <row r="241" spans="1:26" x14ac:dyDescent="0.3">
      <c r="A241" t="s">
        <v>346</v>
      </c>
      <c r="B241" s="5">
        <v>46101</v>
      </c>
      <c r="C241" s="5">
        <v>46103</v>
      </c>
      <c r="D241" s="5">
        <v>46107</v>
      </c>
      <c r="E241" s="5">
        <v>46107</v>
      </c>
      <c r="F241" t="s">
        <v>34</v>
      </c>
      <c r="G241" t="s">
        <v>60</v>
      </c>
      <c r="H241" t="s">
        <v>21</v>
      </c>
      <c r="I241" t="s">
        <v>45</v>
      </c>
      <c r="J241">
        <v>624.9</v>
      </c>
      <c r="K241">
        <v>536.1</v>
      </c>
      <c r="L241">
        <v>6039000</v>
      </c>
      <c r="M241" t="b">
        <v>0</v>
      </c>
      <c r="N241" t="b">
        <v>0</v>
      </c>
      <c r="O241">
        <v>1000</v>
      </c>
      <c r="P241" t="b">
        <v>0</v>
      </c>
      <c r="Q241" t="b">
        <v>0</v>
      </c>
      <c r="R241" t="b">
        <v>0</v>
      </c>
      <c r="S241" t="s">
        <v>96</v>
      </c>
      <c r="T241" t="s">
        <v>1644</v>
      </c>
      <c r="U241">
        <v>53.61</v>
      </c>
      <c r="V241">
        <v>0</v>
      </c>
      <c r="W241">
        <v>0</v>
      </c>
      <c r="X241">
        <v>4</v>
      </c>
      <c r="Y241" s="6">
        <v>46082</v>
      </c>
    </row>
    <row r="242" spans="1:26" x14ac:dyDescent="0.3">
      <c r="A242" t="s">
        <v>347</v>
      </c>
      <c r="B242" s="5">
        <v>46139</v>
      </c>
      <c r="C242" s="5">
        <v>46140</v>
      </c>
      <c r="D242" s="5">
        <v>46143</v>
      </c>
      <c r="E242" s="5">
        <v>46143</v>
      </c>
      <c r="F242" t="s">
        <v>34</v>
      </c>
      <c r="G242" t="s">
        <v>53</v>
      </c>
      <c r="H242" t="s">
        <v>20</v>
      </c>
      <c r="I242" t="s">
        <v>43</v>
      </c>
      <c r="J242">
        <v>323.2</v>
      </c>
      <c r="K242">
        <v>1721.8</v>
      </c>
      <c r="L242">
        <v>5364000</v>
      </c>
      <c r="M242" t="b">
        <v>0</v>
      </c>
      <c r="N242" t="b">
        <v>0</v>
      </c>
      <c r="O242">
        <v>5000</v>
      </c>
      <c r="P242" t="b">
        <v>0</v>
      </c>
      <c r="Q242" t="b">
        <v>0</v>
      </c>
      <c r="R242" t="b">
        <v>0</v>
      </c>
      <c r="S242" t="s">
        <v>96</v>
      </c>
      <c r="T242" t="s">
        <v>1636</v>
      </c>
      <c r="U242">
        <v>34.436</v>
      </c>
      <c r="V242">
        <v>0</v>
      </c>
      <c r="W242">
        <v>0</v>
      </c>
      <c r="X242">
        <v>3</v>
      </c>
      <c r="Y242" s="6">
        <v>46113</v>
      </c>
    </row>
    <row r="243" spans="1:26" x14ac:dyDescent="0.3">
      <c r="A243" t="s">
        <v>348</v>
      </c>
      <c r="B243" s="5">
        <v>46025</v>
      </c>
      <c r="C243" s="5">
        <v>46026</v>
      </c>
      <c r="D243" s="5">
        <v>46030</v>
      </c>
      <c r="E243" s="5"/>
      <c r="F243" t="s">
        <v>32</v>
      </c>
      <c r="G243" t="s">
        <v>54</v>
      </c>
      <c r="H243" t="s">
        <v>21</v>
      </c>
      <c r="I243" t="s">
        <v>45</v>
      </c>
      <c r="J243">
        <v>581.5</v>
      </c>
      <c r="K243">
        <v>782.7</v>
      </c>
      <c r="L243">
        <v>5902000</v>
      </c>
      <c r="M243" t="b">
        <v>0</v>
      </c>
      <c r="N243" t="b">
        <v>0</v>
      </c>
      <c r="O243">
        <v>1000</v>
      </c>
      <c r="P243" t="b">
        <v>0</v>
      </c>
      <c r="Q243" t="b">
        <v>0</v>
      </c>
      <c r="R243" t="b">
        <v>0</v>
      </c>
      <c r="S243" t="s">
        <v>203</v>
      </c>
      <c r="T243" t="s">
        <v>1655</v>
      </c>
      <c r="U243">
        <v>78.27000000000001</v>
      </c>
      <c r="V243">
        <v>0</v>
      </c>
      <c r="W243">
        <v>0</v>
      </c>
      <c r="Y243" s="6">
        <v>46023</v>
      </c>
    </row>
    <row r="244" spans="1:26" x14ac:dyDescent="0.3">
      <c r="A244" t="s">
        <v>349</v>
      </c>
      <c r="B244" s="5">
        <v>46048</v>
      </c>
      <c r="C244" s="5">
        <v>46049</v>
      </c>
      <c r="D244" s="5">
        <v>46053</v>
      </c>
      <c r="E244" s="5">
        <v>46053</v>
      </c>
      <c r="F244" t="s">
        <v>33</v>
      </c>
      <c r="G244" t="s">
        <v>56</v>
      </c>
      <c r="H244" t="s">
        <v>21</v>
      </c>
      <c r="I244" t="s">
        <v>44</v>
      </c>
      <c r="J244">
        <v>1560.7</v>
      </c>
      <c r="K244">
        <v>1054.0999999999999</v>
      </c>
      <c r="L244">
        <v>16783000</v>
      </c>
      <c r="M244" t="b">
        <v>0</v>
      </c>
      <c r="N244" t="b">
        <v>0</v>
      </c>
      <c r="O244">
        <v>1500</v>
      </c>
      <c r="P244" t="b">
        <v>0</v>
      </c>
      <c r="Q244" t="b">
        <v>0</v>
      </c>
      <c r="R244" t="b">
        <v>0</v>
      </c>
      <c r="S244" t="s">
        <v>96</v>
      </c>
      <c r="T244" t="s">
        <v>1654</v>
      </c>
      <c r="U244">
        <v>70.273333333333326</v>
      </c>
      <c r="V244">
        <v>0</v>
      </c>
      <c r="W244">
        <v>0</v>
      </c>
      <c r="X244">
        <v>4</v>
      </c>
      <c r="Y244" s="6">
        <v>46023</v>
      </c>
    </row>
    <row r="245" spans="1:26" x14ac:dyDescent="0.3">
      <c r="A245" t="s">
        <v>350</v>
      </c>
      <c r="B245" s="5">
        <v>46051</v>
      </c>
      <c r="C245" s="5">
        <v>46052</v>
      </c>
      <c r="D245" s="5">
        <v>46055</v>
      </c>
      <c r="E245" s="5">
        <v>46055</v>
      </c>
      <c r="F245" t="s">
        <v>32</v>
      </c>
      <c r="G245" t="s">
        <v>54</v>
      </c>
      <c r="H245" t="s">
        <v>22</v>
      </c>
      <c r="I245" t="s">
        <v>43</v>
      </c>
      <c r="J245">
        <v>572.6</v>
      </c>
      <c r="K245">
        <v>2358.1</v>
      </c>
      <c r="L245">
        <v>9002000</v>
      </c>
      <c r="M245" t="b">
        <v>0</v>
      </c>
      <c r="N245" t="b">
        <v>0</v>
      </c>
      <c r="O245">
        <v>5000</v>
      </c>
      <c r="P245" t="b">
        <v>0</v>
      </c>
      <c r="Q245" t="b">
        <v>0</v>
      </c>
      <c r="R245" t="b">
        <v>0</v>
      </c>
      <c r="S245" t="s">
        <v>96</v>
      </c>
      <c r="T245" t="s">
        <v>1655</v>
      </c>
      <c r="U245">
        <v>47.161999999999999</v>
      </c>
      <c r="V245">
        <v>0</v>
      </c>
      <c r="W245">
        <v>0</v>
      </c>
      <c r="X245">
        <v>3</v>
      </c>
      <c r="Y245" s="6">
        <v>46023</v>
      </c>
    </row>
    <row r="246" spans="1:26" x14ac:dyDescent="0.3">
      <c r="A246" t="s">
        <v>351</v>
      </c>
      <c r="B246" s="5">
        <v>46188</v>
      </c>
      <c r="C246" s="5">
        <v>46189</v>
      </c>
      <c r="D246" s="5">
        <v>46192</v>
      </c>
      <c r="E246" s="5">
        <v>46193</v>
      </c>
      <c r="F246" t="s">
        <v>32</v>
      </c>
      <c r="G246" t="s">
        <v>60</v>
      </c>
      <c r="H246" t="s">
        <v>23</v>
      </c>
      <c r="I246" t="s">
        <v>43</v>
      </c>
      <c r="J246">
        <v>458</v>
      </c>
      <c r="K246">
        <v>4495</v>
      </c>
      <c r="L246">
        <v>7635000</v>
      </c>
      <c r="M246" t="b">
        <v>0</v>
      </c>
      <c r="N246" t="b">
        <v>0</v>
      </c>
      <c r="O246">
        <v>5000</v>
      </c>
      <c r="P246" t="b">
        <v>0</v>
      </c>
      <c r="Q246" t="b">
        <v>0</v>
      </c>
      <c r="R246" t="b">
        <v>0</v>
      </c>
      <c r="S246" t="s">
        <v>101</v>
      </c>
      <c r="T246" t="s">
        <v>1647</v>
      </c>
      <c r="U246">
        <v>89.9</v>
      </c>
      <c r="V246">
        <v>0</v>
      </c>
      <c r="W246">
        <v>0</v>
      </c>
      <c r="X246">
        <v>4</v>
      </c>
      <c r="Y246" s="6">
        <v>46174</v>
      </c>
      <c r="Z246">
        <v>1</v>
      </c>
    </row>
    <row r="247" spans="1:26" x14ac:dyDescent="0.3">
      <c r="A247" t="s">
        <v>352</v>
      </c>
      <c r="B247" s="5">
        <v>46177</v>
      </c>
      <c r="C247" s="5">
        <v>46177</v>
      </c>
      <c r="D247" s="5">
        <v>46181</v>
      </c>
      <c r="E247" s="5">
        <v>46181</v>
      </c>
      <c r="F247" t="s">
        <v>34</v>
      </c>
      <c r="G247" t="s">
        <v>60</v>
      </c>
      <c r="H247" t="s">
        <v>24</v>
      </c>
      <c r="I247" t="s">
        <v>45</v>
      </c>
      <c r="J247">
        <v>633</v>
      </c>
      <c r="K247">
        <v>80.400000000000006</v>
      </c>
      <c r="L247">
        <v>5530000</v>
      </c>
      <c r="M247" t="b">
        <v>0</v>
      </c>
      <c r="N247" t="b">
        <v>0</v>
      </c>
      <c r="O247">
        <v>1000</v>
      </c>
      <c r="P247" t="b">
        <v>0</v>
      </c>
      <c r="Q247" t="b">
        <v>0</v>
      </c>
      <c r="R247" t="b">
        <v>0</v>
      </c>
      <c r="S247" t="s">
        <v>96</v>
      </c>
      <c r="T247" t="s">
        <v>1644</v>
      </c>
      <c r="U247">
        <v>8.0399999999999991</v>
      </c>
      <c r="V247">
        <v>0</v>
      </c>
      <c r="W247">
        <v>0</v>
      </c>
      <c r="X247">
        <v>4</v>
      </c>
      <c r="Y247" s="6">
        <v>46174</v>
      </c>
    </row>
    <row r="248" spans="1:26" x14ac:dyDescent="0.3">
      <c r="A248" t="s">
        <v>353</v>
      </c>
      <c r="B248" s="5">
        <v>46093</v>
      </c>
      <c r="C248" s="5">
        <v>46094</v>
      </c>
      <c r="D248" s="5">
        <v>46096</v>
      </c>
      <c r="E248" s="5">
        <v>46096</v>
      </c>
      <c r="F248" t="s">
        <v>34</v>
      </c>
      <c r="G248" t="s">
        <v>53</v>
      </c>
      <c r="H248" t="s">
        <v>21</v>
      </c>
      <c r="I248" t="s">
        <v>44</v>
      </c>
      <c r="J248">
        <v>290.89999999999998</v>
      </c>
      <c r="K248">
        <v>362.4</v>
      </c>
      <c r="L248">
        <v>3479000</v>
      </c>
      <c r="M248" t="b">
        <v>0</v>
      </c>
      <c r="N248" t="b">
        <v>0</v>
      </c>
      <c r="O248">
        <v>1500</v>
      </c>
      <c r="P248" t="b">
        <v>0</v>
      </c>
      <c r="Q248" t="b">
        <v>0</v>
      </c>
      <c r="R248" t="b">
        <v>0</v>
      </c>
      <c r="S248" t="s">
        <v>96</v>
      </c>
      <c r="T248" t="s">
        <v>1636</v>
      </c>
      <c r="U248">
        <v>24.16</v>
      </c>
      <c r="V248">
        <v>0</v>
      </c>
      <c r="W248">
        <v>0</v>
      </c>
      <c r="X248">
        <v>2</v>
      </c>
      <c r="Y248" s="6">
        <v>46082</v>
      </c>
    </row>
    <row r="249" spans="1:26" x14ac:dyDescent="0.3">
      <c r="A249" t="s">
        <v>354</v>
      </c>
      <c r="B249" s="5">
        <v>46069</v>
      </c>
      <c r="C249" s="5">
        <v>46070</v>
      </c>
      <c r="D249" s="5">
        <v>46074</v>
      </c>
      <c r="E249" s="5">
        <v>46074</v>
      </c>
      <c r="F249" t="s">
        <v>31</v>
      </c>
      <c r="G249" t="s">
        <v>62</v>
      </c>
      <c r="H249" t="s">
        <v>23</v>
      </c>
      <c r="I249" t="s">
        <v>43</v>
      </c>
      <c r="J249">
        <v>728.6</v>
      </c>
      <c r="K249">
        <v>4202.8</v>
      </c>
      <c r="L249">
        <v>11984000</v>
      </c>
      <c r="M249" t="b">
        <v>0</v>
      </c>
      <c r="N249" t="b">
        <v>0</v>
      </c>
      <c r="O249">
        <v>5000</v>
      </c>
      <c r="P249" t="b">
        <v>0</v>
      </c>
      <c r="Q249" t="b">
        <v>0</v>
      </c>
      <c r="R249" t="b">
        <v>0</v>
      </c>
      <c r="S249" t="s">
        <v>96</v>
      </c>
      <c r="T249" t="s">
        <v>1615</v>
      </c>
      <c r="U249">
        <v>84.056000000000012</v>
      </c>
      <c r="V249">
        <v>0</v>
      </c>
      <c r="W249">
        <v>0</v>
      </c>
      <c r="X249">
        <v>4</v>
      </c>
      <c r="Y249" s="6">
        <v>46054</v>
      </c>
    </row>
    <row r="250" spans="1:26" x14ac:dyDescent="0.3">
      <c r="A250" t="s">
        <v>355</v>
      </c>
      <c r="B250" s="5">
        <v>46089</v>
      </c>
      <c r="C250" s="5">
        <v>46090</v>
      </c>
      <c r="D250" s="5">
        <v>46092</v>
      </c>
      <c r="E250" s="5">
        <v>46091</v>
      </c>
      <c r="F250" t="s">
        <v>31</v>
      </c>
      <c r="G250" t="s">
        <v>57</v>
      </c>
      <c r="H250" t="s">
        <v>23</v>
      </c>
      <c r="I250" t="s">
        <v>43</v>
      </c>
      <c r="J250">
        <v>136.30000000000001</v>
      </c>
      <c r="K250">
        <v>3518.9</v>
      </c>
      <c r="L250">
        <v>3500000</v>
      </c>
      <c r="M250" t="b">
        <v>0</v>
      </c>
      <c r="N250" t="b">
        <v>0</v>
      </c>
      <c r="O250">
        <v>5000</v>
      </c>
      <c r="P250" t="b">
        <v>0</v>
      </c>
      <c r="Q250" t="b">
        <v>0</v>
      </c>
      <c r="R250" t="b">
        <v>0</v>
      </c>
      <c r="S250" t="s">
        <v>96</v>
      </c>
      <c r="T250" t="s">
        <v>1617</v>
      </c>
      <c r="U250">
        <v>70.378000000000014</v>
      </c>
      <c r="V250">
        <v>0</v>
      </c>
      <c r="W250">
        <v>0</v>
      </c>
      <c r="X250">
        <v>1</v>
      </c>
      <c r="Y250" s="6">
        <v>46082</v>
      </c>
    </row>
    <row r="251" spans="1:26" x14ac:dyDescent="0.3">
      <c r="A251" t="s">
        <v>356</v>
      </c>
      <c r="B251" s="5">
        <v>46073</v>
      </c>
      <c r="C251" s="5">
        <v>46074</v>
      </c>
      <c r="D251" s="5">
        <v>46075</v>
      </c>
      <c r="E251" s="5">
        <v>46075</v>
      </c>
      <c r="F251" t="s">
        <v>34</v>
      </c>
      <c r="G251" t="s">
        <v>61</v>
      </c>
      <c r="H251" t="s">
        <v>20</v>
      </c>
      <c r="I251" t="s">
        <v>44</v>
      </c>
      <c r="J251">
        <v>25.3</v>
      </c>
      <c r="K251">
        <v>597.1</v>
      </c>
      <c r="L251">
        <v>1090000</v>
      </c>
      <c r="M251" t="b">
        <v>0</v>
      </c>
      <c r="N251" t="b">
        <v>0</v>
      </c>
      <c r="O251">
        <v>1500</v>
      </c>
      <c r="P251" t="b">
        <v>0</v>
      </c>
      <c r="Q251" t="b">
        <v>0</v>
      </c>
      <c r="R251" t="b">
        <v>0</v>
      </c>
      <c r="S251" t="s">
        <v>96</v>
      </c>
      <c r="T251" t="s">
        <v>1638</v>
      </c>
      <c r="U251">
        <v>39.806666666666658</v>
      </c>
      <c r="V251">
        <v>0</v>
      </c>
      <c r="W251">
        <v>0</v>
      </c>
      <c r="X251">
        <v>1</v>
      </c>
      <c r="Y251" s="6">
        <v>46054</v>
      </c>
    </row>
    <row r="252" spans="1:26" x14ac:dyDescent="0.3">
      <c r="A252" t="s">
        <v>357</v>
      </c>
      <c r="B252" s="5">
        <v>46076</v>
      </c>
      <c r="C252" s="5">
        <v>46077</v>
      </c>
      <c r="D252" s="5">
        <v>46081</v>
      </c>
      <c r="E252" s="5">
        <v>46081</v>
      </c>
      <c r="F252" t="s">
        <v>31</v>
      </c>
      <c r="G252" t="s">
        <v>60</v>
      </c>
      <c r="H252" t="s">
        <v>23</v>
      </c>
      <c r="I252" t="s">
        <v>42</v>
      </c>
      <c r="J252">
        <v>605.5</v>
      </c>
      <c r="K252">
        <v>10232.5</v>
      </c>
      <c r="L252">
        <v>12851000</v>
      </c>
      <c r="M252" t="b">
        <v>0</v>
      </c>
      <c r="N252" t="b">
        <v>0</v>
      </c>
      <c r="O252">
        <v>16000</v>
      </c>
      <c r="P252" t="b">
        <v>0</v>
      </c>
      <c r="Q252" t="b">
        <v>0</v>
      </c>
      <c r="R252" t="b">
        <v>0</v>
      </c>
      <c r="S252" t="s">
        <v>96</v>
      </c>
      <c r="T252" t="s">
        <v>1652</v>
      </c>
      <c r="U252">
        <v>63.953125</v>
      </c>
      <c r="V252">
        <v>0</v>
      </c>
      <c r="W252">
        <v>0</v>
      </c>
      <c r="X252">
        <v>4</v>
      </c>
      <c r="Y252" s="6">
        <v>46054</v>
      </c>
    </row>
    <row r="253" spans="1:26" x14ac:dyDescent="0.3">
      <c r="A253" t="s">
        <v>358</v>
      </c>
      <c r="B253" s="5">
        <v>46047</v>
      </c>
      <c r="C253" s="5">
        <v>46048</v>
      </c>
      <c r="D253" s="5">
        <v>46050</v>
      </c>
      <c r="E253" s="5">
        <v>46050</v>
      </c>
      <c r="F253" t="s">
        <v>32</v>
      </c>
      <c r="G253" t="s">
        <v>57</v>
      </c>
      <c r="H253" t="s">
        <v>23</v>
      </c>
      <c r="I253" t="s">
        <v>44</v>
      </c>
      <c r="J253">
        <v>16.899999999999999</v>
      </c>
      <c r="K253">
        <v>424.1</v>
      </c>
      <c r="L253">
        <v>738000</v>
      </c>
      <c r="M253" t="b">
        <v>0</v>
      </c>
      <c r="N253" t="b">
        <v>0</v>
      </c>
      <c r="O253">
        <v>1500</v>
      </c>
      <c r="P253" t="b">
        <v>0</v>
      </c>
      <c r="Q253" t="b">
        <v>0</v>
      </c>
      <c r="R253" t="b">
        <v>0</v>
      </c>
      <c r="S253" t="s">
        <v>96</v>
      </c>
      <c r="T253" t="s">
        <v>1630</v>
      </c>
      <c r="U253">
        <v>28.27333333333333</v>
      </c>
      <c r="V253">
        <v>0</v>
      </c>
      <c r="W253">
        <v>0</v>
      </c>
      <c r="X253">
        <v>2</v>
      </c>
      <c r="Y253" s="6">
        <v>46023</v>
      </c>
    </row>
    <row r="254" spans="1:26" x14ac:dyDescent="0.3">
      <c r="A254" t="s">
        <v>359</v>
      </c>
      <c r="B254" s="5">
        <v>46084</v>
      </c>
      <c r="C254" s="5">
        <v>46086</v>
      </c>
      <c r="D254" s="5">
        <v>46090</v>
      </c>
      <c r="E254" s="5">
        <v>46091</v>
      </c>
      <c r="F254" t="s">
        <v>34</v>
      </c>
      <c r="G254" t="s">
        <v>54</v>
      </c>
      <c r="H254" t="s">
        <v>24</v>
      </c>
      <c r="I254" t="s">
        <v>42</v>
      </c>
      <c r="J254">
        <v>482.5</v>
      </c>
      <c r="K254">
        <v>7060.9</v>
      </c>
      <c r="L254">
        <v>11056000</v>
      </c>
      <c r="M254" t="b">
        <v>0</v>
      </c>
      <c r="N254" t="b">
        <v>0</v>
      </c>
      <c r="O254">
        <v>16000</v>
      </c>
      <c r="P254" t="b">
        <v>0</v>
      </c>
      <c r="Q254" t="b">
        <v>0</v>
      </c>
      <c r="R254" t="b">
        <v>0</v>
      </c>
      <c r="S254" t="s">
        <v>101</v>
      </c>
      <c r="T254" t="s">
        <v>1635</v>
      </c>
      <c r="U254">
        <v>44.130624999999988</v>
      </c>
      <c r="V254">
        <v>0</v>
      </c>
      <c r="W254">
        <v>0</v>
      </c>
      <c r="X254">
        <v>5</v>
      </c>
      <c r="Y254" s="6">
        <v>46082</v>
      </c>
      <c r="Z254">
        <v>1</v>
      </c>
    </row>
    <row r="255" spans="1:26" x14ac:dyDescent="0.3">
      <c r="A255" t="s">
        <v>360</v>
      </c>
      <c r="B255" s="5">
        <v>46098</v>
      </c>
      <c r="C255" s="5">
        <v>46099</v>
      </c>
      <c r="D255" s="5">
        <v>46102</v>
      </c>
      <c r="E255" s="5">
        <v>46102</v>
      </c>
      <c r="F255" t="s">
        <v>31</v>
      </c>
      <c r="G255" t="s">
        <v>54</v>
      </c>
      <c r="H255" t="s">
        <v>22</v>
      </c>
      <c r="I255" t="s">
        <v>43</v>
      </c>
      <c r="J255">
        <v>449.1</v>
      </c>
      <c r="K255">
        <v>2799</v>
      </c>
      <c r="L255">
        <v>7177000</v>
      </c>
      <c r="M255" t="b">
        <v>0</v>
      </c>
      <c r="N255" t="b">
        <v>0</v>
      </c>
      <c r="O255">
        <v>5000</v>
      </c>
      <c r="P255" t="b">
        <v>0</v>
      </c>
      <c r="Q255" t="b">
        <v>0</v>
      </c>
      <c r="R255" t="b">
        <v>0</v>
      </c>
      <c r="S255" t="s">
        <v>96</v>
      </c>
      <c r="T255" t="s">
        <v>1631</v>
      </c>
      <c r="U255">
        <v>55.98</v>
      </c>
      <c r="V255">
        <v>0</v>
      </c>
      <c r="W255">
        <v>0</v>
      </c>
      <c r="X255">
        <v>3</v>
      </c>
      <c r="Y255" s="6">
        <v>46082</v>
      </c>
    </row>
    <row r="256" spans="1:26" x14ac:dyDescent="0.3">
      <c r="A256" t="s">
        <v>361</v>
      </c>
      <c r="B256" s="5">
        <v>46040</v>
      </c>
      <c r="C256" s="5">
        <v>46041</v>
      </c>
      <c r="D256" s="5">
        <v>46043</v>
      </c>
      <c r="E256" s="5">
        <v>46043</v>
      </c>
      <c r="F256" t="s">
        <v>31</v>
      </c>
      <c r="G256" t="s">
        <v>57</v>
      </c>
      <c r="H256" t="s">
        <v>22</v>
      </c>
      <c r="I256" t="s">
        <v>45</v>
      </c>
      <c r="J256">
        <v>132.9</v>
      </c>
      <c r="K256">
        <v>396.4</v>
      </c>
      <c r="L256">
        <v>1738000</v>
      </c>
      <c r="M256" t="b">
        <v>0</v>
      </c>
      <c r="N256" t="b">
        <v>0</v>
      </c>
      <c r="O256">
        <v>1000</v>
      </c>
      <c r="P256" t="b">
        <v>0</v>
      </c>
      <c r="Q256" t="b">
        <v>0</v>
      </c>
      <c r="R256" t="b">
        <v>0</v>
      </c>
      <c r="S256" t="s">
        <v>96</v>
      </c>
      <c r="T256" t="s">
        <v>1617</v>
      </c>
      <c r="U256">
        <v>39.64</v>
      </c>
      <c r="V256">
        <v>0</v>
      </c>
      <c r="W256">
        <v>0</v>
      </c>
      <c r="X256">
        <v>2</v>
      </c>
      <c r="Y256" s="6">
        <v>46023</v>
      </c>
    </row>
    <row r="257" spans="1:26" x14ac:dyDescent="0.3">
      <c r="A257" t="s">
        <v>362</v>
      </c>
      <c r="B257" s="5">
        <v>46142</v>
      </c>
      <c r="C257" s="5">
        <v>46143</v>
      </c>
      <c r="D257" s="5">
        <v>46146</v>
      </c>
      <c r="E257" s="5">
        <v>46149</v>
      </c>
      <c r="F257" t="s">
        <v>34</v>
      </c>
      <c r="G257" t="s">
        <v>52</v>
      </c>
      <c r="H257" t="s">
        <v>24</v>
      </c>
      <c r="I257" t="s">
        <v>42</v>
      </c>
      <c r="J257">
        <v>271.8</v>
      </c>
      <c r="K257">
        <v>4527.3</v>
      </c>
      <c r="L257">
        <v>8282000</v>
      </c>
      <c r="M257" t="b">
        <v>0</v>
      </c>
      <c r="N257" t="b">
        <v>0</v>
      </c>
      <c r="O257">
        <v>16000</v>
      </c>
      <c r="P257" t="b">
        <v>0</v>
      </c>
      <c r="Q257" t="b">
        <v>0</v>
      </c>
      <c r="R257" t="b">
        <v>0</v>
      </c>
      <c r="S257" t="s">
        <v>101</v>
      </c>
      <c r="T257" t="s">
        <v>1623</v>
      </c>
      <c r="U257">
        <v>28.295625000000001</v>
      </c>
      <c r="V257">
        <v>0</v>
      </c>
      <c r="W257">
        <v>0</v>
      </c>
      <c r="X257">
        <v>6</v>
      </c>
      <c r="Y257" s="6">
        <v>46143</v>
      </c>
      <c r="Z257">
        <v>3</v>
      </c>
    </row>
    <row r="258" spans="1:26" x14ac:dyDescent="0.3">
      <c r="A258" t="s">
        <v>363</v>
      </c>
      <c r="B258" s="5">
        <v>46174</v>
      </c>
      <c r="C258" s="5">
        <v>46176</v>
      </c>
      <c r="D258" s="5">
        <v>46179</v>
      </c>
      <c r="E258" s="5">
        <v>46179</v>
      </c>
      <c r="F258" t="s">
        <v>33</v>
      </c>
      <c r="G258" t="s">
        <v>53</v>
      </c>
      <c r="H258" t="s">
        <v>24</v>
      </c>
      <c r="I258" t="s">
        <v>44</v>
      </c>
      <c r="J258">
        <v>563.70000000000005</v>
      </c>
      <c r="K258">
        <v>499.3</v>
      </c>
      <c r="L258">
        <v>5849000</v>
      </c>
      <c r="M258" t="b">
        <v>0</v>
      </c>
      <c r="N258" t="b">
        <v>0</v>
      </c>
      <c r="O258">
        <v>1500</v>
      </c>
      <c r="P258" t="b">
        <v>0</v>
      </c>
      <c r="Q258" t="b">
        <v>0</v>
      </c>
      <c r="R258" t="b">
        <v>0</v>
      </c>
      <c r="S258" t="s">
        <v>96</v>
      </c>
      <c r="T258" t="s">
        <v>1632</v>
      </c>
      <c r="U258">
        <v>33.286666666666669</v>
      </c>
      <c r="V258">
        <v>0</v>
      </c>
      <c r="W258">
        <v>0</v>
      </c>
      <c r="X258">
        <v>3</v>
      </c>
      <c r="Y258" s="6">
        <v>46174</v>
      </c>
    </row>
    <row r="259" spans="1:26" x14ac:dyDescent="0.3">
      <c r="A259" t="s">
        <v>364</v>
      </c>
      <c r="B259" s="5">
        <v>46080</v>
      </c>
      <c r="C259" s="5">
        <v>46081</v>
      </c>
      <c r="D259" s="5">
        <v>46085</v>
      </c>
      <c r="E259" s="5">
        <v>46087</v>
      </c>
      <c r="F259" t="s">
        <v>34</v>
      </c>
      <c r="G259" t="s">
        <v>60</v>
      </c>
      <c r="H259" t="s">
        <v>24</v>
      </c>
      <c r="I259" t="s">
        <v>43</v>
      </c>
      <c r="J259">
        <v>677.6</v>
      </c>
      <c r="K259">
        <v>1197.9000000000001</v>
      </c>
      <c r="L259">
        <v>10842000</v>
      </c>
      <c r="M259" t="b">
        <v>0</v>
      </c>
      <c r="N259" t="b">
        <v>0</v>
      </c>
      <c r="O259">
        <v>5000</v>
      </c>
      <c r="P259" t="b">
        <v>0</v>
      </c>
      <c r="Q259" t="b">
        <v>0</v>
      </c>
      <c r="R259" t="b">
        <v>0</v>
      </c>
      <c r="S259" t="s">
        <v>101</v>
      </c>
      <c r="T259" t="s">
        <v>1644</v>
      </c>
      <c r="U259">
        <v>23.957999999999998</v>
      </c>
      <c r="V259">
        <v>0</v>
      </c>
      <c r="W259">
        <v>0</v>
      </c>
      <c r="X259">
        <v>6</v>
      </c>
      <c r="Y259" s="6">
        <v>46054</v>
      </c>
      <c r="Z259">
        <v>2</v>
      </c>
    </row>
    <row r="260" spans="1:26" x14ac:dyDescent="0.3">
      <c r="A260" t="s">
        <v>365</v>
      </c>
      <c r="B260" s="5">
        <v>46042</v>
      </c>
      <c r="C260" s="5">
        <v>46044</v>
      </c>
      <c r="D260" s="5">
        <v>46046</v>
      </c>
      <c r="E260" s="5">
        <v>46046</v>
      </c>
      <c r="F260" t="s">
        <v>31</v>
      </c>
      <c r="G260" t="s">
        <v>58</v>
      </c>
      <c r="H260" t="s">
        <v>20</v>
      </c>
      <c r="I260" t="s">
        <v>45</v>
      </c>
      <c r="J260">
        <v>189.1</v>
      </c>
      <c r="K260">
        <v>212.6</v>
      </c>
      <c r="L260">
        <v>2141000</v>
      </c>
      <c r="M260" t="b">
        <v>0</v>
      </c>
      <c r="N260" t="b">
        <v>0</v>
      </c>
      <c r="O260">
        <v>1000</v>
      </c>
      <c r="P260" t="b">
        <v>0</v>
      </c>
      <c r="Q260" t="b">
        <v>0</v>
      </c>
      <c r="R260" t="b">
        <v>0</v>
      </c>
      <c r="S260" t="s">
        <v>96</v>
      </c>
      <c r="T260" t="s">
        <v>1621</v>
      </c>
      <c r="U260">
        <v>21.26</v>
      </c>
      <c r="V260">
        <v>0</v>
      </c>
      <c r="W260">
        <v>0</v>
      </c>
      <c r="X260">
        <v>2</v>
      </c>
      <c r="Y260" s="6">
        <v>46023</v>
      </c>
    </row>
    <row r="261" spans="1:26" x14ac:dyDescent="0.3">
      <c r="A261" t="s">
        <v>366</v>
      </c>
      <c r="B261" s="5">
        <v>46119</v>
      </c>
      <c r="C261" s="5">
        <v>46120</v>
      </c>
      <c r="D261" s="5">
        <v>46124</v>
      </c>
      <c r="E261" s="5">
        <v>46127</v>
      </c>
      <c r="F261" t="s">
        <v>33</v>
      </c>
      <c r="G261" t="s">
        <v>55</v>
      </c>
      <c r="H261" t="s">
        <v>22</v>
      </c>
      <c r="I261" t="s">
        <v>44</v>
      </c>
      <c r="J261">
        <v>649.5</v>
      </c>
      <c r="K261">
        <v>594.9</v>
      </c>
      <c r="L261">
        <v>5953000</v>
      </c>
      <c r="M261" t="b">
        <v>0</v>
      </c>
      <c r="N261" t="b">
        <v>0</v>
      </c>
      <c r="O261">
        <v>1500</v>
      </c>
      <c r="P261" t="b">
        <v>0</v>
      </c>
      <c r="Q261" t="b">
        <v>0</v>
      </c>
      <c r="R261" t="b">
        <v>0</v>
      </c>
      <c r="S261" t="s">
        <v>101</v>
      </c>
      <c r="T261" t="s">
        <v>1626</v>
      </c>
      <c r="U261">
        <v>39.659999999999997</v>
      </c>
      <c r="V261">
        <v>0</v>
      </c>
      <c r="W261">
        <v>0</v>
      </c>
      <c r="X261">
        <v>7</v>
      </c>
      <c r="Y261" s="6">
        <v>46113</v>
      </c>
      <c r="Z261">
        <v>3</v>
      </c>
    </row>
    <row r="262" spans="1:26" x14ac:dyDescent="0.3">
      <c r="A262" t="s">
        <v>367</v>
      </c>
      <c r="B262" s="5">
        <v>46143</v>
      </c>
      <c r="C262" s="5">
        <v>46144</v>
      </c>
      <c r="D262" s="5">
        <v>46146</v>
      </c>
      <c r="E262" s="5">
        <v>46147</v>
      </c>
      <c r="F262" t="s">
        <v>34</v>
      </c>
      <c r="G262" t="s">
        <v>53</v>
      </c>
      <c r="H262" t="s">
        <v>24</v>
      </c>
      <c r="I262" t="s">
        <v>42</v>
      </c>
      <c r="J262">
        <v>275.7</v>
      </c>
      <c r="K262">
        <v>2807</v>
      </c>
      <c r="L262">
        <v>6819000</v>
      </c>
      <c r="M262" t="b">
        <v>0</v>
      </c>
      <c r="N262" t="b">
        <v>0</v>
      </c>
      <c r="O262">
        <v>16000</v>
      </c>
      <c r="P262" t="b">
        <v>0</v>
      </c>
      <c r="Q262" t="b">
        <v>0</v>
      </c>
      <c r="R262" t="b">
        <v>0</v>
      </c>
      <c r="S262" t="s">
        <v>101</v>
      </c>
      <c r="T262" t="s">
        <v>1636</v>
      </c>
      <c r="U262">
        <v>17.543749999999999</v>
      </c>
      <c r="V262">
        <v>0</v>
      </c>
      <c r="W262">
        <v>0</v>
      </c>
      <c r="X262">
        <v>3</v>
      </c>
      <c r="Y262" s="6">
        <v>46143</v>
      </c>
      <c r="Z262">
        <v>1</v>
      </c>
    </row>
    <row r="263" spans="1:26" x14ac:dyDescent="0.3">
      <c r="A263" t="s">
        <v>368</v>
      </c>
      <c r="B263" s="5">
        <v>46127</v>
      </c>
      <c r="C263" s="5">
        <v>46128</v>
      </c>
      <c r="D263" s="5">
        <v>46132</v>
      </c>
      <c r="E263" s="5">
        <v>46132</v>
      </c>
      <c r="F263" t="s">
        <v>31</v>
      </c>
      <c r="G263" t="s">
        <v>59</v>
      </c>
      <c r="H263" t="s">
        <v>23</v>
      </c>
      <c r="I263" t="s">
        <v>43</v>
      </c>
      <c r="J263">
        <v>303.7</v>
      </c>
      <c r="K263">
        <v>3343.5</v>
      </c>
      <c r="L263">
        <v>5968000</v>
      </c>
      <c r="M263" t="b">
        <v>0</v>
      </c>
      <c r="N263" t="b">
        <v>0</v>
      </c>
      <c r="O263">
        <v>5000</v>
      </c>
      <c r="P263" t="b">
        <v>0</v>
      </c>
      <c r="Q263" t="b">
        <v>0</v>
      </c>
      <c r="R263" t="b">
        <v>0</v>
      </c>
      <c r="S263" t="s">
        <v>96</v>
      </c>
      <c r="T263" t="s">
        <v>1628</v>
      </c>
      <c r="U263">
        <v>66.86999999999999</v>
      </c>
      <c r="V263">
        <v>0</v>
      </c>
      <c r="W263">
        <v>0</v>
      </c>
      <c r="X263">
        <v>4</v>
      </c>
      <c r="Y263" s="6">
        <v>46113</v>
      </c>
    </row>
    <row r="264" spans="1:26" x14ac:dyDescent="0.3">
      <c r="A264" t="s">
        <v>369</v>
      </c>
      <c r="B264" s="5">
        <v>46175</v>
      </c>
      <c r="C264" s="5">
        <v>46176</v>
      </c>
      <c r="D264" s="5">
        <v>46179</v>
      </c>
      <c r="E264" s="5">
        <v>46180</v>
      </c>
      <c r="F264" t="s">
        <v>33</v>
      </c>
      <c r="G264" t="s">
        <v>63</v>
      </c>
      <c r="H264" t="s">
        <v>21</v>
      </c>
      <c r="I264" t="s">
        <v>45</v>
      </c>
      <c r="J264">
        <v>309.7</v>
      </c>
      <c r="K264">
        <v>334.9</v>
      </c>
      <c r="L264">
        <v>3181000</v>
      </c>
      <c r="M264" t="b">
        <v>0</v>
      </c>
      <c r="N264" t="b">
        <v>0</v>
      </c>
      <c r="O264">
        <v>1000</v>
      </c>
      <c r="P264" t="b">
        <v>0</v>
      </c>
      <c r="Q264" t="b">
        <v>0</v>
      </c>
      <c r="R264" t="b">
        <v>0</v>
      </c>
      <c r="S264" t="s">
        <v>101</v>
      </c>
      <c r="T264" t="s">
        <v>1625</v>
      </c>
      <c r="U264">
        <v>33.489999999999988</v>
      </c>
      <c r="V264">
        <v>0</v>
      </c>
      <c r="W264">
        <v>0</v>
      </c>
      <c r="X264">
        <v>4</v>
      </c>
      <c r="Y264" s="6">
        <v>46174</v>
      </c>
      <c r="Z264">
        <v>1</v>
      </c>
    </row>
    <row r="265" spans="1:26" x14ac:dyDescent="0.3">
      <c r="A265" t="s">
        <v>370</v>
      </c>
      <c r="B265" s="5">
        <v>46029</v>
      </c>
      <c r="C265" s="5">
        <v>46030</v>
      </c>
      <c r="D265" s="5">
        <v>46033</v>
      </c>
      <c r="E265" s="5">
        <v>46034</v>
      </c>
      <c r="F265" t="s">
        <v>33</v>
      </c>
      <c r="G265" t="s">
        <v>52</v>
      </c>
      <c r="H265" t="s">
        <v>24</v>
      </c>
      <c r="I265" t="s">
        <v>42</v>
      </c>
      <c r="J265">
        <v>502.4</v>
      </c>
      <c r="K265">
        <v>6845.7</v>
      </c>
      <c r="L265">
        <v>10848000</v>
      </c>
      <c r="M265" t="b">
        <v>0</v>
      </c>
      <c r="N265" t="b">
        <v>0</v>
      </c>
      <c r="O265">
        <v>16000</v>
      </c>
      <c r="P265" t="b">
        <v>0</v>
      </c>
      <c r="Q265" t="b">
        <v>0</v>
      </c>
      <c r="R265" t="b">
        <v>0</v>
      </c>
      <c r="S265" t="s">
        <v>101</v>
      </c>
      <c r="T265" t="s">
        <v>1622</v>
      </c>
      <c r="U265">
        <v>42.785625000000003</v>
      </c>
      <c r="V265">
        <v>0</v>
      </c>
      <c r="W265">
        <v>0</v>
      </c>
      <c r="X265">
        <v>4</v>
      </c>
      <c r="Y265" s="6">
        <v>46023</v>
      </c>
      <c r="Z265">
        <v>1</v>
      </c>
    </row>
    <row r="266" spans="1:26" x14ac:dyDescent="0.3">
      <c r="A266" t="s">
        <v>371</v>
      </c>
      <c r="B266" s="5">
        <v>46119</v>
      </c>
      <c r="C266" s="5">
        <v>46120</v>
      </c>
      <c r="D266" s="5">
        <v>46123</v>
      </c>
      <c r="E266" s="5">
        <v>46123</v>
      </c>
      <c r="F266" t="s">
        <v>34</v>
      </c>
      <c r="G266" t="s">
        <v>53</v>
      </c>
      <c r="H266" t="s">
        <v>23</v>
      </c>
      <c r="I266" t="s">
        <v>42</v>
      </c>
      <c r="J266">
        <v>318.60000000000002</v>
      </c>
      <c r="K266">
        <v>8864.7999999999993</v>
      </c>
      <c r="L266">
        <v>8778000</v>
      </c>
      <c r="M266" t="b">
        <v>0</v>
      </c>
      <c r="N266" t="b">
        <v>0</v>
      </c>
      <c r="O266">
        <v>16000</v>
      </c>
      <c r="P266" t="b">
        <v>0</v>
      </c>
      <c r="Q266" t="b">
        <v>0</v>
      </c>
      <c r="R266" t="b">
        <v>0</v>
      </c>
      <c r="S266" t="s">
        <v>96</v>
      </c>
      <c r="T266" t="s">
        <v>1636</v>
      </c>
      <c r="U266">
        <v>55.404999999999987</v>
      </c>
      <c r="V266">
        <v>0</v>
      </c>
      <c r="W266">
        <v>0</v>
      </c>
      <c r="X266">
        <v>3</v>
      </c>
      <c r="Y266" s="6">
        <v>46113</v>
      </c>
    </row>
    <row r="267" spans="1:26" x14ac:dyDescent="0.3">
      <c r="A267" t="s">
        <v>372</v>
      </c>
      <c r="B267" s="5">
        <v>46167</v>
      </c>
      <c r="C267" s="5">
        <v>46168</v>
      </c>
      <c r="D267" s="5">
        <v>46169</v>
      </c>
      <c r="E267" s="5">
        <v>46170</v>
      </c>
      <c r="F267" t="s">
        <v>32</v>
      </c>
      <c r="G267" t="s">
        <v>57</v>
      </c>
      <c r="H267" t="s">
        <v>20</v>
      </c>
      <c r="I267" t="s">
        <v>44</v>
      </c>
      <c r="J267">
        <v>4200</v>
      </c>
      <c r="K267">
        <v>797.2</v>
      </c>
      <c r="L267">
        <v>1023000</v>
      </c>
      <c r="M267" t="b">
        <v>0</v>
      </c>
      <c r="N267" t="b">
        <v>0</v>
      </c>
      <c r="O267">
        <v>1500</v>
      </c>
      <c r="P267" t="b">
        <v>0</v>
      </c>
      <c r="Q267" t="b">
        <v>1</v>
      </c>
      <c r="R267" t="b">
        <v>1</v>
      </c>
      <c r="S267" t="s">
        <v>101</v>
      </c>
      <c r="T267" t="s">
        <v>1630</v>
      </c>
      <c r="U267">
        <v>53.146666666666661</v>
      </c>
      <c r="V267">
        <v>0</v>
      </c>
      <c r="W267">
        <v>1</v>
      </c>
      <c r="X267">
        <v>2</v>
      </c>
      <c r="Y267" s="6">
        <v>46143</v>
      </c>
      <c r="Z267">
        <v>1</v>
      </c>
    </row>
    <row r="268" spans="1:26" x14ac:dyDescent="0.3">
      <c r="A268" t="s">
        <v>373</v>
      </c>
      <c r="B268" s="5">
        <v>46070</v>
      </c>
      <c r="C268" s="5">
        <v>46071</v>
      </c>
      <c r="D268" s="5">
        <v>46074</v>
      </c>
      <c r="E268" s="5">
        <v>46074</v>
      </c>
      <c r="F268" t="s">
        <v>31</v>
      </c>
      <c r="G268" t="s">
        <v>52</v>
      </c>
      <c r="H268" t="s">
        <v>24</v>
      </c>
      <c r="I268" t="s">
        <v>43</v>
      </c>
      <c r="J268">
        <v>299</v>
      </c>
      <c r="K268">
        <v>3046.2</v>
      </c>
      <c r="L268">
        <v>5664000</v>
      </c>
      <c r="M268" t="b">
        <v>0</v>
      </c>
      <c r="N268" t="b">
        <v>0</v>
      </c>
      <c r="O268">
        <v>5000</v>
      </c>
      <c r="P268" t="b">
        <v>0</v>
      </c>
      <c r="Q268" t="b">
        <v>0</v>
      </c>
      <c r="R268" t="b">
        <v>0</v>
      </c>
      <c r="S268" t="s">
        <v>96</v>
      </c>
      <c r="T268" t="s">
        <v>1618</v>
      </c>
      <c r="U268">
        <v>60.923999999999999</v>
      </c>
      <c r="V268">
        <v>0</v>
      </c>
      <c r="W268">
        <v>0</v>
      </c>
      <c r="X268">
        <v>3</v>
      </c>
      <c r="Y268" s="6">
        <v>46054</v>
      </c>
    </row>
    <row r="269" spans="1:26" x14ac:dyDescent="0.3">
      <c r="A269" t="s">
        <v>374</v>
      </c>
      <c r="B269" s="5">
        <v>46107</v>
      </c>
      <c r="C269" s="5">
        <v>46108</v>
      </c>
      <c r="D269" s="5">
        <v>46110</v>
      </c>
      <c r="E269" s="5">
        <v>46110</v>
      </c>
      <c r="F269" t="s">
        <v>34</v>
      </c>
      <c r="G269" t="s">
        <v>58</v>
      </c>
      <c r="H269" t="s">
        <v>22</v>
      </c>
      <c r="I269" t="s">
        <v>42</v>
      </c>
      <c r="J269">
        <v>151.69999999999999</v>
      </c>
      <c r="K269">
        <v>9935.1</v>
      </c>
      <c r="L269">
        <v>7112000</v>
      </c>
      <c r="M269" t="b">
        <v>0</v>
      </c>
      <c r="N269" t="b">
        <v>0</v>
      </c>
      <c r="O269">
        <v>16000</v>
      </c>
      <c r="P269" t="b">
        <v>0</v>
      </c>
      <c r="Q269" t="b">
        <v>0</v>
      </c>
      <c r="R269" t="b">
        <v>0</v>
      </c>
      <c r="S269" t="s">
        <v>96</v>
      </c>
      <c r="T269" t="s">
        <v>1637</v>
      </c>
      <c r="U269">
        <v>62.094374999999999</v>
      </c>
      <c r="V269">
        <v>0</v>
      </c>
      <c r="W269">
        <v>0</v>
      </c>
      <c r="X269">
        <v>2</v>
      </c>
      <c r="Y269" s="6">
        <v>46082</v>
      </c>
    </row>
    <row r="270" spans="1:26" x14ac:dyDescent="0.3">
      <c r="A270" t="s">
        <v>375</v>
      </c>
      <c r="B270" s="5">
        <v>46134</v>
      </c>
      <c r="C270" s="5">
        <v>46135</v>
      </c>
      <c r="D270" s="5">
        <v>46137</v>
      </c>
      <c r="E270" s="5">
        <v>46137</v>
      </c>
      <c r="F270" t="s">
        <v>32</v>
      </c>
      <c r="G270" t="s">
        <v>59</v>
      </c>
      <c r="H270" t="s">
        <v>23</v>
      </c>
      <c r="I270" t="s">
        <v>44</v>
      </c>
      <c r="J270">
        <v>181.2</v>
      </c>
      <c r="K270">
        <v>1267.8</v>
      </c>
      <c r="L270">
        <v>2966000</v>
      </c>
      <c r="M270" t="b">
        <v>0</v>
      </c>
      <c r="N270" t="b">
        <v>0</v>
      </c>
      <c r="O270">
        <v>1500</v>
      </c>
      <c r="P270" t="b">
        <v>0</v>
      </c>
      <c r="Q270" t="b">
        <v>0</v>
      </c>
      <c r="R270" t="b">
        <v>0</v>
      </c>
      <c r="S270" t="s">
        <v>96</v>
      </c>
      <c r="T270" t="s">
        <v>1619</v>
      </c>
      <c r="U270">
        <v>84.52</v>
      </c>
      <c r="V270">
        <v>0</v>
      </c>
      <c r="W270">
        <v>0</v>
      </c>
      <c r="X270">
        <v>2</v>
      </c>
      <c r="Y270" s="6">
        <v>46113</v>
      </c>
    </row>
    <row r="271" spans="1:26" x14ac:dyDescent="0.3">
      <c r="A271" t="s">
        <v>376</v>
      </c>
      <c r="B271" s="5">
        <v>46101</v>
      </c>
      <c r="C271" s="5">
        <v>46102</v>
      </c>
      <c r="D271" s="5">
        <v>46104</v>
      </c>
      <c r="E271" s="5">
        <v>46105</v>
      </c>
      <c r="F271" t="s">
        <v>31</v>
      </c>
      <c r="G271" t="s">
        <v>57</v>
      </c>
      <c r="H271" t="s">
        <v>22</v>
      </c>
      <c r="I271" t="s">
        <v>43</v>
      </c>
      <c r="J271">
        <v>139.69999999999999</v>
      </c>
      <c r="K271">
        <v>2524.5500000000002</v>
      </c>
      <c r="L271">
        <v>4391000</v>
      </c>
      <c r="M271" t="b">
        <v>0</v>
      </c>
      <c r="N271" t="b">
        <v>0</v>
      </c>
      <c r="O271">
        <v>5000</v>
      </c>
      <c r="P271" t="b">
        <v>0</v>
      </c>
      <c r="Q271" t="b">
        <v>0</v>
      </c>
      <c r="R271" t="b">
        <v>0</v>
      </c>
      <c r="S271" t="s">
        <v>101</v>
      </c>
      <c r="T271" t="s">
        <v>1617</v>
      </c>
      <c r="U271">
        <v>50.491000000000007</v>
      </c>
      <c r="V271">
        <v>0</v>
      </c>
      <c r="W271">
        <v>0</v>
      </c>
      <c r="X271">
        <v>3</v>
      </c>
      <c r="Y271" s="6">
        <v>46082</v>
      </c>
      <c r="Z271">
        <v>1</v>
      </c>
    </row>
    <row r="272" spans="1:26" x14ac:dyDescent="0.3">
      <c r="A272" t="s">
        <v>377</v>
      </c>
      <c r="B272" s="5">
        <v>46157</v>
      </c>
      <c r="C272" s="5">
        <v>46158</v>
      </c>
      <c r="D272" s="5">
        <v>46161</v>
      </c>
      <c r="E272" s="5">
        <v>46162</v>
      </c>
      <c r="F272" t="s">
        <v>34</v>
      </c>
      <c r="G272" t="s">
        <v>54</v>
      </c>
      <c r="H272" t="s">
        <v>24</v>
      </c>
      <c r="I272" t="s">
        <v>42</v>
      </c>
      <c r="J272">
        <v>442.4</v>
      </c>
      <c r="K272">
        <v>7585.3</v>
      </c>
      <c r="L272">
        <v>11645000</v>
      </c>
      <c r="M272" t="b">
        <v>0</v>
      </c>
      <c r="N272" t="b">
        <v>0</v>
      </c>
      <c r="O272">
        <v>16000</v>
      </c>
      <c r="P272" t="b">
        <v>0</v>
      </c>
      <c r="Q272" t="b">
        <v>0</v>
      </c>
      <c r="R272" t="b">
        <v>0</v>
      </c>
      <c r="S272" t="s">
        <v>101</v>
      </c>
      <c r="T272" t="s">
        <v>1635</v>
      </c>
      <c r="U272">
        <v>47.408124999999998</v>
      </c>
      <c r="V272">
        <v>0</v>
      </c>
      <c r="W272">
        <v>0</v>
      </c>
      <c r="X272">
        <v>4</v>
      </c>
      <c r="Y272" s="6">
        <v>46143</v>
      </c>
      <c r="Z272">
        <v>1</v>
      </c>
    </row>
    <row r="273" spans="1:26" x14ac:dyDescent="0.3">
      <c r="A273" t="s">
        <v>378</v>
      </c>
      <c r="B273" s="5">
        <v>46185</v>
      </c>
      <c r="C273" s="5">
        <v>46186</v>
      </c>
      <c r="D273" s="5">
        <v>46189</v>
      </c>
      <c r="E273" s="5">
        <v>46189</v>
      </c>
      <c r="F273" t="s">
        <v>31</v>
      </c>
      <c r="G273" t="s">
        <v>59</v>
      </c>
      <c r="H273" t="s">
        <v>23</v>
      </c>
      <c r="I273" t="s">
        <v>42</v>
      </c>
      <c r="J273">
        <v>309.5</v>
      </c>
      <c r="K273">
        <v>6876.6</v>
      </c>
      <c r="L273">
        <v>8814000</v>
      </c>
      <c r="M273" t="b">
        <v>0</v>
      </c>
      <c r="N273" t="b">
        <v>0</v>
      </c>
      <c r="O273">
        <v>16000</v>
      </c>
      <c r="P273" t="b">
        <v>0</v>
      </c>
      <c r="Q273" t="b">
        <v>0</v>
      </c>
      <c r="R273" t="b">
        <v>0</v>
      </c>
      <c r="S273" t="s">
        <v>96</v>
      </c>
      <c r="T273" t="s">
        <v>1628</v>
      </c>
      <c r="U273">
        <v>42.978750000000012</v>
      </c>
      <c r="V273">
        <v>0</v>
      </c>
      <c r="W273">
        <v>0</v>
      </c>
      <c r="X273">
        <v>3</v>
      </c>
      <c r="Y273" s="6">
        <v>46174</v>
      </c>
    </row>
    <row r="274" spans="1:26" x14ac:dyDescent="0.3">
      <c r="A274" t="s">
        <v>379</v>
      </c>
      <c r="B274" s="5">
        <v>46196</v>
      </c>
      <c r="C274" s="5">
        <v>46197</v>
      </c>
      <c r="D274" s="5">
        <v>46199</v>
      </c>
      <c r="E274" s="5">
        <v>46199</v>
      </c>
      <c r="F274" t="s">
        <v>32</v>
      </c>
      <c r="G274" t="s">
        <v>63</v>
      </c>
      <c r="H274" t="s">
        <v>20</v>
      </c>
      <c r="I274" t="s">
        <v>43</v>
      </c>
      <c r="J274">
        <v>180.2</v>
      </c>
      <c r="K274">
        <v>3162.9</v>
      </c>
      <c r="L274">
        <v>4232000</v>
      </c>
      <c r="M274" t="b">
        <v>0</v>
      </c>
      <c r="N274" t="b">
        <v>0</v>
      </c>
      <c r="O274">
        <v>5000</v>
      </c>
      <c r="P274" t="b">
        <v>0</v>
      </c>
      <c r="Q274" t="b">
        <v>0</v>
      </c>
      <c r="R274" t="b">
        <v>0</v>
      </c>
      <c r="S274" t="s">
        <v>96</v>
      </c>
      <c r="T274" t="s">
        <v>1634</v>
      </c>
      <c r="U274">
        <v>63.258000000000003</v>
      </c>
      <c r="V274">
        <v>0</v>
      </c>
      <c r="W274">
        <v>0</v>
      </c>
      <c r="X274">
        <v>2</v>
      </c>
      <c r="Y274" s="6">
        <v>46174</v>
      </c>
    </row>
    <row r="275" spans="1:26" x14ac:dyDescent="0.3">
      <c r="A275" t="s">
        <v>380</v>
      </c>
      <c r="B275" s="5">
        <v>46029</v>
      </c>
      <c r="C275" s="5">
        <v>46029</v>
      </c>
      <c r="D275" s="5">
        <v>46032</v>
      </c>
      <c r="E275" s="5">
        <v>46033</v>
      </c>
      <c r="F275" t="s">
        <v>32</v>
      </c>
      <c r="G275" t="s">
        <v>58</v>
      </c>
      <c r="H275" t="s">
        <v>23</v>
      </c>
      <c r="I275" t="s">
        <v>42</v>
      </c>
      <c r="J275">
        <v>317.3</v>
      </c>
      <c r="K275">
        <v>4821.3</v>
      </c>
      <c r="L275">
        <v>8523000</v>
      </c>
      <c r="M275" t="b">
        <v>0</v>
      </c>
      <c r="N275" t="b">
        <v>0</v>
      </c>
      <c r="O275">
        <v>16000</v>
      </c>
      <c r="P275" t="b">
        <v>0</v>
      </c>
      <c r="Q275" t="b">
        <v>0</v>
      </c>
      <c r="R275" t="b">
        <v>0</v>
      </c>
      <c r="S275" t="s">
        <v>101</v>
      </c>
      <c r="T275" t="s">
        <v>1656</v>
      </c>
      <c r="U275">
        <v>30.133125</v>
      </c>
      <c r="V275">
        <v>0</v>
      </c>
      <c r="W275">
        <v>0</v>
      </c>
      <c r="X275">
        <v>4</v>
      </c>
      <c r="Y275" s="6">
        <v>46023</v>
      </c>
      <c r="Z275">
        <v>1</v>
      </c>
    </row>
    <row r="276" spans="1:26" x14ac:dyDescent="0.3">
      <c r="A276" t="s">
        <v>381</v>
      </c>
      <c r="B276" s="5">
        <v>46190</v>
      </c>
      <c r="C276" s="5">
        <v>46191</v>
      </c>
      <c r="D276" s="5">
        <v>46193</v>
      </c>
      <c r="E276" s="5"/>
      <c r="F276" t="s">
        <v>34</v>
      </c>
      <c r="G276" t="s">
        <v>52</v>
      </c>
      <c r="H276" t="s">
        <v>21</v>
      </c>
      <c r="I276" t="s">
        <v>42</v>
      </c>
      <c r="J276">
        <v>277.60000000000002</v>
      </c>
      <c r="K276">
        <v>6993.6</v>
      </c>
      <c r="L276">
        <v>7277000</v>
      </c>
      <c r="M276" t="b">
        <v>0</v>
      </c>
      <c r="N276" t="b">
        <v>0</v>
      </c>
      <c r="O276">
        <v>16000</v>
      </c>
      <c r="P276" t="b">
        <v>0</v>
      </c>
      <c r="Q276" t="b">
        <v>0</v>
      </c>
      <c r="R276" t="b">
        <v>0</v>
      </c>
      <c r="S276" t="s">
        <v>203</v>
      </c>
      <c r="T276" t="s">
        <v>1623</v>
      </c>
      <c r="U276">
        <v>43.710000000000008</v>
      </c>
      <c r="V276">
        <v>0</v>
      </c>
      <c r="W276">
        <v>0</v>
      </c>
      <c r="Y276" s="6">
        <v>46174</v>
      </c>
    </row>
    <row r="277" spans="1:26" x14ac:dyDescent="0.3">
      <c r="A277" t="s">
        <v>382</v>
      </c>
      <c r="B277" s="5">
        <v>46108</v>
      </c>
      <c r="C277" s="5">
        <v>46109</v>
      </c>
      <c r="D277" s="5">
        <v>46113</v>
      </c>
      <c r="E277" s="5">
        <v>46113</v>
      </c>
      <c r="F277" t="s">
        <v>34</v>
      </c>
      <c r="G277" t="s">
        <v>62</v>
      </c>
      <c r="H277" t="s">
        <v>23</v>
      </c>
      <c r="I277" t="s">
        <v>44</v>
      </c>
      <c r="J277">
        <v>738.9</v>
      </c>
      <c r="K277">
        <v>207.9</v>
      </c>
      <c r="L277">
        <v>7449000</v>
      </c>
      <c r="M277" t="b">
        <v>0</v>
      </c>
      <c r="N277" t="b">
        <v>0</v>
      </c>
      <c r="O277">
        <v>1500</v>
      </c>
      <c r="P277" t="b">
        <v>0</v>
      </c>
      <c r="Q277" t="b">
        <v>0</v>
      </c>
      <c r="R277" t="b">
        <v>0</v>
      </c>
      <c r="S277" t="s">
        <v>96</v>
      </c>
      <c r="T277" t="s">
        <v>1649</v>
      </c>
      <c r="U277">
        <v>13.86</v>
      </c>
      <c r="V277">
        <v>0</v>
      </c>
      <c r="W277">
        <v>0</v>
      </c>
      <c r="X277">
        <v>4</v>
      </c>
      <c r="Y277" s="6">
        <v>46082</v>
      </c>
    </row>
    <row r="278" spans="1:26" x14ac:dyDescent="0.3">
      <c r="A278" t="s">
        <v>383</v>
      </c>
      <c r="B278" s="5">
        <v>46197</v>
      </c>
      <c r="C278" s="5">
        <v>46198</v>
      </c>
      <c r="D278" s="5">
        <v>46200</v>
      </c>
      <c r="E278" s="5">
        <v>46200</v>
      </c>
      <c r="F278" t="s">
        <v>32</v>
      </c>
      <c r="G278" t="s">
        <v>55</v>
      </c>
      <c r="H278" t="s">
        <v>23</v>
      </c>
      <c r="I278" t="s">
        <v>45</v>
      </c>
      <c r="J278">
        <v>129.4</v>
      </c>
      <c r="K278">
        <v>398.2</v>
      </c>
      <c r="L278">
        <v>1672000</v>
      </c>
      <c r="M278" t="b">
        <v>0</v>
      </c>
      <c r="N278" t="b">
        <v>0</v>
      </c>
      <c r="O278">
        <v>1000</v>
      </c>
      <c r="P278" t="b">
        <v>0</v>
      </c>
      <c r="Q278" t="b">
        <v>0</v>
      </c>
      <c r="R278" t="b">
        <v>0</v>
      </c>
      <c r="S278" t="s">
        <v>96</v>
      </c>
      <c r="T278" t="s">
        <v>1633</v>
      </c>
      <c r="U278">
        <v>39.82</v>
      </c>
      <c r="V278">
        <v>0</v>
      </c>
      <c r="W278">
        <v>0</v>
      </c>
      <c r="X278">
        <v>2</v>
      </c>
      <c r="Y278" s="6">
        <v>46174</v>
      </c>
    </row>
    <row r="279" spans="1:26" x14ac:dyDescent="0.3">
      <c r="A279" t="s">
        <v>384</v>
      </c>
      <c r="B279" s="5">
        <v>46080</v>
      </c>
      <c r="C279" s="5">
        <v>46082</v>
      </c>
      <c r="D279" s="5">
        <v>46085</v>
      </c>
      <c r="E279" s="5">
        <v>46085</v>
      </c>
      <c r="F279" t="s">
        <v>33</v>
      </c>
      <c r="G279" t="s">
        <v>53</v>
      </c>
      <c r="H279" t="s">
        <v>20</v>
      </c>
      <c r="I279" t="s">
        <v>45</v>
      </c>
      <c r="J279">
        <v>554.5</v>
      </c>
      <c r="K279">
        <v>690</v>
      </c>
      <c r="L279">
        <v>5401000</v>
      </c>
      <c r="M279" t="b">
        <v>0</v>
      </c>
      <c r="N279" t="b">
        <v>0</v>
      </c>
      <c r="O279">
        <v>1000</v>
      </c>
      <c r="P279" t="b">
        <v>0</v>
      </c>
      <c r="Q279" t="b">
        <v>0</v>
      </c>
      <c r="R279" t="b">
        <v>0</v>
      </c>
      <c r="S279" t="s">
        <v>96</v>
      </c>
      <c r="T279" t="s">
        <v>1632</v>
      </c>
      <c r="U279">
        <v>69</v>
      </c>
      <c r="V279">
        <v>0</v>
      </c>
      <c r="W279">
        <v>0</v>
      </c>
      <c r="X279">
        <v>3</v>
      </c>
      <c r="Y279" s="6">
        <v>46082</v>
      </c>
    </row>
    <row r="280" spans="1:26" x14ac:dyDescent="0.3">
      <c r="A280" t="s">
        <v>385</v>
      </c>
      <c r="B280" s="5">
        <v>46047</v>
      </c>
      <c r="C280" s="5">
        <v>46048</v>
      </c>
      <c r="D280" s="5">
        <v>46052</v>
      </c>
      <c r="E280" s="5">
        <v>46051</v>
      </c>
      <c r="F280" t="s">
        <v>31</v>
      </c>
      <c r="G280" t="s">
        <v>60</v>
      </c>
      <c r="H280" t="s">
        <v>22</v>
      </c>
      <c r="I280" t="s">
        <v>43</v>
      </c>
      <c r="J280">
        <v>606.4</v>
      </c>
      <c r="K280">
        <v>2773.7</v>
      </c>
      <c r="L280">
        <v>10029000</v>
      </c>
      <c r="M280" t="b">
        <v>0</v>
      </c>
      <c r="N280" t="b">
        <v>0</v>
      </c>
      <c r="O280">
        <v>5000</v>
      </c>
      <c r="P280" t="b">
        <v>0</v>
      </c>
      <c r="Q280" t="b">
        <v>0</v>
      </c>
      <c r="R280" t="b">
        <v>0</v>
      </c>
      <c r="S280" t="s">
        <v>96</v>
      </c>
      <c r="T280" t="s">
        <v>1652</v>
      </c>
      <c r="U280">
        <v>55.473999999999997</v>
      </c>
      <c r="V280">
        <v>0</v>
      </c>
      <c r="W280">
        <v>0</v>
      </c>
      <c r="X280">
        <v>3</v>
      </c>
      <c r="Y280" s="6">
        <v>46023</v>
      </c>
    </row>
    <row r="281" spans="1:26" x14ac:dyDescent="0.3">
      <c r="A281" t="s">
        <v>386</v>
      </c>
      <c r="B281" s="5">
        <v>46200</v>
      </c>
      <c r="C281" s="5">
        <v>46202</v>
      </c>
      <c r="D281" s="5">
        <v>46205</v>
      </c>
      <c r="E281" s="5">
        <v>46206</v>
      </c>
      <c r="F281" t="s">
        <v>33</v>
      </c>
      <c r="G281" t="s">
        <v>52</v>
      </c>
      <c r="H281" t="s">
        <v>24</v>
      </c>
      <c r="I281" t="s">
        <v>43</v>
      </c>
      <c r="J281">
        <v>580.20000000000005</v>
      </c>
      <c r="K281">
        <v>2385.1</v>
      </c>
      <c r="L281">
        <v>7597000</v>
      </c>
      <c r="M281" t="b">
        <v>0</v>
      </c>
      <c r="N281" t="b">
        <v>0</v>
      </c>
      <c r="O281">
        <v>5000</v>
      </c>
      <c r="P281" t="b">
        <v>0</v>
      </c>
      <c r="Q281" t="b">
        <v>0</v>
      </c>
      <c r="R281" t="b">
        <v>0</v>
      </c>
      <c r="S281" t="s">
        <v>101</v>
      </c>
      <c r="T281" t="s">
        <v>1622</v>
      </c>
      <c r="U281">
        <v>47.701999999999998</v>
      </c>
      <c r="V281">
        <v>0</v>
      </c>
      <c r="W281">
        <v>0</v>
      </c>
      <c r="X281">
        <v>4</v>
      </c>
      <c r="Y281" s="6">
        <v>46174</v>
      </c>
      <c r="Z281">
        <v>1</v>
      </c>
    </row>
    <row r="282" spans="1:26" x14ac:dyDescent="0.3">
      <c r="A282" t="s">
        <v>387</v>
      </c>
      <c r="B282" s="5">
        <v>46133</v>
      </c>
      <c r="C282" s="5">
        <v>46133</v>
      </c>
      <c r="D282" s="5">
        <v>46137</v>
      </c>
      <c r="E282" s="5">
        <v>46137</v>
      </c>
      <c r="F282" t="s">
        <v>33</v>
      </c>
      <c r="G282" t="s">
        <v>56</v>
      </c>
      <c r="H282" t="s">
        <v>21</v>
      </c>
      <c r="I282" t="s">
        <v>45</v>
      </c>
      <c r="J282">
        <v>1525.3</v>
      </c>
      <c r="K282">
        <v>116.1</v>
      </c>
      <c r="L282">
        <v>13623000</v>
      </c>
      <c r="M282" t="b">
        <v>0</v>
      </c>
      <c r="N282" t="b">
        <v>0</v>
      </c>
      <c r="O282">
        <v>1000</v>
      </c>
      <c r="P282" t="b">
        <v>0</v>
      </c>
      <c r="Q282" t="b">
        <v>0</v>
      </c>
      <c r="R282" t="b">
        <v>0</v>
      </c>
      <c r="S282" t="s">
        <v>96</v>
      </c>
      <c r="T282" t="s">
        <v>1654</v>
      </c>
      <c r="U282">
        <v>11.61</v>
      </c>
      <c r="V282">
        <v>0</v>
      </c>
      <c r="W282">
        <v>0</v>
      </c>
      <c r="X282">
        <v>4</v>
      </c>
      <c r="Y282" s="6">
        <v>46113</v>
      </c>
    </row>
    <row r="283" spans="1:26" x14ac:dyDescent="0.3">
      <c r="A283" t="s">
        <v>388</v>
      </c>
      <c r="B283" s="5">
        <v>46198</v>
      </c>
      <c r="C283" s="5">
        <v>46199</v>
      </c>
      <c r="D283" s="5">
        <v>46201</v>
      </c>
      <c r="E283" s="5">
        <v>46203</v>
      </c>
      <c r="F283" t="s">
        <v>32</v>
      </c>
      <c r="G283" t="s">
        <v>53</v>
      </c>
      <c r="H283" t="s">
        <v>24</v>
      </c>
      <c r="I283" t="s">
        <v>42</v>
      </c>
      <c r="J283">
        <v>272.39999999999998</v>
      </c>
      <c r="K283">
        <v>8942.9</v>
      </c>
      <c r="L283">
        <v>8603000</v>
      </c>
      <c r="M283" t="b">
        <v>0</v>
      </c>
      <c r="N283" t="b">
        <v>0</v>
      </c>
      <c r="O283">
        <v>16000</v>
      </c>
      <c r="P283" t="b">
        <v>0</v>
      </c>
      <c r="Q283" t="b">
        <v>0</v>
      </c>
      <c r="R283" t="b">
        <v>0</v>
      </c>
      <c r="S283" t="s">
        <v>101</v>
      </c>
      <c r="T283" t="s">
        <v>1612</v>
      </c>
      <c r="U283">
        <v>55.893124999999998</v>
      </c>
      <c r="V283">
        <v>0</v>
      </c>
      <c r="W283">
        <v>0</v>
      </c>
      <c r="X283">
        <v>4</v>
      </c>
      <c r="Y283" s="6">
        <v>46174</v>
      </c>
      <c r="Z283">
        <v>2</v>
      </c>
    </row>
    <row r="284" spans="1:26" x14ac:dyDescent="0.3">
      <c r="A284" t="s">
        <v>389</v>
      </c>
      <c r="B284" s="5">
        <v>46046</v>
      </c>
      <c r="C284" s="5">
        <v>46047</v>
      </c>
      <c r="D284" s="5">
        <v>46049</v>
      </c>
      <c r="E284" s="5">
        <v>46049</v>
      </c>
      <c r="F284" t="s">
        <v>32</v>
      </c>
      <c r="G284" t="s">
        <v>57</v>
      </c>
      <c r="H284" t="s">
        <v>20</v>
      </c>
      <c r="I284" t="s">
        <v>45</v>
      </c>
      <c r="J284">
        <v>17.899999999999999</v>
      </c>
      <c r="K284">
        <v>493.1</v>
      </c>
      <c r="L284">
        <v>765000</v>
      </c>
      <c r="M284" t="b">
        <v>0</v>
      </c>
      <c r="N284" t="b">
        <v>0</v>
      </c>
      <c r="O284">
        <v>1000</v>
      </c>
      <c r="P284" t="b">
        <v>0</v>
      </c>
      <c r="Q284" t="b">
        <v>0</v>
      </c>
      <c r="R284" t="b">
        <v>0</v>
      </c>
      <c r="S284" t="s">
        <v>96</v>
      </c>
      <c r="T284" t="s">
        <v>1630</v>
      </c>
      <c r="U284">
        <v>49.31</v>
      </c>
      <c r="V284">
        <v>0</v>
      </c>
      <c r="W284">
        <v>0</v>
      </c>
      <c r="X284">
        <v>2</v>
      </c>
      <c r="Y284" s="6">
        <v>46023</v>
      </c>
    </row>
    <row r="285" spans="1:26" x14ac:dyDescent="0.3">
      <c r="A285" t="s">
        <v>390</v>
      </c>
      <c r="B285" s="5">
        <v>46160</v>
      </c>
      <c r="C285" s="5">
        <v>46162</v>
      </c>
      <c r="D285" s="5">
        <v>46163</v>
      </c>
      <c r="E285" s="5">
        <v>46163</v>
      </c>
      <c r="F285" t="s">
        <v>31</v>
      </c>
      <c r="G285" t="s">
        <v>61</v>
      </c>
      <c r="H285" t="s">
        <v>24</v>
      </c>
      <c r="I285" t="s">
        <v>45</v>
      </c>
      <c r="J285">
        <v>53.6</v>
      </c>
      <c r="K285">
        <v>375.7</v>
      </c>
      <c r="L285">
        <v>1120000</v>
      </c>
      <c r="M285" t="b">
        <v>0</v>
      </c>
      <c r="N285" t="b">
        <v>0</v>
      </c>
      <c r="O285">
        <v>1000</v>
      </c>
      <c r="P285" t="b">
        <v>0</v>
      </c>
      <c r="Q285" t="b">
        <v>0</v>
      </c>
      <c r="R285" t="b">
        <v>0</v>
      </c>
      <c r="S285" t="s">
        <v>96</v>
      </c>
      <c r="T285" t="s">
        <v>1645</v>
      </c>
      <c r="U285">
        <v>37.57</v>
      </c>
      <c r="V285">
        <v>0</v>
      </c>
      <c r="W285">
        <v>0</v>
      </c>
      <c r="X285">
        <v>1</v>
      </c>
      <c r="Y285" s="6">
        <v>46143</v>
      </c>
    </row>
    <row r="286" spans="1:26" x14ac:dyDescent="0.3">
      <c r="A286" t="s">
        <v>391</v>
      </c>
      <c r="B286" s="5">
        <v>46034</v>
      </c>
      <c r="C286" s="5">
        <v>46035</v>
      </c>
      <c r="D286" s="5">
        <v>46038</v>
      </c>
      <c r="E286" s="5">
        <v>46038</v>
      </c>
      <c r="F286" t="s">
        <v>34</v>
      </c>
      <c r="G286" t="s">
        <v>53</v>
      </c>
      <c r="H286" t="s">
        <v>22</v>
      </c>
      <c r="I286" t="s">
        <v>43</v>
      </c>
      <c r="J286">
        <v>312.7</v>
      </c>
      <c r="K286">
        <v>1305.3</v>
      </c>
      <c r="L286">
        <v>5178000</v>
      </c>
      <c r="M286" t="b">
        <v>0</v>
      </c>
      <c r="N286" t="b">
        <v>0</v>
      </c>
      <c r="O286">
        <v>5000</v>
      </c>
      <c r="P286" t="b">
        <v>0</v>
      </c>
      <c r="Q286" t="b">
        <v>0</v>
      </c>
      <c r="R286" t="b">
        <v>0</v>
      </c>
      <c r="S286" t="s">
        <v>96</v>
      </c>
      <c r="T286" t="s">
        <v>1636</v>
      </c>
      <c r="U286">
        <v>26.106000000000002</v>
      </c>
      <c r="V286">
        <v>0</v>
      </c>
      <c r="W286">
        <v>0</v>
      </c>
      <c r="X286">
        <v>3</v>
      </c>
      <c r="Y286" s="6">
        <v>46023</v>
      </c>
    </row>
    <row r="287" spans="1:26" x14ac:dyDescent="0.3">
      <c r="A287" t="s">
        <v>392</v>
      </c>
      <c r="B287" s="5">
        <v>46085</v>
      </c>
      <c r="C287" s="5">
        <v>46086</v>
      </c>
      <c r="D287" s="5">
        <v>46089</v>
      </c>
      <c r="E287" s="5">
        <v>46089</v>
      </c>
      <c r="F287" t="s">
        <v>34</v>
      </c>
      <c r="G287" t="s">
        <v>57</v>
      </c>
      <c r="H287" t="s">
        <v>24</v>
      </c>
      <c r="I287" t="s">
        <v>42</v>
      </c>
      <c r="J287">
        <v>165.5</v>
      </c>
      <c r="K287">
        <v>6344.9</v>
      </c>
      <c r="L287">
        <v>5310000</v>
      </c>
      <c r="M287" t="b">
        <v>0</v>
      </c>
      <c r="N287" t="b">
        <v>0</v>
      </c>
      <c r="O287">
        <v>16000</v>
      </c>
      <c r="P287" t="b">
        <v>0</v>
      </c>
      <c r="Q287" t="b">
        <v>0</v>
      </c>
      <c r="R287" t="b">
        <v>0</v>
      </c>
      <c r="S287" t="s">
        <v>96</v>
      </c>
      <c r="T287" t="s">
        <v>1620</v>
      </c>
      <c r="U287">
        <v>39.655625000000001</v>
      </c>
      <c r="V287">
        <v>0</v>
      </c>
      <c r="W287">
        <v>0</v>
      </c>
      <c r="X287">
        <v>3</v>
      </c>
      <c r="Y287" s="6">
        <v>46082</v>
      </c>
    </row>
    <row r="288" spans="1:26" x14ac:dyDescent="0.3">
      <c r="A288" t="s">
        <v>393</v>
      </c>
      <c r="B288" s="5">
        <v>46168</v>
      </c>
      <c r="C288" s="5">
        <v>46168</v>
      </c>
      <c r="D288" s="5">
        <v>46171</v>
      </c>
      <c r="E288" s="5">
        <v>46171</v>
      </c>
      <c r="F288" t="s">
        <v>31</v>
      </c>
      <c r="G288" t="s">
        <v>53</v>
      </c>
      <c r="H288" t="s">
        <v>20</v>
      </c>
      <c r="I288" t="s">
        <v>42</v>
      </c>
      <c r="J288">
        <v>318.39999999999998</v>
      </c>
      <c r="K288">
        <v>14340.9</v>
      </c>
      <c r="L288">
        <v>10579000</v>
      </c>
      <c r="M288" t="b">
        <v>0</v>
      </c>
      <c r="N288" t="b">
        <v>0</v>
      </c>
      <c r="O288">
        <v>16000</v>
      </c>
      <c r="P288" t="b">
        <v>0</v>
      </c>
      <c r="Q288" t="b">
        <v>0</v>
      </c>
      <c r="R288" t="b">
        <v>0</v>
      </c>
      <c r="S288" t="s">
        <v>96</v>
      </c>
      <c r="T288" t="s">
        <v>1627</v>
      </c>
      <c r="U288">
        <v>89.630624999999995</v>
      </c>
      <c r="V288">
        <v>0</v>
      </c>
      <c r="W288">
        <v>0</v>
      </c>
      <c r="X288">
        <v>3</v>
      </c>
      <c r="Y288" s="6">
        <v>46143</v>
      </c>
    </row>
    <row r="289" spans="1:26" x14ac:dyDescent="0.3">
      <c r="A289" t="s">
        <v>394</v>
      </c>
      <c r="B289" s="5">
        <v>46102</v>
      </c>
      <c r="C289" s="5">
        <v>46102</v>
      </c>
      <c r="D289" s="5">
        <v>46103</v>
      </c>
      <c r="E289" s="5">
        <v>46103</v>
      </c>
      <c r="F289" t="s">
        <v>32</v>
      </c>
      <c r="G289" t="s">
        <v>57</v>
      </c>
      <c r="H289" t="s">
        <v>21</v>
      </c>
      <c r="I289" t="s">
        <v>42</v>
      </c>
      <c r="J289">
        <v>19.5</v>
      </c>
      <c r="K289">
        <v>6882.5</v>
      </c>
      <c r="L289">
        <v>3305000</v>
      </c>
      <c r="M289" t="b">
        <v>0</v>
      </c>
      <c r="N289" t="b">
        <v>0</v>
      </c>
      <c r="O289">
        <v>16000</v>
      </c>
      <c r="P289" t="b">
        <v>0</v>
      </c>
      <c r="Q289" t="b">
        <v>0</v>
      </c>
      <c r="R289" t="b">
        <v>0</v>
      </c>
      <c r="S289" t="s">
        <v>96</v>
      </c>
      <c r="T289" t="s">
        <v>1630</v>
      </c>
      <c r="U289">
        <v>43.015625</v>
      </c>
      <c r="V289">
        <v>0</v>
      </c>
      <c r="W289">
        <v>0</v>
      </c>
      <c r="X289">
        <v>1</v>
      </c>
      <c r="Y289" s="6">
        <v>46082</v>
      </c>
    </row>
    <row r="290" spans="1:26" x14ac:dyDescent="0.3">
      <c r="A290" t="s">
        <v>395</v>
      </c>
      <c r="B290" s="5">
        <v>46055</v>
      </c>
      <c r="C290" s="5">
        <v>46057</v>
      </c>
      <c r="D290" s="5">
        <v>46060</v>
      </c>
      <c r="E290" s="5">
        <v>46060</v>
      </c>
      <c r="F290" t="s">
        <v>32</v>
      </c>
      <c r="G290" t="s">
        <v>52</v>
      </c>
      <c r="H290" t="s">
        <v>21</v>
      </c>
      <c r="I290" t="s">
        <v>43</v>
      </c>
      <c r="J290">
        <v>300.3</v>
      </c>
      <c r="K290">
        <v>4140.6000000000004</v>
      </c>
      <c r="L290">
        <v>5550000</v>
      </c>
      <c r="M290" t="b">
        <v>0</v>
      </c>
      <c r="N290" t="b">
        <v>0</v>
      </c>
      <c r="O290">
        <v>5000</v>
      </c>
      <c r="P290" t="b">
        <v>0</v>
      </c>
      <c r="Q290" t="b">
        <v>0</v>
      </c>
      <c r="R290" t="b">
        <v>0</v>
      </c>
      <c r="S290" t="s">
        <v>96</v>
      </c>
      <c r="T290" t="s">
        <v>1611</v>
      </c>
      <c r="U290">
        <v>82.812000000000012</v>
      </c>
      <c r="V290">
        <v>0</v>
      </c>
      <c r="W290">
        <v>0</v>
      </c>
      <c r="X290">
        <v>3</v>
      </c>
      <c r="Y290" s="6">
        <v>46054</v>
      </c>
    </row>
    <row r="291" spans="1:26" x14ac:dyDescent="0.3">
      <c r="A291" t="s">
        <v>396</v>
      </c>
      <c r="B291" s="5">
        <v>46164</v>
      </c>
      <c r="C291" s="5">
        <v>46165</v>
      </c>
      <c r="D291" s="5">
        <v>46170</v>
      </c>
      <c r="E291" s="5">
        <v>46170</v>
      </c>
      <c r="F291" t="s">
        <v>31</v>
      </c>
      <c r="G291" t="s">
        <v>62</v>
      </c>
      <c r="H291" t="s">
        <v>22</v>
      </c>
      <c r="I291" t="s">
        <v>43</v>
      </c>
      <c r="J291">
        <v>717.8</v>
      </c>
      <c r="K291">
        <v>1630.4</v>
      </c>
      <c r="L291">
        <v>9971000</v>
      </c>
      <c r="M291" t="b">
        <v>0</v>
      </c>
      <c r="N291" t="b">
        <v>0</v>
      </c>
      <c r="O291">
        <v>5000</v>
      </c>
      <c r="P291" t="b">
        <v>0</v>
      </c>
      <c r="Q291" t="b">
        <v>0</v>
      </c>
      <c r="R291" t="b">
        <v>0</v>
      </c>
      <c r="S291" t="s">
        <v>96</v>
      </c>
      <c r="T291" t="s">
        <v>1615</v>
      </c>
      <c r="U291">
        <v>32.607999999999997</v>
      </c>
      <c r="V291">
        <v>0</v>
      </c>
      <c r="W291">
        <v>0</v>
      </c>
      <c r="X291">
        <v>5</v>
      </c>
      <c r="Y291" s="6">
        <v>46143</v>
      </c>
    </row>
    <row r="292" spans="1:26" x14ac:dyDescent="0.3">
      <c r="A292" t="s">
        <v>397</v>
      </c>
      <c r="B292" s="5">
        <v>46044</v>
      </c>
      <c r="C292" s="5">
        <v>46044</v>
      </c>
      <c r="D292" s="5">
        <v>46047</v>
      </c>
      <c r="E292" s="5">
        <v>46047</v>
      </c>
      <c r="F292" t="s">
        <v>33</v>
      </c>
      <c r="G292" t="s">
        <v>57</v>
      </c>
      <c r="H292" t="s">
        <v>22</v>
      </c>
      <c r="I292" t="s">
        <v>43</v>
      </c>
      <c r="J292">
        <v>451.8</v>
      </c>
      <c r="K292">
        <v>1715.2</v>
      </c>
      <c r="L292">
        <v>7816000</v>
      </c>
      <c r="M292" t="b">
        <v>0</v>
      </c>
      <c r="N292" t="b">
        <v>0</v>
      </c>
      <c r="O292">
        <v>5000</v>
      </c>
      <c r="P292" t="b">
        <v>0</v>
      </c>
      <c r="Q292" t="b">
        <v>0</v>
      </c>
      <c r="R292" t="b">
        <v>0</v>
      </c>
      <c r="S292" t="s">
        <v>96</v>
      </c>
      <c r="T292" t="s">
        <v>1624</v>
      </c>
      <c r="U292">
        <v>34.304000000000002</v>
      </c>
      <c r="V292">
        <v>0</v>
      </c>
      <c r="W292">
        <v>0</v>
      </c>
      <c r="X292">
        <v>3</v>
      </c>
      <c r="Y292" s="6">
        <v>46023</v>
      </c>
    </row>
    <row r="293" spans="1:26" x14ac:dyDescent="0.3">
      <c r="A293" t="s">
        <v>398</v>
      </c>
      <c r="B293" s="5">
        <v>46164</v>
      </c>
      <c r="C293" s="5">
        <v>46165</v>
      </c>
      <c r="D293" s="5">
        <v>46168</v>
      </c>
      <c r="E293" s="5">
        <v>46170</v>
      </c>
      <c r="F293" t="s">
        <v>31</v>
      </c>
      <c r="G293" t="s">
        <v>53</v>
      </c>
      <c r="H293" t="s">
        <v>20</v>
      </c>
      <c r="I293" t="s">
        <v>43</v>
      </c>
      <c r="J293">
        <v>315.7</v>
      </c>
      <c r="K293">
        <v>2973.9</v>
      </c>
      <c r="L293">
        <v>6123000</v>
      </c>
      <c r="M293" t="b">
        <v>0</v>
      </c>
      <c r="N293" t="b">
        <v>0</v>
      </c>
      <c r="O293">
        <v>5000</v>
      </c>
      <c r="P293" t="b">
        <v>0</v>
      </c>
      <c r="Q293" t="b">
        <v>0</v>
      </c>
      <c r="R293" t="b">
        <v>0</v>
      </c>
      <c r="S293" t="s">
        <v>101</v>
      </c>
      <c r="T293" t="s">
        <v>1627</v>
      </c>
      <c r="U293">
        <v>59.477999999999987</v>
      </c>
      <c r="V293">
        <v>0</v>
      </c>
      <c r="W293">
        <v>0</v>
      </c>
      <c r="X293">
        <v>5</v>
      </c>
      <c r="Y293" s="6">
        <v>46143</v>
      </c>
      <c r="Z293">
        <v>2</v>
      </c>
    </row>
    <row r="294" spans="1:26" x14ac:dyDescent="0.3">
      <c r="A294" t="s">
        <v>399</v>
      </c>
      <c r="B294" s="5">
        <v>46141</v>
      </c>
      <c r="C294" s="5">
        <v>46143</v>
      </c>
      <c r="D294" s="5">
        <v>46147</v>
      </c>
      <c r="E294" s="5">
        <v>46147</v>
      </c>
      <c r="F294" t="s">
        <v>34</v>
      </c>
      <c r="G294" t="s">
        <v>62</v>
      </c>
      <c r="H294" t="s">
        <v>21</v>
      </c>
      <c r="I294" t="s">
        <v>45</v>
      </c>
      <c r="J294">
        <v>709.5</v>
      </c>
      <c r="K294">
        <v>214.1</v>
      </c>
      <c r="L294">
        <v>6296000</v>
      </c>
      <c r="M294" t="b">
        <v>0</v>
      </c>
      <c r="N294" t="b">
        <v>0</v>
      </c>
      <c r="O294">
        <v>1000</v>
      </c>
      <c r="P294" t="b">
        <v>0</v>
      </c>
      <c r="Q294" t="b">
        <v>0</v>
      </c>
      <c r="R294" t="b">
        <v>0</v>
      </c>
      <c r="S294" t="s">
        <v>96</v>
      </c>
      <c r="T294" t="s">
        <v>1649</v>
      </c>
      <c r="U294">
        <v>21.41</v>
      </c>
      <c r="V294">
        <v>0</v>
      </c>
      <c r="W294">
        <v>0</v>
      </c>
      <c r="X294">
        <v>4</v>
      </c>
      <c r="Y294" s="6">
        <v>46143</v>
      </c>
    </row>
    <row r="295" spans="1:26" x14ac:dyDescent="0.3">
      <c r="A295" t="s">
        <v>400</v>
      </c>
      <c r="B295" s="5">
        <v>46181</v>
      </c>
      <c r="C295" s="5">
        <v>46182</v>
      </c>
      <c r="D295" s="5">
        <v>46185</v>
      </c>
      <c r="E295" s="5">
        <v>46186</v>
      </c>
      <c r="F295" t="s">
        <v>34</v>
      </c>
      <c r="G295" t="s">
        <v>53</v>
      </c>
      <c r="H295" t="s">
        <v>21</v>
      </c>
      <c r="I295" t="s">
        <v>43</v>
      </c>
      <c r="J295">
        <v>319.60000000000002</v>
      </c>
      <c r="K295">
        <v>4297.1000000000004</v>
      </c>
      <c r="L295">
        <v>6414000</v>
      </c>
      <c r="M295" t="b">
        <v>0</v>
      </c>
      <c r="N295" t="b">
        <v>0</v>
      </c>
      <c r="O295">
        <v>5000</v>
      </c>
      <c r="P295" t="b">
        <v>0</v>
      </c>
      <c r="Q295" t="b">
        <v>0</v>
      </c>
      <c r="R295" t="b">
        <v>0</v>
      </c>
      <c r="S295" t="s">
        <v>101</v>
      </c>
      <c r="T295" t="s">
        <v>1636</v>
      </c>
      <c r="U295">
        <v>85.942000000000007</v>
      </c>
      <c r="V295">
        <v>0</v>
      </c>
      <c r="W295">
        <v>0</v>
      </c>
      <c r="X295">
        <v>4</v>
      </c>
      <c r="Y295" s="6">
        <v>46174</v>
      </c>
      <c r="Z295">
        <v>1</v>
      </c>
    </row>
    <row r="296" spans="1:26" x14ac:dyDescent="0.3">
      <c r="A296" t="s">
        <v>401</v>
      </c>
      <c r="B296" s="5">
        <v>46140</v>
      </c>
      <c r="C296" s="5">
        <v>46141</v>
      </c>
      <c r="D296" s="5">
        <v>46144</v>
      </c>
      <c r="E296" s="5">
        <v>46144</v>
      </c>
      <c r="F296" t="s">
        <v>33</v>
      </c>
      <c r="G296" t="s">
        <v>62</v>
      </c>
      <c r="H296" t="s">
        <v>24</v>
      </c>
      <c r="I296" t="s">
        <v>43</v>
      </c>
      <c r="J296">
        <v>142.4</v>
      </c>
      <c r="K296">
        <v>1397.9</v>
      </c>
      <c r="L296">
        <v>3186000</v>
      </c>
      <c r="M296" t="b">
        <v>0</v>
      </c>
      <c r="N296" t="b">
        <v>0</v>
      </c>
      <c r="O296">
        <v>5000</v>
      </c>
      <c r="P296" t="b">
        <v>0</v>
      </c>
      <c r="Q296" t="b">
        <v>0</v>
      </c>
      <c r="R296" t="b">
        <v>0</v>
      </c>
      <c r="S296" t="s">
        <v>96</v>
      </c>
      <c r="T296" t="s">
        <v>1657</v>
      </c>
      <c r="U296">
        <v>27.957999999999998</v>
      </c>
      <c r="V296">
        <v>0</v>
      </c>
      <c r="W296">
        <v>0</v>
      </c>
      <c r="X296">
        <v>3</v>
      </c>
      <c r="Y296" s="6">
        <v>46113</v>
      </c>
    </row>
    <row r="297" spans="1:26" x14ac:dyDescent="0.3">
      <c r="A297" t="s">
        <v>402</v>
      </c>
      <c r="B297" s="5">
        <v>46103</v>
      </c>
      <c r="C297" s="5">
        <v>46104</v>
      </c>
      <c r="D297" s="5">
        <v>46105</v>
      </c>
      <c r="E297" s="5">
        <v>46105</v>
      </c>
      <c r="F297" t="s">
        <v>34</v>
      </c>
      <c r="G297" t="s">
        <v>61</v>
      </c>
      <c r="H297" t="s">
        <v>22</v>
      </c>
      <c r="I297" t="s">
        <v>45</v>
      </c>
      <c r="J297">
        <v>27.3</v>
      </c>
      <c r="K297">
        <v>490.5</v>
      </c>
      <c r="L297">
        <v>945000</v>
      </c>
      <c r="M297" t="b">
        <v>0</v>
      </c>
      <c r="N297" t="b">
        <v>0</v>
      </c>
      <c r="O297">
        <v>1000</v>
      </c>
      <c r="P297" t="b">
        <v>0</v>
      </c>
      <c r="Q297" t="b">
        <v>0</v>
      </c>
      <c r="R297" t="b">
        <v>0</v>
      </c>
      <c r="S297" t="s">
        <v>96</v>
      </c>
      <c r="T297" t="s">
        <v>1638</v>
      </c>
      <c r="U297">
        <v>49.05</v>
      </c>
      <c r="V297">
        <v>0</v>
      </c>
      <c r="W297">
        <v>0</v>
      </c>
      <c r="X297">
        <v>1</v>
      </c>
      <c r="Y297" s="6">
        <v>46082</v>
      </c>
    </row>
    <row r="298" spans="1:26" x14ac:dyDescent="0.3">
      <c r="A298" t="s">
        <v>403</v>
      </c>
      <c r="B298" s="5">
        <v>46029</v>
      </c>
      <c r="C298" s="5">
        <v>46030</v>
      </c>
      <c r="D298" s="5">
        <v>46033</v>
      </c>
      <c r="E298" s="5">
        <v>46033</v>
      </c>
      <c r="F298" t="s">
        <v>32</v>
      </c>
      <c r="G298" t="s">
        <v>60</v>
      </c>
      <c r="H298" t="s">
        <v>21</v>
      </c>
      <c r="I298" t="s">
        <v>42</v>
      </c>
      <c r="J298">
        <v>443.9</v>
      </c>
      <c r="K298">
        <v>13258.3</v>
      </c>
      <c r="L298">
        <v>12395000</v>
      </c>
      <c r="M298" t="b">
        <v>0</v>
      </c>
      <c r="N298" t="b">
        <v>0</v>
      </c>
      <c r="O298">
        <v>16000</v>
      </c>
      <c r="P298" t="b">
        <v>0</v>
      </c>
      <c r="Q298" t="b">
        <v>0</v>
      </c>
      <c r="R298" t="b">
        <v>0</v>
      </c>
      <c r="S298" t="s">
        <v>96</v>
      </c>
      <c r="T298" t="s">
        <v>1647</v>
      </c>
      <c r="U298">
        <v>82.864374999999995</v>
      </c>
      <c r="V298">
        <v>0</v>
      </c>
      <c r="W298">
        <v>0</v>
      </c>
      <c r="X298">
        <v>3</v>
      </c>
      <c r="Y298" s="6">
        <v>46023</v>
      </c>
    </row>
    <row r="299" spans="1:26" x14ac:dyDescent="0.3">
      <c r="A299" t="s">
        <v>404</v>
      </c>
      <c r="B299" s="5">
        <v>46089</v>
      </c>
      <c r="C299" s="5">
        <v>46089</v>
      </c>
      <c r="D299" s="5">
        <v>46091</v>
      </c>
      <c r="E299" s="5">
        <v>46092</v>
      </c>
      <c r="F299" t="s">
        <v>34</v>
      </c>
      <c r="G299" t="s">
        <v>59</v>
      </c>
      <c r="H299" t="s">
        <v>20</v>
      </c>
      <c r="I299" t="s">
        <v>42</v>
      </c>
      <c r="J299">
        <v>294.89999999999998</v>
      </c>
      <c r="K299">
        <v>7167.6</v>
      </c>
      <c r="L299">
        <v>7583000</v>
      </c>
      <c r="M299" t="b">
        <v>0</v>
      </c>
      <c r="N299" t="b">
        <v>0</v>
      </c>
      <c r="O299">
        <v>16000</v>
      </c>
      <c r="P299" t="b">
        <v>0</v>
      </c>
      <c r="Q299" t="b">
        <v>0</v>
      </c>
      <c r="R299" t="b">
        <v>0</v>
      </c>
      <c r="S299" t="s">
        <v>101</v>
      </c>
      <c r="T299" t="s">
        <v>1616</v>
      </c>
      <c r="U299">
        <v>44.797499999999999</v>
      </c>
      <c r="V299">
        <v>0</v>
      </c>
      <c r="W299">
        <v>0</v>
      </c>
      <c r="X299">
        <v>3</v>
      </c>
      <c r="Y299" s="6">
        <v>46082</v>
      </c>
      <c r="Z299">
        <v>1</v>
      </c>
    </row>
    <row r="300" spans="1:26" x14ac:dyDescent="0.3">
      <c r="A300" t="s">
        <v>405</v>
      </c>
      <c r="B300" s="5">
        <v>46135</v>
      </c>
      <c r="C300" s="5">
        <v>46136</v>
      </c>
      <c r="D300" s="5">
        <v>46138</v>
      </c>
      <c r="E300" s="5">
        <v>46138</v>
      </c>
      <c r="F300" t="s">
        <v>32</v>
      </c>
      <c r="G300" t="s">
        <v>63</v>
      </c>
      <c r="H300" t="s">
        <v>20</v>
      </c>
      <c r="I300" t="s">
        <v>43</v>
      </c>
      <c r="J300">
        <v>198.4</v>
      </c>
      <c r="K300">
        <v>4211.6000000000004</v>
      </c>
      <c r="L300">
        <v>4581000</v>
      </c>
      <c r="M300" t="b">
        <v>0</v>
      </c>
      <c r="N300" t="b">
        <v>0</v>
      </c>
      <c r="O300">
        <v>5000</v>
      </c>
      <c r="P300" t="b">
        <v>0</v>
      </c>
      <c r="Q300" t="b">
        <v>0</v>
      </c>
      <c r="R300" t="b">
        <v>0</v>
      </c>
      <c r="S300" t="s">
        <v>96</v>
      </c>
      <c r="T300" t="s">
        <v>1634</v>
      </c>
      <c r="U300">
        <v>84.232000000000014</v>
      </c>
      <c r="V300">
        <v>0</v>
      </c>
      <c r="W300">
        <v>0</v>
      </c>
      <c r="X300">
        <v>2</v>
      </c>
      <c r="Y300" s="6">
        <v>46113</v>
      </c>
    </row>
    <row r="301" spans="1:26" x14ac:dyDescent="0.3">
      <c r="A301" t="s">
        <v>406</v>
      </c>
      <c r="B301" s="5">
        <v>46194</v>
      </c>
      <c r="C301" s="5">
        <v>46194</v>
      </c>
      <c r="D301" s="5">
        <v>46198</v>
      </c>
      <c r="E301" s="5">
        <v>46198</v>
      </c>
      <c r="F301" t="s">
        <v>33</v>
      </c>
      <c r="G301" t="s">
        <v>56</v>
      </c>
      <c r="H301" t="s">
        <v>21</v>
      </c>
      <c r="I301" t="s">
        <v>44</v>
      </c>
      <c r="J301">
        <v>1566.9</v>
      </c>
      <c r="K301">
        <v>232.4</v>
      </c>
      <c r="L301">
        <v>16605000</v>
      </c>
      <c r="M301" t="b">
        <v>0</v>
      </c>
      <c r="N301" t="b">
        <v>0</v>
      </c>
      <c r="O301">
        <v>1500</v>
      </c>
      <c r="P301" t="b">
        <v>0</v>
      </c>
      <c r="Q301" t="b">
        <v>0</v>
      </c>
      <c r="R301" t="b">
        <v>0</v>
      </c>
      <c r="S301" t="s">
        <v>96</v>
      </c>
      <c r="T301" t="s">
        <v>1654</v>
      </c>
      <c r="U301">
        <v>15.493333333333331</v>
      </c>
      <c r="V301">
        <v>0</v>
      </c>
      <c r="W301">
        <v>0</v>
      </c>
      <c r="X301">
        <v>4</v>
      </c>
      <c r="Y301" s="6">
        <v>46174</v>
      </c>
    </row>
    <row r="302" spans="1:26" x14ac:dyDescent="0.3">
      <c r="A302" t="s">
        <v>407</v>
      </c>
      <c r="B302" s="5">
        <v>46120</v>
      </c>
      <c r="C302" s="5">
        <v>46122</v>
      </c>
      <c r="D302" s="5">
        <v>46125</v>
      </c>
      <c r="E302" s="5">
        <v>46126</v>
      </c>
      <c r="F302" t="s">
        <v>31</v>
      </c>
      <c r="G302" t="s">
        <v>60</v>
      </c>
      <c r="H302" t="s">
        <v>24</v>
      </c>
      <c r="I302" t="s">
        <v>43</v>
      </c>
      <c r="J302">
        <v>573.4</v>
      </c>
      <c r="K302">
        <v>4046.7</v>
      </c>
      <c r="L302">
        <v>9693000</v>
      </c>
      <c r="M302" t="b">
        <v>0</v>
      </c>
      <c r="N302" t="b">
        <v>0</v>
      </c>
      <c r="O302">
        <v>5000</v>
      </c>
      <c r="P302" t="b">
        <v>0</v>
      </c>
      <c r="Q302" t="b">
        <v>0</v>
      </c>
      <c r="R302" t="b">
        <v>0</v>
      </c>
      <c r="S302" t="s">
        <v>101</v>
      </c>
      <c r="T302" t="s">
        <v>1652</v>
      </c>
      <c r="U302">
        <v>80.933999999999997</v>
      </c>
      <c r="V302">
        <v>0</v>
      </c>
      <c r="W302">
        <v>0</v>
      </c>
      <c r="X302">
        <v>4</v>
      </c>
      <c r="Y302" s="6">
        <v>46113</v>
      </c>
      <c r="Z302">
        <v>1</v>
      </c>
    </row>
    <row r="303" spans="1:26" x14ac:dyDescent="0.3">
      <c r="A303" t="s">
        <v>408</v>
      </c>
      <c r="B303" s="5">
        <v>46139</v>
      </c>
      <c r="C303" s="5">
        <v>46140</v>
      </c>
      <c r="D303" s="5">
        <v>46144</v>
      </c>
      <c r="E303" s="5">
        <v>46145</v>
      </c>
      <c r="F303" t="s">
        <v>34</v>
      </c>
      <c r="G303" t="s">
        <v>56</v>
      </c>
      <c r="H303" t="s">
        <v>21</v>
      </c>
      <c r="I303" t="s">
        <v>42</v>
      </c>
      <c r="J303">
        <v>873.1</v>
      </c>
      <c r="K303">
        <v>7520.7</v>
      </c>
      <c r="L303">
        <v>19802000</v>
      </c>
      <c r="M303" t="b">
        <v>0</v>
      </c>
      <c r="N303" t="b">
        <v>0</v>
      </c>
      <c r="O303">
        <v>16000</v>
      </c>
      <c r="P303" t="b">
        <v>0</v>
      </c>
      <c r="Q303" t="b">
        <v>0</v>
      </c>
      <c r="R303" t="b">
        <v>0</v>
      </c>
      <c r="S303" t="s">
        <v>101</v>
      </c>
      <c r="T303" t="s">
        <v>1646</v>
      </c>
      <c r="U303">
        <v>47.004375000000003</v>
      </c>
      <c r="V303">
        <v>0</v>
      </c>
      <c r="W303">
        <v>0</v>
      </c>
      <c r="X303">
        <v>5</v>
      </c>
      <c r="Y303" s="6">
        <v>46113</v>
      </c>
      <c r="Z303">
        <v>1</v>
      </c>
    </row>
    <row r="304" spans="1:26" x14ac:dyDescent="0.3">
      <c r="A304" t="s">
        <v>409</v>
      </c>
      <c r="B304" s="5">
        <v>46057</v>
      </c>
      <c r="C304" s="5">
        <v>46059</v>
      </c>
      <c r="D304" s="5">
        <v>46061</v>
      </c>
      <c r="E304" s="5">
        <v>46061</v>
      </c>
      <c r="F304" t="s">
        <v>33</v>
      </c>
      <c r="G304" t="s">
        <v>62</v>
      </c>
      <c r="H304" t="s">
        <v>22</v>
      </c>
      <c r="I304" t="s">
        <v>43</v>
      </c>
      <c r="J304">
        <v>155.4</v>
      </c>
      <c r="K304">
        <v>2338.6</v>
      </c>
      <c r="L304">
        <v>3923000</v>
      </c>
      <c r="M304" t="b">
        <v>0</v>
      </c>
      <c r="N304" t="b">
        <v>0</v>
      </c>
      <c r="O304">
        <v>5000</v>
      </c>
      <c r="P304" t="b">
        <v>0</v>
      </c>
      <c r="Q304" t="b">
        <v>0</v>
      </c>
      <c r="R304" t="b">
        <v>0</v>
      </c>
      <c r="S304" t="s">
        <v>96</v>
      </c>
      <c r="T304" t="s">
        <v>1657</v>
      </c>
      <c r="U304">
        <v>46.771999999999998</v>
      </c>
      <c r="V304">
        <v>0</v>
      </c>
      <c r="W304">
        <v>0</v>
      </c>
      <c r="X304">
        <v>2</v>
      </c>
      <c r="Y304" s="6">
        <v>46054</v>
      </c>
    </row>
    <row r="305" spans="1:26" x14ac:dyDescent="0.3">
      <c r="A305" t="s">
        <v>410</v>
      </c>
      <c r="B305" s="5">
        <v>46199</v>
      </c>
      <c r="C305" s="5">
        <v>46199</v>
      </c>
      <c r="D305" s="5">
        <v>46201</v>
      </c>
      <c r="E305" s="5">
        <v>46202</v>
      </c>
      <c r="F305" t="s">
        <v>33</v>
      </c>
      <c r="G305" t="s">
        <v>62</v>
      </c>
      <c r="H305" t="s">
        <v>23</v>
      </c>
      <c r="I305" t="s">
        <v>42</v>
      </c>
      <c r="J305">
        <v>148</v>
      </c>
      <c r="K305">
        <v>2809.6</v>
      </c>
      <c r="L305">
        <v>4952000</v>
      </c>
      <c r="M305" t="b">
        <v>0</v>
      </c>
      <c r="N305" t="b">
        <v>0</v>
      </c>
      <c r="O305">
        <v>16000</v>
      </c>
      <c r="P305" t="b">
        <v>0</v>
      </c>
      <c r="Q305" t="b">
        <v>0</v>
      </c>
      <c r="R305" t="b">
        <v>0</v>
      </c>
      <c r="S305" t="s">
        <v>101</v>
      </c>
      <c r="T305" t="s">
        <v>1657</v>
      </c>
      <c r="U305">
        <v>17.559999999999999</v>
      </c>
      <c r="V305">
        <v>0</v>
      </c>
      <c r="W305">
        <v>0</v>
      </c>
      <c r="X305">
        <v>3</v>
      </c>
      <c r="Y305" s="6">
        <v>46174</v>
      </c>
      <c r="Z305">
        <v>1</v>
      </c>
    </row>
    <row r="306" spans="1:26" x14ac:dyDescent="0.3">
      <c r="A306" t="s">
        <v>411</v>
      </c>
      <c r="B306" s="5">
        <v>46184</v>
      </c>
      <c r="C306" s="5">
        <v>46184</v>
      </c>
      <c r="D306" s="5">
        <v>46188</v>
      </c>
      <c r="E306" s="5"/>
      <c r="F306" t="s">
        <v>34</v>
      </c>
      <c r="G306" t="s">
        <v>62</v>
      </c>
      <c r="H306" t="s">
        <v>23</v>
      </c>
      <c r="I306" t="s">
        <v>44</v>
      </c>
      <c r="J306">
        <v>819</v>
      </c>
      <c r="K306">
        <v>1081.4000000000001</v>
      </c>
      <c r="L306">
        <v>8760000</v>
      </c>
      <c r="M306" t="b">
        <v>0</v>
      </c>
      <c r="N306" t="b">
        <v>0</v>
      </c>
      <c r="O306">
        <v>1500</v>
      </c>
      <c r="P306" t="b">
        <v>0</v>
      </c>
      <c r="Q306" t="b">
        <v>0</v>
      </c>
      <c r="R306" t="b">
        <v>0</v>
      </c>
      <c r="S306" t="s">
        <v>203</v>
      </c>
      <c r="T306" t="s">
        <v>1649</v>
      </c>
      <c r="U306">
        <v>72.093333333333348</v>
      </c>
      <c r="V306">
        <v>0</v>
      </c>
      <c r="W306">
        <v>0</v>
      </c>
      <c r="Y306" s="6">
        <v>46174</v>
      </c>
    </row>
    <row r="307" spans="1:26" x14ac:dyDescent="0.3">
      <c r="A307" t="s">
        <v>412</v>
      </c>
      <c r="B307" s="5">
        <v>46075</v>
      </c>
      <c r="C307" s="5">
        <v>46076</v>
      </c>
      <c r="D307" s="5">
        <v>46080</v>
      </c>
      <c r="E307" s="5">
        <v>46081</v>
      </c>
      <c r="F307" t="s">
        <v>32</v>
      </c>
      <c r="G307" t="s">
        <v>56</v>
      </c>
      <c r="H307" t="s">
        <v>22</v>
      </c>
      <c r="I307" t="s">
        <v>43</v>
      </c>
      <c r="J307">
        <v>1161.4000000000001</v>
      </c>
      <c r="K307">
        <v>1244.5999999999999</v>
      </c>
      <c r="L307">
        <v>15952000</v>
      </c>
      <c r="M307" t="b">
        <v>0</v>
      </c>
      <c r="N307" t="b">
        <v>0</v>
      </c>
      <c r="O307">
        <v>5000</v>
      </c>
      <c r="P307" t="b">
        <v>0</v>
      </c>
      <c r="Q307" t="b">
        <v>0</v>
      </c>
      <c r="R307" t="b">
        <v>0</v>
      </c>
      <c r="S307" t="s">
        <v>101</v>
      </c>
      <c r="T307" t="s">
        <v>1658</v>
      </c>
      <c r="U307">
        <v>24.891999999999999</v>
      </c>
      <c r="V307">
        <v>0</v>
      </c>
      <c r="W307">
        <v>0</v>
      </c>
      <c r="X307">
        <v>5</v>
      </c>
      <c r="Y307" s="6">
        <v>46054</v>
      </c>
      <c r="Z307">
        <v>1</v>
      </c>
    </row>
    <row r="308" spans="1:26" x14ac:dyDescent="0.3">
      <c r="A308" t="s">
        <v>413</v>
      </c>
      <c r="B308" s="5">
        <v>46083</v>
      </c>
      <c r="C308" s="5">
        <v>46084</v>
      </c>
      <c r="D308" s="5">
        <v>46086</v>
      </c>
      <c r="E308" s="5">
        <v>46087</v>
      </c>
      <c r="F308" t="s">
        <v>34</v>
      </c>
      <c r="G308" t="s">
        <v>58</v>
      </c>
      <c r="H308" t="s">
        <v>20</v>
      </c>
      <c r="I308" t="s">
        <v>45</v>
      </c>
      <c r="J308">
        <v>137.19999999999999</v>
      </c>
      <c r="K308">
        <v>786.8</v>
      </c>
      <c r="L308">
        <v>1673000</v>
      </c>
      <c r="M308" t="b">
        <v>0</v>
      </c>
      <c r="N308" t="b">
        <v>0</v>
      </c>
      <c r="O308">
        <v>1000</v>
      </c>
      <c r="P308" t="b">
        <v>0</v>
      </c>
      <c r="Q308" t="b">
        <v>0</v>
      </c>
      <c r="R308" t="b">
        <v>0</v>
      </c>
      <c r="S308" t="s">
        <v>101</v>
      </c>
      <c r="T308" t="s">
        <v>1637</v>
      </c>
      <c r="U308">
        <v>78.679999999999993</v>
      </c>
      <c r="V308">
        <v>0</v>
      </c>
      <c r="W308">
        <v>0</v>
      </c>
      <c r="X308">
        <v>3</v>
      </c>
      <c r="Y308" s="6">
        <v>46082</v>
      </c>
      <c r="Z308">
        <v>1</v>
      </c>
    </row>
    <row r="309" spans="1:26" x14ac:dyDescent="0.3">
      <c r="A309" t="s">
        <v>414</v>
      </c>
      <c r="B309" s="5">
        <v>46126</v>
      </c>
      <c r="C309" s="5">
        <v>46128</v>
      </c>
      <c r="D309" s="5">
        <v>46131</v>
      </c>
      <c r="E309" s="5">
        <v>46132</v>
      </c>
      <c r="F309" t="s">
        <v>34</v>
      </c>
      <c r="G309" t="s">
        <v>59</v>
      </c>
      <c r="H309" t="s">
        <v>23</v>
      </c>
      <c r="I309" t="s">
        <v>43</v>
      </c>
      <c r="J309">
        <v>337.3</v>
      </c>
      <c r="K309">
        <v>582.20000000000005</v>
      </c>
      <c r="L309">
        <v>4374000</v>
      </c>
      <c r="M309" t="b">
        <v>0</v>
      </c>
      <c r="N309" t="b">
        <v>0</v>
      </c>
      <c r="O309">
        <v>5000</v>
      </c>
      <c r="P309" t="b">
        <v>0</v>
      </c>
      <c r="Q309" t="b">
        <v>0</v>
      </c>
      <c r="R309" t="b">
        <v>0</v>
      </c>
      <c r="S309" t="s">
        <v>101</v>
      </c>
      <c r="T309" t="s">
        <v>1616</v>
      </c>
      <c r="U309">
        <v>11.644</v>
      </c>
      <c r="V309">
        <v>0</v>
      </c>
      <c r="W309">
        <v>0</v>
      </c>
      <c r="X309">
        <v>4</v>
      </c>
      <c r="Y309" s="6">
        <v>46113</v>
      </c>
      <c r="Z309">
        <v>1</v>
      </c>
    </row>
    <row r="310" spans="1:26" x14ac:dyDescent="0.3">
      <c r="A310" t="s">
        <v>415</v>
      </c>
      <c r="B310" s="5">
        <v>46079</v>
      </c>
      <c r="C310" s="5">
        <v>46080</v>
      </c>
      <c r="D310" s="5">
        <v>46083</v>
      </c>
      <c r="E310" s="5">
        <v>46083</v>
      </c>
      <c r="F310" t="s">
        <v>33</v>
      </c>
      <c r="G310" t="s">
        <v>59</v>
      </c>
      <c r="H310" t="s">
        <v>21</v>
      </c>
      <c r="I310" t="s">
        <v>43</v>
      </c>
      <c r="J310">
        <v>495.6</v>
      </c>
      <c r="K310">
        <v>2208.1</v>
      </c>
      <c r="L310">
        <v>7039000</v>
      </c>
      <c r="M310" t="b">
        <v>0</v>
      </c>
      <c r="N310" t="b">
        <v>0</v>
      </c>
      <c r="O310">
        <v>5000</v>
      </c>
      <c r="P310" t="b">
        <v>0</v>
      </c>
      <c r="Q310" t="b">
        <v>0</v>
      </c>
      <c r="R310" t="b">
        <v>0</v>
      </c>
      <c r="S310" t="s">
        <v>96</v>
      </c>
      <c r="T310" t="s">
        <v>1648</v>
      </c>
      <c r="U310">
        <v>44.161999999999999</v>
      </c>
      <c r="V310">
        <v>0</v>
      </c>
      <c r="W310">
        <v>0</v>
      </c>
      <c r="X310">
        <v>3</v>
      </c>
      <c r="Y310" s="6">
        <v>46054</v>
      </c>
    </row>
    <row r="311" spans="1:26" x14ac:dyDescent="0.3">
      <c r="A311" t="s">
        <v>416</v>
      </c>
      <c r="B311" s="5">
        <v>46152</v>
      </c>
      <c r="C311" s="5">
        <v>46153</v>
      </c>
      <c r="D311" s="5">
        <v>46157</v>
      </c>
      <c r="E311" s="5">
        <v>46157</v>
      </c>
      <c r="F311" t="s">
        <v>34</v>
      </c>
      <c r="G311" t="s">
        <v>56</v>
      </c>
      <c r="H311" t="s">
        <v>22</v>
      </c>
      <c r="I311" t="s">
        <v>45</v>
      </c>
      <c r="J311">
        <v>833.3</v>
      </c>
      <c r="K311">
        <v>118.1</v>
      </c>
      <c r="L311">
        <v>9075000</v>
      </c>
      <c r="M311" t="b">
        <v>0</v>
      </c>
      <c r="N311" t="b">
        <v>0</v>
      </c>
      <c r="O311">
        <v>1000</v>
      </c>
      <c r="P311" t="b">
        <v>0</v>
      </c>
      <c r="Q311" t="b">
        <v>0</v>
      </c>
      <c r="R311" t="b">
        <v>0</v>
      </c>
      <c r="S311" t="s">
        <v>96</v>
      </c>
      <c r="T311" t="s">
        <v>1646</v>
      </c>
      <c r="U311">
        <v>11.81</v>
      </c>
      <c r="V311">
        <v>0</v>
      </c>
      <c r="W311">
        <v>0</v>
      </c>
      <c r="X311">
        <v>4</v>
      </c>
      <c r="Y311" s="6">
        <v>46143</v>
      </c>
    </row>
    <row r="312" spans="1:26" x14ac:dyDescent="0.3">
      <c r="A312" t="s">
        <v>417</v>
      </c>
      <c r="B312" s="5">
        <v>46197</v>
      </c>
      <c r="C312" s="5">
        <v>46199</v>
      </c>
      <c r="D312" s="5">
        <v>46201</v>
      </c>
      <c r="E312" s="5">
        <v>46200</v>
      </c>
      <c r="F312" t="s">
        <v>32</v>
      </c>
      <c r="G312" t="s">
        <v>61</v>
      </c>
      <c r="H312" t="s">
        <v>21</v>
      </c>
      <c r="I312" t="s">
        <v>43</v>
      </c>
      <c r="J312">
        <v>160.1</v>
      </c>
      <c r="K312">
        <v>3168.5</v>
      </c>
      <c r="L312">
        <v>4247000</v>
      </c>
      <c r="M312" t="b">
        <v>0</v>
      </c>
      <c r="N312" t="b">
        <v>0</v>
      </c>
      <c r="O312">
        <v>5000</v>
      </c>
      <c r="P312" t="b">
        <v>0</v>
      </c>
      <c r="Q312" t="b">
        <v>0</v>
      </c>
      <c r="R312" t="b">
        <v>0</v>
      </c>
      <c r="S312" t="s">
        <v>96</v>
      </c>
      <c r="T312" t="s">
        <v>1653</v>
      </c>
      <c r="U312">
        <v>63.37</v>
      </c>
      <c r="V312">
        <v>0</v>
      </c>
      <c r="W312">
        <v>0</v>
      </c>
      <c r="X312">
        <v>1</v>
      </c>
      <c r="Y312" s="6">
        <v>46174</v>
      </c>
    </row>
    <row r="313" spans="1:26" x14ac:dyDescent="0.3">
      <c r="A313" t="s">
        <v>418</v>
      </c>
      <c r="B313" s="5">
        <v>46059</v>
      </c>
      <c r="C313" s="5">
        <v>46059</v>
      </c>
      <c r="D313" s="5">
        <v>46061</v>
      </c>
      <c r="E313" s="5">
        <v>46062</v>
      </c>
      <c r="F313" t="s">
        <v>34</v>
      </c>
      <c r="G313" t="s">
        <v>58</v>
      </c>
      <c r="H313" t="s">
        <v>23</v>
      </c>
      <c r="I313" t="s">
        <v>42</v>
      </c>
      <c r="J313">
        <v>141.9</v>
      </c>
      <c r="K313">
        <v>10266.9</v>
      </c>
      <c r="L313">
        <v>5510000</v>
      </c>
      <c r="M313" t="b">
        <v>0</v>
      </c>
      <c r="N313" t="b">
        <v>0</v>
      </c>
      <c r="O313">
        <v>16000</v>
      </c>
      <c r="P313" t="b">
        <v>0</v>
      </c>
      <c r="Q313" t="b">
        <v>0</v>
      </c>
      <c r="R313" t="b">
        <v>0</v>
      </c>
      <c r="S313" t="s">
        <v>101</v>
      </c>
      <c r="T313" t="s">
        <v>1637</v>
      </c>
      <c r="U313">
        <v>64.168125000000003</v>
      </c>
      <c r="V313">
        <v>0</v>
      </c>
      <c r="W313">
        <v>0</v>
      </c>
      <c r="X313">
        <v>3</v>
      </c>
      <c r="Y313" s="6">
        <v>46054</v>
      </c>
      <c r="Z313">
        <v>1</v>
      </c>
    </row>
    <row r="314" spans="1:26" x14ac:dyDescent="0.3">
      <c r="A314" t="s">
        <v>419</v>
      </c>
      <c r="B314" s="5">
        <v>46114</v>
      </c>
      <c r="C314" s="5">
        <v>46115</v>
      </c>
      <c r="D314" s="5">
        <v>46120</v>
      </c>
      <c r="E314" s="5">
        <v>46122</v>
      </c>
      <c r="F314" t="s">
        <v>34</v>
      </c>
      <c r="G314" t="s">
        <v>56</v>
      </c>
      <c r="H314" t="s">
        <v>24</v>
      </c>
      <c r="I314" t="s">
        <v>42</v>
      </c>
      <c r="J314">
        <v>925.3</v>
      </c>
      <c r="K314">
        <v>9340.6</v>
      </c>
      <c r="L314">
        <v>19050000</v>
      </c>
      <c r="M314" t="b">
        <v>0</v>
      </c>
      <c r="N314" t="b">
        <v>0</v>
      </c>
      <c r="O314">
        <v>16000</v>
      </c>
      <c r="P314" t="b">
        <v>0</v>
      </c>
      <c r="Q314" t="b">
        <v>0</v>
      </c>
      <c r="R314" t="b">
        <v>0</v>
      </c>
      <c r="S314" t="s">
        <v>101</v>
      </c>
      <c r="T314" t="s">
        <v>1646</v>
      </c>
      <c r="U314">
        <v>58.378749999999997</v>
      </c>
      <c r="V314">
        <v>0</v>
      </c>
      <c r="W314">
        <v>0</v>
      </c>
      <c r="X314">
        <v>7</v>
      </c>
      <c r="Y314" s="6">
        <v>46113</v>
      </c>
      <c r="Z314">
        <v>2</v>
      </c>
    </row>
    <row r="315" spans="1:26" x14ac:dyDescent="0.3">
      <c r="A315" t="s">
        <v>420</v>
      </c>
      <c r="B315" s="5">
        <v>46065</v>
      </c>
      <c r="C315" s="5">
        <v>46066</v>
      </c>
      <c r="D315" s="5">
        <v>46069</v>
      </c>
      <c r="E315" s="5">
        <v>46069</v>
      </c>
      <c r="F315" t="s">
        <v>34</v>
      </c>
      <c r="G315" t="s">
        <v>52</v>
      </c>
      <c r="H315" t="s">
        <v>21</v>
      </c>
      <c r="I315" t="s">
        <v>44</v>
      </c>
      <c r="J315">
        <v>277.5</v>
      </c>
      <c r="K315">
        <v>569.4</v>
      </c>
      <c r="L315">
        <v>3383000</v>
      </c>
      <c r="M315" t="b">
        <v>0</v>
      </c>
      <c r="N315" t="b">
        <v>0</v>
      </c>
      <c r="O315">
        <v>1500</v>
      </c>
      <c r="P315" t="b">
        <v>0</v>
      </c>
      <c r="Q315" t="b">
        <v>0</v>
      </c>
      <c r="R315" t="b">
        <v>0</v>
      </c>
      <c r="S315" t="s">
        <v>96</v>
      </c>
      <c r="T315" t="s">
        <v>1623</v>
      </c>
      <c r="U315">
        <v>37.96</v>
      </c>
      <c r="V315">
        <v>0</v>
      </c>
      <c r="W315">
        <v>0</v>
      </c>
      <c r="X315">
        <v>3</v>
      </c>
      <c r="Y315" s="6">
        <v>46054</v>
      </c>
    </row>
    <row r="316" spans="1:26" x14ac:dyDescent="0.3">
      <c r="A316" t="s">
        <v>421</v>
      </c>
      <c r="B316" s="5">
        <v>46038</v>
      </c>
      <c r="C316" s="5">
        <v>46038</v>
      </c>
      <c r="D316" s="5">
        <v>46039</v>
      </c>
      <c r="E316" s="5">
        <v>46040</v>
      </c>
      <c r="F316" t="s">
        <v>32</v>
      </c>
      <c r="G316" t="s">
        <v>57</v>
      </c>
      <c r="H316" t="s">
        <v>20</v>
      </c>
      <c r="I316" t="s">
        <v>43</v>
      </c>
      <c r="J316">
        <v>23</v>
      </c>
      <c r="K316">
        <v>2795</v>
      </c>
      <c r="L316">
        <v>2039000</v>
      </c>
      <c r="M316" t="b">
        <v>0</v>
      </c>
      <c r="N316" t="b">
        <v>0</v>
      </c>
      <c r="O316">
        <v>5000</v>
      </c>
      <c r="P316" t="b">
        <v>0</v>
      </c>
      <c r="Q316" t="b">
        <v>0</v>
      </c>
      <c r="R316" t="b">
        <v>0</v>
      </c>
      <c r="S316" t="s">
        <v>101</v>
      </c>
      <c r="T316" t="s">
        <v>1630</v>
      </c>
      <c r="U316">
        <v>55.900000000000013</v>
      </c>
      <c r="V316">
        <v>0</v>
      </c>
      <c r="W316">
        <v>0</v>
      </c>
      <c r="X316">
        <v>2</v>
      </c>
      <c r="Y316" s="6">
        <v>46023</v>
      </c>
      <c r="Z316">
        <v>1</v>
      </c>
    </row>
    <row r="317" spans="1:26" x14ac:dyDescent="0.3">
      <c r="A317" t="s">
        <v>422</v>
      </c>
      <c r="B317" s="5">
        <v>46194</v>
      </c>
      <c r="C317" s="5">
        <v>46195</v>
      </c>
      <c r="D317" s="5">
        <v>46198</v>
      </c>
      <c r="E317" s="5">
        <v>46198</v>
      </c>
      <c r="F317" t="s">
        <v>33</v>
      </c>
      <c r="G317" t="s">
        <v>59</v>
      </c>
      <c r="H317" t="s">
        <v>23</v>
      </c>
      <c r="I317" t="s">
        <v>43</v>
      </c>
      <c r="J317">
        <v>488.8</v>
      </c>
      <c r="K317">
        <v>4315.7</v>
      </c>
      <c r="L317">
        <v>8161000</v>
      </c>
      <c r="M317" t="b">
        <v>0</v>
      </c>
      <c r="N317" t="b">
        <v>0</v>
      </c>
      <c r="O317">
        <v>5000</v>
      </c>
      <c r="P317" t="b">
        <v>0</v>
      </c>
      <c r="Q317" t="b">
        <v>0</v>
      </c>
      <c r="R317" t="b">
        <v>0</v>
      </c>
      <c r="S317" t="s">
        <v>96</v>
      </c>
      <c r="T317" t="s">
        <v>1648</v>
      </c>
      <c r="U317">
        <v>86.314000000000007</v>
      </c>
      <c r="V317">
        <v>0</v>
      </c>
      <c r="W317">
        <v>0</v>
      </c>
      <c r="X317">
        <v>3</v>
      </c>
      <c r="Y317" s="6">
        <v>46174</v>
      </c>
    </row>
    <row r="318" spans="1:26" x14ac:dyDescent="0.3">
      <c r="A318" t="s">
        <v>423</v>
      </c>
      <c r="B318" s="5">
        <v>46092</v>
      </c>
      <c r="C318" s="5">
        <v>46093</v>
      </c>
      <c r="D318" s="5">
        <v>46096</v>
      </c>
      <c r="E318" s="5">
        <v>46096</v>
      </c>
      <c r="F318" t="s">
        <v>33</v>
      </c>
      <c r="G318" t="s">
        <v>57</v>
      </c>
      <c r="H318" t="s">
        <v>20</v>
      </c>
      <c r="I318" t="s">
        <v>43</v>
      </c>
      <c r="J318">
        <v>510.8</v>
      </c>
      <c r="K318">
        <v>4275.1000000000004</v>
      </c>
      <c r="L318">
        <v>8992000</v>
      </c>
      <c r="M318" t="b">
        <v>0</v>
      </c>
      <c r="N318" t="b">
        <v>0</v>
      </c>
      <c r="O318">
        <v>5000</v>
      </c>
      <c r="P318" t="b">
        <v>0</v>
      </c>
      <c r="Q318" t="b">
        <v>0</v>
      </c>
      <c r="R318" t="b">
        <v>0</v>
      </c>
      <c r="S318" t="s">
        <v>96</v>
      </c>
      <c r="T318" t="s">
        <v>1624</v>
      </c>
      <c r="U318">
        <v>85.50200000000001</v>
      </c>
      <c r="V318">
        <v>0</v>
      </c>
      <c r="W318">
        <v>0</v>
      </c>
      <c r="X318">
        <v>3</v>
      </c>
      <c r="Y318" s="6">
        <v>46082</v>
      </c>
    </row>
    <row r="319" spans="1:26" x14ac:dyDescent="0.3">
      <c r="A319" t="s">
        <v>424</v>
      </c>
      <c r="B319" s="5">
        <v>46142</v>
      </c>
      <c r="C319" s="5">
        <v>46143</v>
      </c>
      <c r="D319" s="5">
        <v>46144</v>
      </c>
      <c r="E319" s="5">
        <v>46145</v>
      </c>
      <c r="F319" t="s">
        <v>33</v>
      </c>
      <c r="G319" t="s">
        <v>60</v>
      </c>
      <c r="H319" t="s">
        <v>21</v>
      </c>
      <c r="I319" t="s">
        <v>43</v>
      </c>
      <c r="J319">
        <v>27.5</v>
      </c>
      <c r="K319">
        <v>2421.5</v>
      </c>
      <c r="L319">
        <v>1968000</v>
      </c>
      <c r="M319" t="b">
        <v>0</v>
      </c>
      <c r="N319" t="b">
        <v>0</v>
      </c>
      <c r="O319">
        <v>5000</v>
      </c>
      <c r="P319" t="b">
        <v>0</v>
      </c>
      <c r="Q319" t="b">
        <v>0</v>
      </c>
      <c r="R319" t="b">
        <v>0</v>
      </c>
      <c r="S319" t="s">
        <v>101</v>
      </c>
      <c r="T319" t="s">
        <v>1650</v>
      </c>
      <c r="U319">
        <v>48.43</v>
      </c>
      <c r="V319">
        <v>0</v>
      </c>
      <c r="W319">
        <v>0</v>
      </c>
      <c r="X319">
        <v>2</v>
      </c>
      <c r="Y319" s="6">
        <v>46143</v>
      </c>
      <c r="Z319">
        <v>1</v>
      </c>
    </row>
    <row r="320" spans="1:26" x14ac:dyDescent="0.3">
      <c r="A320" t="s">
        <v>425</v>
      </c>
      <c r="B320" s="5">
        <v>46082</v>
      </c>
      <c r="C320" s="5">
        <v>46083</v>
      </c>
      <c r="D320" s="5">
        <v>46085</v>
      </c>
      <c r="E320" s="5">
        <v>46085</v>
      </c>
      <c r="F320" t="s">
        <v>31</v>
      </c>
      <c r="G320" t="s">
        <v>58</v>
      </c>
      <c r="H320" t="s">
        <v>20</v>
      </c>
      <c r="I320" t="s">
        <v>42</v>
      </c>
      <c r="J320">
        <v>202.7</v>
      </c>
      <c r="K320">
        <v>12329.6</v>
      </c>
      <c r="L320">
        <v>7800000</v>
      </c>
      <c r="M320" t="b">
        <v>0</v>
      </c>
      <c r="N320" t="b">
        <v>0</v>
      </c>
      <c r="O320">
        <v>16000</v>
      </c>
      <c r="P320" t="b">
        <v>0</v>
      </c>
      <c r="Q320" t="b">
        <v>0</v>
      </c>
      <c r="R320" t="b">
        <v>0</v>
      </c>
      <c r="S320" t="s">
        <v>96</v>
      </c>
      <c r="T320" t="s">
        <v>1621</v>
      </c>
      <c r="U320">
        <v>77.06</v>
      </c>
      <c r="V320">
        <v>0</v>
      </c>
      <c r="W320">
        <v>0</v>
      </c>
      <c r="X320">
        <v>2</v>
      </c>
      <c r="Y320" s="6">
        <v>46082</v>
      </c>
    </row>
    <row r="321" spans="1:26" x14ac:dyDescent="0.3">
      <c r="A321" t="s">
        <v>426</v>
      </c>
      <c r="B321" s="5">
        <v>46121</v>
      </c>
      <c r="C321" s="5">
        <v>46122</v>
      </c>
      <c r="D321" s="5">
        <v>46124</v>
      </c>
      <c r="E321" s="5">
        <v>46124</v>
      </c>
      <c r="F321" t="s">
        <v>34</v>
      </c>
      <c r="G321" t="s">
        <v>58</v>
      </c>
      <c r="H321" t="s">
        <v>21</v>
      </c>
      <c r="I321" t="s">
        <v>43</v>
      </c>
      <c r="J321">
        <v>153.4</v>
      </c>
      <c r="K321">
        <v>2310.6</v>
      </c>
      <c r="L321">
        <v>3750000</v>
      </c>
      <c r="M321" t="b">
        <v>0</v>
      </c>
      <c r="N321" t="b">
        <v>0</v>
      </c>
      <c r="O321">
        <v>5000</v>
      </c>
      <c r="P321" t="b">
        <v>0</v>
      </c>
      <c r="Q321" t="b">
        <v>0</v>
      </c>
      <c r="R321" t="b">
        <v>0</v>
      </c>
      <c r="S321" t="s">
        <v>96</v>
      </c>
      <c r="T321" t="s">
        <v>1637</v>
      </c>
      <c r="U321">
        <v>46.212000000000003</v>
      </c>
      <c r="V321">
        <v>0</v>
      </c>
      <c r="W321">
        <v>0</v>
      </c>
      <c r="X321">
        <v>2</v>
      </c>
      <c r="Y321" s="6">
        <v>46113</v>
      </c>
    </row>
    <row r="322" spans="1:26" x14ac:dyDescent="0.3">
      <c r="A322" t="s">
        <v>427</v>
      </c>
      <c r="B322" s="5">
        <v>46078</v>
      </c>
      <c r="C322" s="5">
        <v>46079</v>
      </c>
      <c r="D322" s="5">
        <v>46082</v>
      </c>
      <c r="E322" s="5"/>
      <c r="F322" t="s">
        <v>31</v>
      </c>
      <c r="G322" t="s">
        <v>63</v>
      </c>
      <c r="H322" t="s">
        <v>20</v>
      </c>
      <c r="I322" t="s">
        <v>43</v>
      </c>
      <c r="J322">
        <v>321.5</v>
      </c>
      <c r="K322">
        <v>942.1</v>
      </c>
      <c r="L322">
        <v>5092000</v>
      </c>
      <c r="M322" t="b">
        <v>0</v>
      </c>
      <c r="N322" t="b">
        <v>0</v>
      </c>
      <c r="O322">
        <v>5000</v>
      </c>
      <c r="P322" t="b">
        <v>0</v>
      </c>
      <c r="Q322" t="b">
        <v>0</v>
      </c>
      <c r="R322" t="b">
        <v>0</v>
      </c>
      <c r="S322" t="s">
        <v>203</v>
      </c>
      <c r="T322" t="s">
        <v>1640</v>
      </c>
      <c r="U322">
        <v>18.841999999999999</v>
      </c>
      <c r="V322">
        <v>0</v>
      </c>
      <c r="W322">
        <v>0</v>
      </c>
      <c r="Y322" s="6">
        <v>46054</v>
      </c>
    </row>
    <row r="323" spans="1:26" x14ac:dyDescent="0.3">
      <c r="A323" t="s">
        <v>428</v>
      </c>
      <c r="B323" s="5">
        <v>46189</v>
      </c>
      <c r="C323" s="5">
        <v>46190</v>
      </c>
      <c r="D323" s="5">
        <v>46194</v>
      </c>
      <c r="E323" s="5">
        <v>46194</v>
      </c>
      <c r="F323" t="s">
        <v>34</v>
      </c>
      <c r="G323" t="s">
        <v>62</v>
      </c>
      <c r="H323" t="s">
        <v>20</v>
      </c>
      <c r="I323" t="s">
        <v>44</v>
      </c>
      <c r="J323">
        <v>760.4</v>
      </c>
      <c r="K323">
        <v>1255.7</v>
      </c>
      <c r="L323">
        <v>7995000</v>
      </c>
      <c r="M323" t="b">
        <v>0</v>
      </c>
      <c r="N323" t="b">
        <v>0</v>
      </c>
      <c r="O323">
        <v>1500</v>
      </c>
      <c r="P323" t="b">
        <v>0</v>
      </c>
      <c r="Q323" t="b">
        <v>0</v>
      </c>
      <c r="R323" t="b">
        <v>0</v>
      </c>
      <c r="S323" t="s">
        <v>96</v>
      </c>
      <c r="T323" t="s">
        <v>1649</v>
      </c>
      <c r="U323">
        <v>83.713333333333338</v>
      </c>
      <c r="V323">
        <v>0</v>
      </c>
      <c r="W323">
        <v>0</v>
      </c>
      <c r="X323">
        <v>4</v>
      </c>
      <c r="Y323" s="6">
        <v>46174</v>
      </c>
    </row>
    <row r="324" spans="1:26" x14ac:dyDescent="0.3">
      <c r="A324" t="s">
        <v>429</v>
      </c>
      <c r="B324" s="5">
        <v>46141</v>
      </c>
      <c r="C324" s="5">
        <v>46142</v>
      </c>
      <c r="D324" s="5">
        <v>46145</v>
      </c>
      <c r="E324" s="5">
        <v>46146</v>
      </c>
      <c r="F324" t="s">
        <v>33</v>
      </c>
      <c r="G324" t="s">
        <v>59</v>
      </c>
      <c r="H324" t="s">
        <v>107</v>
      </c>
      <c r="I324" t="s">
        <v>45</v>
      </c>
      <c r="J324">
        <v>460</v>
      </c>
      <c r="K324">
        <v>204.8</v>
      </c>
      <c r="L324">
        <v>4481000</v>
      </c>
      <c r="M324" t="b">
        <v>0</v>
      </c>
      <c r="N324" t="b">
        <v>0</v>
      </c>
      <c r="O324">
        <v>1000</v>
      </c>
      <c r="P324" t="b">
        <v>0</v>
      </c>
      <c r="Q324" t="b">
        <v>0</v>
      </c>
      <c r="R324" t="b">
        <v>0</v>
      </c>
      <c r="S324" t="s">
        <v>101</v>
      </c>
      <c r="T324" t="s">
        <v>1648</v>
      </c>
      <c r="U324">
        <v>20.48</v>
      </c>
      <c r="V324">
        <v>0</v>
      </c>
      <c r="W324">
        <v>0</v>
      </c>
      <c r="X324">
        <v>4</v>
      </c>
      <c r="Y324" s="6">
        <v>46113</v>
      </c>
      <c r="Z324">
        <v>1</v>
      </c>
    </row>
    <row r="325" spans="1:26" x14ac:dyDescent="0.3">
      <c r="A325" t="s">
        <v>430</v>
      </c>
      <c r="B325" s="5">
        <v>46121</v>
      </c>
      <c r="C325" s="5">
        <v>46123</v>
      </c>
      <c r="D325" s="5">
        <v>46128</v>
      </c>
      <c r="E325" s="5"/>
      <c r="F325" t="s">
        <v>34</v>
      </c>
      <c r="G325" t="s">
        <v>62</v>
      </c>
      <c r="H325" t="s">
        <v>23</v>
      </c>
      <c r="I325" t="s">
        <v>44</v>
      </c>
      <c r="J325">
        <v>789</v>
      </c>
      <c r="K325">
        <v>1221</v>
      </c>
      <c r="L325">
        <v>8857000</v>
      </c>
      <c r="M325" t="b">
        <v>0</v>
      </c>
      <c r="N325" t="b">
        <v>0</v>
      </c>
      <c r="O325">
        <v>1500</v>
      </c>
      <c r="P325" t="b">
        <v>0</v>
      </c>
      <c r="Q325" t="b">
        <v>0</v>
      </c>
      <c r="R325" t="b">
        <v>0</v>
      </c>
      <c r="S325" t="s">
        <v>203</v>
      </c>
      <c r="T325" t="s">
        <v>1649</v>
      </c>
      <c r="U325">
        <v>81.399999999999991</v>
      </c>
      <c r="V325">
        <v>0</v>
      </c>
      <c r="W325">
        <v>0</v>
      </c>
      <c r="Y325" s="6">
        <v>46113</v>
      </c>
    </row>
    <row r="326" spans="1:26" x14ac:dyDescent="0.3">
      <c r="A326" t="s">
        <v>431</v>
      </c>
      <c r="B326" s="5">
        <v>46201</v>
      </c>
      <c r="C326" s="5">
        <v>46202</v>
      </c>
      <c r="D326" s="5">
        <v>46205</v>
      </c>
      <c r="E326" s="5">
        <v>46205</v>
      </c>
      <c r="F326" t="s">
        <v>31</v>
      </c>
      <c r="G326" t="s">
        <v>53</v>
      </c>
      <c r="H326" t="s">
        <v>20</v>
      </c>
      <c r="I326" t="s">
        <v>42</v>
      </c>
      <c r="J326">
        <v>312.10000000000002</v>
      </c>
      <c r="K326">
        <v>13364.1</v>
      </c>
      <c r="L326">
        <v>10747000</v>
      </c>
      <c r="M326" t="b">
        <v>0</v>
      </c>
      <c r="N326" t="b">
        <v>0</v>
      </c>
      <c r="O326">
        <v>16000</v>
      </c>
      <c r="P326" t="b">
        <v>0</v>
      </c>
      <c r="Q326" t="b">
        <v>0</v>
      </c>
      <c r="R326" t="b">
        <v>0</v>
      </c>
      <c r="S326" t="s">
        <v>96</v>
      </c>
      <c r="T326" t="s">
        <v>1627</v>
      </c>
      <c r="U326">
        <v>83.525625000000005</v>
      </c>
      <c r="V326">
        <v>0</v>
      </c>
      <c r="W326">
        <v>0</v>
      </c>
      <c r="X326">
        <v>3</v>
      </c>
      <c r="Y326" s="6">
        <v>46174</v>
      </c>
    </row>
    <row r="327" spans="1:26" x14ac:dyDescent="0.3">
      <c r="A327" t="s">
        <v>432</v>
      </c>
      <c r="B327" s="5">
        <v>46040</v>
      </c>
      <c r="C327" s="5">
        <v>46041</v>
      </c>
      <c r="D327" s="5">
        <v>46045</v>
      </c>
      <c r="E327" s="5">
        <v>46045</v>
      </c>
      <c r="F327" t="s">
        <v>31</v>
      </c>
      <c r="G327" t="s">
        <v>60</v>
      </c>
      <c r="H327" t="s">
        <v>23</v>
      </c>
      <c r="I327" t="s">
        <v>43</v>
      </c>
      <c r="J327">
        <v>631</v>
      </c>
      <c r="K327">
        <v>3738.1</v>
      </c>
      <c r="L327">
        <v>8659000</v>
      </c>
      <c r="M327" t="b">
        <v>0</v>
      </c>
      <c r="N327" t="b">
        <v>0</v>
      </c>
      <c r="O327">
        <v>5000</v>
      </c>
      <c r="P327" t="b">
        <v>0</v>
      </c>
      <c r="Q327" t="b">
        <v>0</v>
      </c>
      <c r="R327" t="b">
        <v>0</v>
      </c>
      <c r="S327" t="s">
        <v>96</v>
      </c>
      <c r="T327" t="s">
        <v>1652</v>
      </c>
      <c r="U327">
        <v>74.762</v>
      </c>
      <c r="V327">
        <v>0</v>
      </c>
      <c r="W327">
        <v>0</v>
      </c>
      <c r="X327">
        <v>4</v>
      </c>
      <c r="Y327" s="6">
        <v>46023</v>
      </c>
    </row>
    <row r="328" spans="1:26" x14ac:dyDescent="0.3">
      <c r="A328" t="s">
        <v>433</v>
      </c>
      <c r="B328" s="5">
        <v>46203</v>
      </c>
      <c r="C328" s="5">
        <v>46204</v>
      </c>
      <c r="D328" s="5">
        <v>46205</v>
      </c>
      <c r="E328" s="5">
        <v>46207</v>
      </c>
      <c r="F328" t="s">
        <v>34</v>
      </c>
      <c r="G328" t="s">
        <v>55</v>
      </c>
      <c r="H328" t="s">
        <v>22</v>
      </c>
      <c r="I328" t="s">
        <v>44</v>
      </c>
      <c r="J328">
        <v>54</v>
      </c>
      <c r="K328">
        <v>429.1</v>
      </c>
      <c r="L328">
        <v>1376000</v>
      </c>
      <c r="M328" t="b">
        <v>0</v>
      </c>
      <c r="N328" t="b">
        <v>0</v>
      </c>
      <c r="O328">
        <v>1500</v>
      </c>
      <c r="P328" t="b">
        <v>0</v>
      </c>
      <c r="Q328" t="b">
        <v>0</v>
      </c>
      <c r="R328" t="b">
        <v>0</v>
      </c>
      <c r="S328" t="s">
        <v>101</v>
      </c>
      <c r="T328" t="s">
        <v>1639</v>
      </c>
      <c r="U328">
        <v>28.606666666666669</v>
      </c>
      <c r="V328">
        <v>0</v>
      </c>
      <c r="W328">
        <v>0</v>
      </c>
      <c r="X328">
        <v>3</v>
      </c>
      <c r="Y328" s="6">
        <v>46204</v>
      </c>
      <c r="Z328">
        <v>2</v>
      </c>
    </row>
    <row r="329" spans="1:26" x14ac:dyDescent="0.3">
      <c r="A329" t="s">
        <v>434</v>
      </c>
      <c r="B329" s="5">
        <v>46128</v>
      </c>
      <c r="C329" s="5">
        <v>46129</v>
      </c>
      <c r="D329" s="5">
        <v>46132</v>
      </c>
      <c r="E329" s="5">
        <v>46132</v>
      </c>
      <c r="F329" t="s">
        <v>34</v>
      </c>
      <c r="G329" t="s">
        <v>63</v>
      </c>
      <c r="H329" t="s">
        <v>23</v>
      </c>
      <c r="I329" t="s">
        <v>45</v>
      </c>
      <c r="J329">
        <v>331.8</v>
      </c>
      <c r="K329">
        <v>469.1</v>
      </c>
      <c r="L329">
        <v>3714000</v>
      </c>
      <c r="M329" t="b">
        <v>0</v>
      </c>
      <c r="N329" t="b">
        <v>0</v>
      </c>
      <c r="O329">
        <v>1000</v>
      </c>
      <c r="P329" t="b">
        <v>0</v>
      </c>
      <c r="Q329" t="b">
        <v>0</v>
      </c>
      <c r="R329" t="b">
        <v>0</v>
      </c>
      <c r="S329" t="s">
        <v>96</v>
      </c>
      <c r="T329" t="s">
        <v>1613</v>
      </c>
      <c r="U329">
        <v>46.91</v>
      </c>
      <c r="V329">
        <v>0</v>
      </c>
      <c r="W329">
        <v>0</v>
      </c>
      <c r="X329">
        <v>3</v>
      </c>
      <c r="Y329" s="6">
        <v>46113</v>
      </c>
    </row>
    <row r="330" spans="1:26" x14ac:dyDescent="0.3">
      <c r="A330" t="s">
        <v>435</v>
      </c>
      <c r="B330" s="5">
        <v>46126</v>
      </c>
      <c r="C330" s="5">
        <v>46127</v>
      </c>
      <c r="D330" s="5">
        <v>46129</v>
      </c>
      <c r="E330" s="5">
        <v>46131</v>
      </c>
      <c r="F330" t="s">
        <v>32</v>
      </c>
      <c r="G330" t="s">
        <v>55</v>
      </c>
      <c r="H330" t="s">
        <v>107</v>
      </c>
      <c r="I330" t="s">
        <v>43</v>
      </c>
      <c r="J330">
        <v>129.69999999999999</v>
      </c>
      <c r="K330">
        <v>3281.8</v>
      </c>
      <c r="L330">
        <v>3167000</v>
      </c>
      <c r="M330" t="b">
        <v>0</v>
      </c>
      <c r="N330" t="b">
        <v>0</v>
      </c>
      <c r="O330">
        <v>5000</v>
      </c>
      <c r="P330" t="b">
        <v>0</v>
      </c>
      <c r="Q330" t="b">
        <v>0</v>
      </c>
      <c r="R330" t="b">
        <v>0</v>
      </c>
      <c r="S330" t="s">
        <v>101</v>
      </c>
      <c r="T330" t="s">
        <v>1633</v>
      </c>
      <c r="U330">
        <v>65.63600000000001</v>
      </c>
      <c r="V330">
        <v>0</v>
      </c>
      <c r="W330">
        <v>0</v>
      </c>
      <c r="X330">
        <v>4</v>
      </c>
      <c r="Y330" s="6">
        <v>46113</v>
      </c>
      <c r="Z330">
        <v>2</v>
      </c>
    </row>
    <row r="331" spans="1:26" x14ac:dyDescent="0.3">
      <c r="A331" t="s">
        <v>436</v>
      </c>
      <c r="B331" s="5">
        <v>46146</v>
      </c>
      <c r="C331" s="5">
        <v>46148</v>
      </c>
      <c r="D331" s="5">
        <v>46152</v>
      </c>
      <c r="E331" s="5">
        <v>46153</v>
      </c>
      <c r="F331" t="s">
        <v>33</v>
      </c>
      <c r="G331" t="s">
        <v>56</v>
      </c>
      <c r="H331" t="s">
        <v>22</v>
      </c>
      <c r="I331" t="s">
        <v>45</v>
      </c>
      <c r="J331">
        <v>1537</v>
      </c>
      <c r="K331">
        <v>376</v>
      </c>
      <c r="L331">
        <v>13329000</v>
      </c>
      <c r="M331" t="b">
        <v>0</v>
      </c>
      <c r="N331" t="b">
        <v>0</v>
      </c>
      <c r="O331">
        <v>1000</v>
      </c>
      <c r="P331" t="b">
        <v>0</v>
      </c>
      <c r="Q331" t="b">
        <v>0</v>
      </c>
      <c r="R331" t="b">
        <v>0</v>
      </c>
      <c r="S331" t="s">
        <v>101</v>
      </c>
      <c r="T331" t="s">
        <v>1654</v>
      </c>
      <c r="U331">
        <v>37.6</v>
      </c>
      <c r="V331">
        <v>0</v>
      </c>
      <c r="W331">
        <v>0</v>
      </c>
      <c r="X331">
        <v>5</v>
      </c>
      <c r="Y331" s="6">
        <v>46143</v>
      </c>
      <c r="Z331">
        <v>1</v>
      </c>
    </row>
    <row r="332" spans="1:26" x14ac:dyDescent="0.3">
      <c r="A332" t="s">
        <v>437</v>
      </c>
      <c r="B332" s="5">
        <v>46117</v>
      </c>
      <c r="C332" s="5">
        <v>46118</v>
      </c>
      <c r="D332" s="5">
        <v>46120</v>
      </c>
      <c r="E332" s="5">
        <v>46122</v>
      </c>
      <c r="F332" t="s">
        <v>34</v>
      </c>
      <c r="G332" t="s">
        <v>57</v>
      </c>
      <c r="H332" t="s">
        <v>23</v>
      </c>
      <c r="I332" t="s">
        <v>43</v>
      </c>
      <c r="J332">
        <v>157.5</v>
      </c>
      <c r="K332">
        <v>2541.6999999999998</v>
      </c>
      <c r="L332">
        <v>3049000</v>
      </c>
      <c r="M332" t="b">
        <v>0</v>
      </c>
      <c r="N332" t="b">
        <v>0</v>
      </c>
      <c r="O332">
        <v>5000</v>
      </c>
      <c r="P332" t="b">
        <v>0</v>
      </c>
      <c r="Q332" t="b">
        <v>0</v>
      </c>
      <c r="R332" t="b">
        <v>0</v>
      </c>
      <c r="S332" t="s">
        <v>101</v>
      </c>
      <c r="T332" t="s">
        <v>1620</v>
      </c>
      <c r="U332">
        <v>50.834000000000003</v>
      </c>
      <c r="V332">
        <v>0</v>
      </c>
      <c r="W332">
        <v>0</v>
      </c>
      <c r="X332">
        <v>4</v>
      </c>
      <c r="Y332" s="6">
        <v>46113</v>
      </c>
      <c r="Z332">
        <v>2</v>
      </c>
    </row>
    <row r="333" spans="1:26" x14ac:dyDescent="0.3">
      <c r="A333" t="s">
        <v>438</v>
      </c>
      <c r="B333" s="5">
        <v>46049</v>
      </c>
      <c r="C333" s="5">
        <v>46050</v>
      </c>
      <c r="D333" s="5">
        <v>46053</v>
      </c>
      <c r="E333" s="5">
        <v>46053</v>
      </c>
      <c r="F333" t="s">
        <v>33</v>
      </c>
      <c r="G333" t="s">
        <v>59</v>
      </c>
      <c r="H333" t="s">
        <v>24</v>
      </c>
      <c r="I333" t="s">
        <v>43</v>
      </c>
      <c r="J333">
        <v>469.8</v>
      </c>
      <c r="K333">
        <v>3053.8</v>
      </c>
      <c r="L333">
        <v>5624000</v>
      </c>
      <c r="M333" t="b">
        <v>0</v>
      </c>
      <c r="N333" t="b">
        <v>0</v>
      </c>
      <c r="O333">
        <v>5000</v>
      </c>
      <c r="P333" t="b">
        <v>0</v>
      </c>
      <c r="Q333" t="b">
        <v>0</v>
      </c>
      <c r="R333" t="b">
        <v>0</v>
      </c>
      <c r="S333" t="s">
        <v>96</v>
      </c>
      <c r="T333" t="s">
        <v>1648</v>
      </c>
      <c r="U333">
        <v>61.076000000000008</v>
      </c>
      <c r="V333">
        <v>0</v>
      </c>
      <c r="W333">
        <v>0</v>
      </c>
      <c r="X333">
        <v>3</v>
      </c>
      <c r="Y333" s="6">
        <v>46023</v>
      </c>
    </row>
    <row r="334" spans="1:26" x14ac:dyDescent="0.3">
      <c r="A334" t="s">
        <v>439</v>
      </c>
      <c r="B334" s="5">
        <v>46086</v>
      </c>
      <c r="C334" s="5">
        <v>46087</v>
      </c>
      <c r="D334" s="5">
        <v>46089</v>
      </c>
      <c r="E334" s="5">
        <v>46089</v>
      </c>
      <c r="F334" t="s">
        <v>32</v>
      </c>
      <c r="G334" t="s">
        <v>59</v>
      </c>
      <c r="H334" t="s">
        <v>21</v>
      </c>
      <c r="I334" t="s">
        <v>43</v>
      </c>
      <c r="J334">
        <v>178.4</v>
      </c>
      <c r="K334">
        <v>4138.1000000000004</v>
      </c>
      <c r="L334">
        <v>4491000</v>
      </c>
      <c r="M334" t="b">
        <v>0</v>
      </c>
      <c r="N334" t="b">
        <v>0</v>
      </c>
      <c r="O334">
        <v>5000</v>
      </c>
      <c r="P334" t="b">
        <v>0</v>
      </c>
      <c r="Q334" t="b">
        <v>0</v>
      </c>
      <c r="R334" t="b">
        <v>0</v>
      </c>
      <c r="S334" t="s">
        <v>96</v>
      </c>
      <c r="T334" t="s">
        <v>1619</v>
      </c>
      <c r="U334">
        <v>82.762</v>
      </c>
      <c r="V334">
        <v>0</v>
      </c>
      <c r="W334">
        <v>0</v>
      </c>
      <c r="X334">
        <v>2</v>
      </c>
      <c r="Y334" s="6">
        <v>46082</v>
      </c>
    </row>
    <row r="335" spans="1:26" x14ac:dyDescent="0.3">
      <c r="A335" t="s">
        <v>440</v>
      </c>
      <c r="B335" s="5">
        <v>46127</v>
      </c>
      <c r="C335" s="5">
        <v>46128</v>
      </c>
      <c r="D335" s="5">
        <v>46129</v>
      </c>
      <c r="E335" s="5">
        <v>46129</v>
      </c>
      <c r="F335" t="s">
        <v>31</v>
      </c>
      <c r="G335" t="s">
        <v>61</v>
      </c>
      <c r="H335" t="s">
        <v>22</v>
      </c>
      <c r="I335" t="s">
        <v>43</v>
      </c>
      <c r="J335">
        <v>63.8</v>
      </c>
      <c r="K335">
        <v>2465</v>
      </c>
      <c r="L335">
        <v>2713000</v>
      </c>
      <c r="M335" t="b">
        <v>0</v>
      </c>
      <c r="N335" t="b">
        <v>0</v>
      </c>
      <c r="O335">
        <v>5000</v>
      </c>
      <c r="P335" t="b">
        <v>0</v>
      </c>
      <c r="Q335" t="b">
        <v>0</v>
      </c>
      <c r="R335" t="b">
        <v>0</v>
      </c>
      <c r="S335" t="s">
        <v>96</v>
      </c>
      <c r="T335" t="s">
        <v>1645</v>
      </c>
      <c r="U335">
        <v>49.3</v>
      </c>
      <c r="V335">
        <v>0</v>
      </c>
      <c r="W335">
        <v>0</v>
      </c>
      <c r="X335">
        <v>1</v>
      </c>
      <c r="Y335" s="6">
        <v>46113</v>
      </c>
    </row>
    <row r="336" spans="1:26" x14ac:dyDescent="0.3">
      <c r="A336" t="s">
        <v>441</v>
      </c>
      <c r="B336" s="5">
        <v>46169</v>
      </c>
      <c r="C336" s="5">
        <v>46169</v>
      </c>
      <c r="D336" s="5">
        <v>46173</v>
      </c>
      <c r="E336" s="5">
        <v>46174</v>
      </c>
      <c r="F336" t="s">
        <v>33</v>
      </c>
      <c r="G336" t="s">
        <v>61</v>
      </c>
      <c r="H336" t="s">
        <v>20</v>
      </c>
      <c r="I336" t="s">
        <v>44</v>
      </c>
      <c r="J336">
        <v>619.70000000000005</v>
      </c>
      <c r="K336">
        <v>623.1</v>
      </c>
      <c r="L336">
        <v>7278000</v>
      </c>
      <c r="M336" t="b">
        <v>0</v>
      </c>
      <c r="N336" t="b">
        <v>0</v>
      </c>
      <c r="O336">
        <v>1500</v>
      </c>
      <c r="P336" t="b">
        <v>0</v>
      </c>
      <c r="Q336" t="b">
        <v>0</v>
      </c>
      <c r="R336" t="b">
        <v>0</v>
      </c>
      <c r="S336" t="s">
        <v>101</v>
      </c>
      <c r="T336" t="s">
        <v>1643</v>
      </c>
      <c r="U336">
        <v>41.54</v>
      </c>
      <c r="V336">
        <v>0</v>
      </c>
      <c r="W336">
        <v>0</v>
      </c>
      <c r="X336">
        <v>5</v>
      </c>
      <c r="Y336" s="6">
        <v>46143</v>
      </c>
      <c r="Z336">
        <v>1</v>
      </c>
    </row>
    <row r="337" spans="1:26" x14ac:dyDescent="0.3">
      <c r="A337" t="s">
        <v>442</v>
      </c>
      <c r="B337" s="5">
        <v>46105</v>
      </c>
      <c r="C337" s="5">
        <v>46106</v>
      </c>
      <c r="D337" s="5">
        <v>46108</v>
      </c>
      <c r="E337" s="5">
        <v>46108</v>
      </c>
      <c r="F337" t="s">
        <v>33</v>
      </c>
      <c r="G337" t="s">
        <v>60</v>
      </c>
      <c r="H337" t="s">
        <v>24</v>
      </c>
      <c r="I337" t="s">
        <v>43</v>
      </c>
      <c r="J337">
        <v>26.9</v>
      </c>
      <c r="K337">
        <v>1888.3</v>
      </c>
      <c r="L337">
        <v>1814000</v>
      </c>
      <c r="M337" t="b">
        <v>0</v>
      </c>
      <c r="N337" t="b">
        <v>0</v>
      </c>
      <c r="O337">
        <v>5000</v>
      </c>
      <c r="P337" t="b">
        <v>0</v>
      </c>
      <c r="Q337" t="b">
        <v>0</v>
      </c>
      <c r="R337" t="b">
        <v>0</v>
      </c>
      <c r="S337" t="s">
        <v>96</v>
      </c>
      <c r="T337" t="s">
        <v>1650</v>
      </c>
      <c r="U337">
        <v>37.765999999999998</v>
      </c>
      <c r="V337">
        <v>0</v>
      </c>
      <c r="W337">
        <v>0</v>
      </c>
      <c r="X337">
        <v>2</v>
      </c>
      <c r="Y337" s="6">
        <v>46082</v>
      </c>
    </row>
    <row r="338" spans="1:26" x14ac:dyDescent="0.3">
      <c r="A338" t="s">
        <v>443</v>
      </c>
      <c r="B338" s="5">
        <v>46106</v>
      </c>
      <c r="C338" s="5">
        <v>46108</v>
      </c>
      <c r="D338" s="5">
        <v>46112</v>
      </c>
      <c r="E338" s="5">
        <v>46112</v>
      </c>
      <c r="F338" t="s">
        <v>34</v>
      </c>
      <c r="G338" t="s">
        <v>56</v>
      </c>
      <c r="H338" t="s">
        <v>21</v>
      </c>
      <c r="I338" t="s">
        <v>42</v>
      </c>
      <c r="J338">
        <v>924.5</v>
      </c>
      <c r="K338">
        <v>7190.4</v>
      </c>
      <c r="L338">
        <v>18594000</v>
      </c>
      <c r="M338" t="b">
        <v>0</v>
      </c>
      <c r="N338" t="b">
        <v>0</v>
      </c>
      <c r="O338">
        <v>16000</v>
      </c>
      <c r="P338" t="b">
        <v>0</v>
      </c>
      <c r="Q338" t="b">
        <v>0</v>
      </c>
      <c r="R338" t="b">
        <v>0</v>
      </c>
      <c r="S338" t="s">
        <v>96</v>
      </c>
      <c r="T338" t="s">
        <v>1646</v>
      </c>
      <c r="U338">
        <v>44.94</v>
      </c>
      <c r="V338">
        <v>0</v>
      </c>
      <c r="W338">
        <v>0</v>
      </c>
      <c r="X338">
        <v>4</v>
      </c>
      <c r="Y338" s="6">
        <v>46082</v>
      </c>
    </row>
    <row r="339" spans="1:26" x14ac:dyDescent="0.3">
      <c r="A339" t="s">
        <v>444</v>
      </c>
      <c r="B339" s="5">
        <v>46138</v>
      </c>
      <c r="C339" s="5">
        <v>46139</v>
      </c>
      <c r="D339" s="5">
        <v>46140</v>
      </c>
      <c r="E339" s="5">
        <v>46141</v>
      </c>
      <c r="F339" t="s">
        <v>34</v>
      </c>
      <c r="G339" t="s">
        <v>61</v>
      </c>
      <c r="H339" t="s">
        <v>22</v>
      </c>
      <c r="I339" t="s">
        <v>43</v>
      </c>
      <c r="J339">
        <v>29.6</v>
      </c>
      <c r="K339">
        <v>4165.3</v>
      </c>
      <c r="L339">
        <v>2737000</v>
      </c>
      <c r="M339" t="b">
        <v>0</v>
      </c>
      <c r="N339" t="b">
        <v>0</v>
      </c>
      <c r="O339">
        <v>5000</v>
      </c>
      <c r="P339" t="b">
        <v>0</v>
      </c>
      <c r="Q339" t="b">
        <v>0</v>
      </c>
      <c r="R339" t="b">
        <v>0</v>
      </c>
      <c r="S339" t="s">
        <v>101</v>
      </c>
      <c r="T339" t="s">
        <v>1638</v>
      </c>
      <c r="U339">
        <v>83.305999999999997</v>
      </c>
      <c r="V339">
        <v>0</v>
      </c>
      <c r="W339">
        <v>0</v>
      </c>
      <c r="X339">
        <v>2</v>
      </c>
      <c r="Y339" s="6">
        <v>46113</v>
      </c>
      <c r="Z339">
        <v>1</v>
      </c>
    </row>
    <row r="340" spans="1:26" x14ac:dyDescent="0.3">
      <c r="A340" t="s">
        <v>445</v>
      </c>
      <c r="B340" s="5">
        <v>46032</v>
      </c>
      <c r="C340" s="5">
        <v>46033</v>
      </c>
      <c r="D340" s="5">
        <v>46037</v>
      </c>
      <c r="E340" s="5">
        <v>46037</v>
      </c>
      <c r="F340" t="s">
        <v>33</v>
      </c>
      <c r="G340" t="s">
        <v>58</v>
      </c>
      <c r="H340" t="s">
        <v>23</v>
      </c>
      <c r="I340" t="s">
        <v>44</v>
      </c>
      <c r="J340">
        <v>680.2</v>
      </c>
      <c r="K340">
        <v>407.7</v>
      </c>
      <c r="L340">
        <v>8611000</v>
      </c>
      <c r="M340" t="b">
        <v>0</v>
      </c>
      <c r="N340" t="b">
        <v>0</v>
      </c>
      <c r="O340">
        <v>1500</v>
      </c>
      <c r="P340" t="b">
        <v>0</v>
      </c>
      <c r="Q340" t="b">
        <v>0</v>
      </c>
      <c r="R340" t="b">
        <v>0</v>
      </c>
      <c r="S340" t="s">
        <v>96</v>
      </c>
      <c r="T340" t="s">
        <v>1651</v>
      </c>
      <c r="U340">
        <v>27.18</v>
      </c>
      <c r="V340">
        <v>0</v>
      </c>
      <c r="W340">
        <v>0</v>
      </c>
      <c r="X340">
        <v>4</v>
      </c>
      <c r="Y340" s="6">
        <v>46023</v>
      </c>
    </row>
    <row r="341" spans="1:26" x14ac:dyDescent="0.3">
      <c r="A341" t="s">
        <v>446</v>
      </c>
      <c r="B341" s="5">
        <v>46149</v>
      </c>
      <c r="C341" s="5">
        <v>46149</v>
      </c>
      <c r="D341" s="5">
        <v>46152</v>
      </c>
      <c r="E341" s="5">
        <v>46153</v>
      </c>
      <c r="F341" t="s">
        <v>34</v>
      </c>
      <c r="G341" t="s">
        <v>52</v>
      </c>
      <c r="H341" t="s">
        <v>22</v>
      </c>
      <c r="I341" t="s">
        <v>43</v>
      </c>
      <c r="J341">
        <v>298</v>
      </c>
      <c r="K341">
        <v>4134.5</v>
      </c>
      <c r="L341">
        <v>6424000</v>
      </c>
      <c r="M341" t="b">
        <v>0</v>
      </c>
      <c r="N341" t="b">
        <v>0</v>
      </c>
      <c r="O341">
        <v>5000</v>
      </c>
      <c r="P341" t="b">
        <v>0</v>
      </c>
      <c r="Q341" t="b">
        <v>0</v>
      </c>
      <c r="R341" t="b">
        <v>0</v>
      </c>
      <c r="S341" t="s">
        <v>101</v>
      </c>
      <c r="T341" t="s">
        <v>1623</v>
      </c>
      <c r="U341">
        <v>82.69</v>
      </c>
      <c r="V341">
        <v>0</v>
      </c>
      <c r="W341">
        <v>0</v>
      </c>
      <c r="X341">
        <v>4</v>
      </c>
      <c r="Y341" s="6">
        <v>46143</v>
      </c>
      <c r="Z341">
        <v>1</v>
      </c>
    </row>
    <row r="342" spans="1:26" x14ac:dyDescent="0.3">
      <c r="A342" t="s">
        <v>447</v>
      </c>
      <c r="B342" s="5">
        <v>46050</v>
      </c>
      <c r="C342" s="5">
        <v>46050</v>
      </c>
      <c r="D342" s="5">
        <v>46052</v>
      </c>
      <c r="E342" s="5">
        <v>46052</v>
      </c>
      <c r="F342" t="s">
        <v>32</v>
      </c>
      <c r="G342" t="s">
        <v>53</v>
      </c>
      <c r="H342" t="s">
        <v>22</v>
      </c>
      <c r="I342" t="s">
        <v>42</v>
      </c>
      <c r="J342">
        <v>254.3</v>
      </c>
      <c r="K342">
        <v>14099.8</v>
      </c>
      <c r="L342">
        <v>10270000</v>
      </c>
      <c r="M342" t="b">
        <v>0</v>
      </c>
      <c r="N342" t="b">
        <v>0</v>
      </c>
      <c r="O342">
        <v>16000</v>
      </c>
      <c r="P342" t="b">
        <v>0</v>
      </c>
      <c r="Q342" t="b">
        <v>0</v>
      </c>
      <c r="R342" t="b">
        <v>0</v>
      </c>
      <c r="S342" t="s">
        <v>96</v>
      </c>
      <c r="T342" t="s">
        <v>1612</v>
      </c>
      <c r="U342">
        <v>88.123750000000001</v>
      </c>
      <c r="V342">
        <v>0</v>
      </c>
      <c r="W342">
        <v>0</v>
      </c>
      <c r="X342">
        <v>2</v>
      </c>
      <c r="Y342" s="6">
        <v>46023</v>
      </c>
    </row>
    <row r="343" spans="1:26" x14ac:dyDescent="0.3">
      <c r="A343" t="s">
        <v>448</v>
      </c>
      <c r="B343" s="5">
        <v>46098</v>
      </c>
      <c r="C343" s="5">
        <v>46099</v>
      </c>
      <c r="D343" s="5">
        <v>46102</v>
      </c>
      <c r="E343" s="5">
        <v>46102</v>
      </c>
      <c r="F343" t="s">
        <v>34</v>
      </c>
      <c r="G343" t="s">
        <v>54</v>
      </c>
      <c r="H343" t="s">
        <v>20</v>
      </c>
      <c r="I343" t="s">
        <v>43</v>
      </c>
      <c r="J343">
        <v>434.9</v>
      </c>
      <c r="K343">
        <v>3158</v>
      </c>
      <c r="L343">
        <v>6703000</v>
      </c>
      <c r="M343" t="b">
        <v>0</v>
      </c>
      <c r="N343" t="b">
        <v>0</v>
      </c>
      <c r="O343">
        <v>5000</v>
      </c>
      <c r="P343" t="b">
        <v>0</v>
      </c>
      <c r="Q343" t="b">
        <v>0</v>
      </c>
      <c r="R343" t="b">
        <v>0</v>
      </c>
      <c r="S343" t="s">
        <v>96</v>
      </c>
      <c r="T343" t="s">
        <v>1635</v>
      </c>
      <c r="U343">
        <v>63.16</v>
      </c>
      <c r="V343">
        <v>0</v>
      </c>
      <c r="W343">
        <v>0</v>
      </c>
      <c r="X343">
        <v>3</v>
      </c>
      <c r="Y343" s="6">
        <v>46082</v>
      </c>
    </row>
    <row r="344" spans="1:26" x14ac:dyDescent="0.3">
      <c r="A344" t="s">
        <v>449</v>
      </c>
      <c r="B344" s="5">
        <v>46080</v>
      </c>
      <c r="C344" s="5">
        <v>46082</v>
      </c>
      <c r="D344" s="5">
        <v>46084</v>
      </c>
      <c r="E344" s="5">
        <v>46084</v>
      </c>
      <c r="F344" t="s">
        <v>34</v>
      </c>
      <c r="G344" t="s">
        <v>57</v>
      </c>
      <c r="H344" t="s">
        <v>22</v>
      </c>
      <c r="I344" t="s">
        <v>43</v>
      </c>
      <c r="J344">
        <v>148.5</v>
      </c>
      <c r="K344">
        <v>1358.3</v>
      </c>
      <c r="L344">
        <v>2921000</v>
      </c>
      <c r="M344" t="b">
        <v>0</v>
      </c>
      <c r="N344" t="b">
        <v>0</v>
      </c>
      <c r="O344">
        <v>5000</v>
      </c>
      <c r="P344" t="b">
        <v>0</v>
      </c>
      <c r="Q344" t="b">
        <v>0</v>
      </c>
      <c r="R344" t="b">
        <v>0</v>
      </c>
      <c r="S344" t="s">
        <v>96</v>
      </c>
      <c r="T344" t="s">
        <v>1620</v>
      </c>
      <c r="U344">
        <v>27.166</v>
      </c>
      <c r="V344">
        <v>0</v>
      </c>
      <c r="W344">
        <v>0</v>
      </c>
      <c r="X344">
        <v>2</v>
      </c>
      <c r="Y344" s="6">
        <v>46082</v>
      </c>
    </row>
    <row r="345" spans="1:26" x14ac:dyDescent="0.3">
      <c r="A345" t="s">
        <v>450</v>
      </c>
      <c r="B345" s="5">
        <v>46067</v>
      </c>
      <c r="C345" s="5">
        <v>46068</v>
      </c>
      <c r="D345" s="5">
        <v>46070</v>
      </c>
      <c r="E345" s="5">
        <v>46070</v>
      </c>
      <c r="F345" t="s">
        <v>31</v>
      </c>
      <c r="G345" t="s">
        <v>58</v>
      </c>
      <c r="H345" t="s">
        <v>23</v>
      </c>
      <c r="I345" t="s">
        <v>45</v>
      </c>
      <c r="J345">
        <v>196.8</v>
      </c>
      <c r="K345">
        <v>637.9</v>
      </c>
      <c r="L345">
        <v>2685000</v>
      </c>
      <c r="M345" t="b">
        <v>0</v>
      </c>
      <c r="N345" t="b">
        <v>0</v>
      </c>
      <c r="O345">
        <v>1000</v>
      </c>
      <c r="P345" t="b">
        <v>0</v>
      </c>
      <c r="Q345" t="b">
        <v>0</v>
      </c>
      <c r="R345" t="b">
        <v>0</v>
      </c>
      <c r="S345" t="s">
        <v>96</v>
      </c>
      <c r="T345" t="s">
        <v>1621</v>
      </c>
      <c r="U345">
        <v>63.79</v>
      </c>
      <c r="V345">
        <v>0</v>
      </c>
      <c r="W345">
        <v>0</v>
      </c>
      <c r="X345">
        <v>2</v>
      </c>
      <c r="Y345" s="6">
        <v>46054</v>
      </c>
    </row>
    <row r="346" spans="1:26" x14ac:dyDescent="0.3">
      <c r="A346" t="s">
        <v>451</v>
      </c>
      <c r="B346" s="5">
        <v>46122</v>
      </c>
      <c r="C346" s="5">
        <v>46122</v>
      </c>
      <c r="D346" s="5">
        <v>46126</v>
      </c>
      <c r="E346" s="5">
        <v>46126</v>
      </c>
      <c r="F346" t="s">
        <v>31</v>
      </c>
      <c r="G346" t="s">
        <v>62</v>
      </c>
      <c r="H346" t="s">
        <v>23</v>
      </c>
      <c r="I346" t="s">
        <v>42</v>
      </c>
      <c r="J346">
        <v>732.6</v>
      </c>
      <c r="K346">
        <v>12426.9</v>
      </c>
      <c r="L346">
        <v>18832000</v>
      </c>
      <c r="M346" t="b">
        <v>0</v>
      </c>
      <c r="N346" t="b">
        <v>0</v>
      </c>
      <c r="O346">
        <v>16000</v>
      </c>
      <c r="P346" t="b">
        <v>0</v>
      </c>
      <c r="Q346" t="b">
        <v>0</v>
      </c>
      <c r="R346" t="b">
        <v>0</v>
      </c>
      <c r="S346" t="s">
        <v>96</v>
      </c>
      <c r="T346" t="s">
        <v>1615</v>
      </c>
      <c r="U346">
        <v>77.668125000000003</v>
      </c>
      <c r="V346">
        <v>0</v>
      </c>
      <c r="W346">
        <v>0</v>
      </c>
      <c r="X346">
        <v>4</v>
      </c>
      <c r="Y346" s="6">
        <v>46113</v>
      </c>
    </row>
    <row r="347" spans="1:26" x14ac:dyDescent="0.3">
      <c r="A347" t="s">
        <v>452</v>
      </c>
      <c r="B347" s="5">
        <v>46192</v>
      </c>
      <c r="C347" s="5">
        <v>46193</v>
      </c>
      <c r="D347" s="5">
        <v>46196</v>
      </c>
      <c r="E347" s="5">
        <v>46195</v>
      </c>
      <c r="F347" t="s">
        <v>32</v>
      </c>
      <c r="G347" t="s">
        <v>54</v>
      </c>
      <c r="H347" t="s">
        <v>21</v>
      </c>
      <c r="I347" t="s">
        <v>43</v>
      </c>
      <c r="J347">
        <v>553.6</v>
      </c>
      <c r="K347">
        <v>2849.2</v>
      </c>
      <c r="L347">
        <v>8179000</v>
      </c>
      <c r="M347" t="b">
        <v>0</v>
      </c>
      <c r="N347" t="b">
        <v>0</v>
      </c>
      <c r="O347">
        <v>5000</v>
      </c>
      <c r="P347" t="b">
        <v>0</v>
      </c>
      <c r="Q347" t="b">
        <v>0</v>
      </c>
      <c r="R347" t="b">
        <v>0</v>
      </c>
      <c r="S347" t="s">
        <v>96</v>
      </c>
      <c r="T347" t="s">
        <v>1655</v>
      </c>
      <c r="U347">
        <v>56.984000000000002</v>
      </c>
      <c r="V347">
        <v>0</v>
      </c>
      <c r="W347">
        <v>0</v>
      </c>
      <c r="X347">
        <v>2</v>
      </c>
      <c r="Y347" s="6">
        <v>46174</v>
      </c>
    </row>
    <row r="348" spans="1:26" x14ac:dyDescent="0.3">
      <c r="A348" t="s">
        <v>453</v>
      </c>
      <c r="B348" s="5">
        <v>46174</v>
      </c>
      <c r="C348" s="5">
        <v>46175</v>
      </c>
      <c r="D348" s="5">
        <v>46177</v>
      </c>
      <c r="E348" s="5">
        <v>46177</v>
      </c>
      <c r="F348" t="s">
        <v>33</v>
      </c>
      <c r="G348" t="s">
        <v>62</v>
      </c>
      <c r="H348" t="s">
        <v>22</v>
      </c>
      <c r="I348" t="s">
        <v>43</v>
      </c>
      <c r="J348">
        <v>162.30000000000001</v>
      </c>
      <c r="K348">
        <v>2451.1999999999998</v>
      </c>
      <c r="L348">
        <v>3775000</v>
      </c>
      <c r="M348" t="b">
        <v>0</v>
      </c>
      <c r="N348" t="b">
        <v>0</v>
      </c>
      <c r="O348">
        <v>5000</v>
      </c>
      <c r="P348" t="b">
        <v>0</v>
      </c>
      <c r="Q348" t="b">
        <v>0</v>
      </c>
      <c r="R348" t="b">
        <v>0</v>
      </c>
      <c r="S348" t="s">
        <v>96</v>
      </c>
      <c r="T348" t="s">
        <v>1657</v>
      </c>
      <c r="U348">
        <v>49.023999999999987</v>
      </c>
      <c r="V348">
        <v>0</v>
      </c>
      <c r="W348">
        <v>0</v>
      </c>
      <c r="X348">
        <v>2</v>
      </c>
      <c r="Y348" s="6">
        <v>46174</v>
      </c>
    </row>
    <row r="349" spans="1:26" x14ac:dyDescent="0.3">
      <c r="A349" t="s">
        <v>454</v>
      </c>
      <c r="B349" s="5">
        <v>46183</v>
      </c>
      <c r="C349" s="5">
        <v>46185</v>
      </c>
      <c r="D349" s="5">
        <v>46188</v>
      </c>
      <c r="E349" s="5">
        <v>46188</v>
      </c>
      <c r="F349" t="s">
        <v>34</v>
      </c>
      <c r="G349" t="s">
        <v>54</v>
      </c>
      <c r="H349" t="s">
        <v>23</v>
      </c>
      <c r="I349" t="s">
        <v>42</v>
      </c>
      <c r="J349">
        <v>456.7</v>
      </c>
      <c r="K349">
        <v>6670.2</v>
      </c>
      <c r="L349">
        <v>10906000</v>
      </c>
      <c r="M349" t="b">
        <v>0</v>
      </c>
      <c r="N349" t="b">
        <v>0</v>
      </c>
      <c r="O349">
        <v>16000</v>
      </c>
      <c r="P349" t="b">
        <v>0</v>
      </c>
      <c r="Q349" t="b">
        <v>0</v>
      </c>
      <c r="R349" t="b">
        <v>0</v>
      </c>
      <c r="S349" t="s">
        <v>96</v>
      </c>
      <c r="T349" t="s">
        <v>1635</v>
      </c>
      <c r="U349">
        <v>41.688749999999999</v>
      </c>
      <c r="V349">
        <v>0</v>
      </c>
      <c r="W349">
        <v>0</v>
      </c>
      <c r="X349">
        <v>3</v>
      </c>
      <c r="Y349" s="6">
        <v>46174</v>
      </c>
    </row>
    <row r="350" spans="1:26" x14ac:dyDescent="0.3">
      <c r="A350" t="s">
        <v>455</v>
      </c>
      <c r="B350" s="5">
        <v>46152</v>
      </c>
      <c r="C350" s="5">
        <v>46153</v>
      </c>
      <c r="D350" s="5">
        <v>46156</v>
      </c>
      <c r="E350" s="5">
        <v>46156</v>
      </c>
      <c r="F350" t="s">
        <v>31</v>
      </c>
      <c r="G350" t="s">
        <v>59</v>
      </c>
      <c r="H350" t="s">
        <v>22</v>
      </c>
      <c r="I350" t="s">
        <v>45</v>
      </c>
      <c r="J350">
        <v>304.39999999999998</v>
      </c>
      <c r="K350">
        <v>352.4</v>
      </c>
      <c r="L350">
        <v>3171000</v>
      </c>
      <c r="M350" t="b">
        <v>0</v>
      </c>
      <c r="N350" t="b">
        <v>0</v>
      </c>
      <c r="O350">
        <v>1000</v>
      </c>
      <c r="P350" t="b">
        <v>0</v>
      </c>
      <c r="Q350" t="b">
        <v>0</v>
      </c>
      <c r="R350" t="b">
        <v>0</v>
      </c>
      <c r="S350" t="s">
        <v>96</v>
      </c>
      <c r="T350" t="s">
        <v>1628</v>
      </c>
      <c r="U350">
        <v>35.24</v>
      </c>
      <c r="V350">
        <v>0</v>
      </c>
      <c r="W350">
        <v>0</v>
      </c>
      <c r="X350">
        <v>3</v>
      </c>
      <c r="Y350" s="6">
        <v>46143</v>
      </c>
    </row>
    <row r="351" spans="1:26" x14ac:dyDescent="0.3">
      <c r="A351" t="s">
        <v>456</v>
      </c>
      <c r="B351" s="5">
        <v>46064</v>
      </c>
      <c r="C351" s="5">
        <v>46064</v>
      </c>
      <c r="D351" s="5">
        <v>46067</v>
      </c>
      <c r="E351" s="5">
        <v>46067</v>
      </c>
      <c r="F351" t="s">
        <v>34</v>
      </c>
      <c r="G351" t="s">
        <v>63</v>
      </c>
      <c r="H351" t="s">
        <v>21</v>
      </c>
      <c r="I351" t="s">
        <v>44</v>
      </c>
      <c r="J351">
        <v>331.2</v>
      </c>
      <c r="K351">
        <v>763.5</v>
      </c>
      <c r="L351">
        <v>3869000</v>
      </c>
      <c r="M351" t="b">
        <v>0</v>
      </c>
      <c r="N351" t="b">
        <v>0</v>
      </c>
      <c r="O351">
        <v>1500</v>
      </c>
      <c r="P351" t="b">
        <v>0</v>
      </c>
      <c r="Q351" t="b">
        <v>0</v>
      </c>
      <c r="R351" t="b">
        <v>0</v>
      </c>
      <c r="S351" t="s">
        <v>96</v>
      </c>
      <c r="T351" t="s">
        <v>1613</v>
      </c>
      <c r="U351">
        <v>50.9</v>
      </c>
      <c r="V351">
        <v>0</v>
      </c>
      <c r="W351">
        <v>0</v>
      </c>
      <c r="X351">
        <v>3</v>
      </c>
      <c r="Y351" s="6">
        <v>46054</v>
      </c>
    </row>
    <row r="352" spans="1:26" x14ac:dyDescent="0.3">
      <c r="A352" t="s">
        <v>457</v>
      </c>
      <c r="B352" s="5">
        <v>46094</v>
      </c>
      <c r="C352" s="5">
        <v>46095</v>
      </c>
      <c r="D352" s="5">
        <v>46098</v>
      </c>
      <c r="E352" s="5">
        <v>46098</v>
      </c>
      <c r="F352" t="s">
        <v>31</v>
      </c>
      <c r="G352" t="s">
        <v>58</v>
      </c>
      <c r="H352" t="s">
        <v>20</v>
      </c>
      <c r="I352" t="s">
        <v>45</v>
      </c>
      <c r="J352">
        <v>170.4</v>
      </c>
      <c r="K352">
        <v>627.70000000000005</v>
      </c>
      <c r="L352">
        <v>2319000</v>
      </c>
      <c r="M352" t="b">
        <v>0</v>
      </c>
      <c r="N352" t="b">
        <v>0</v>
      </c>
      <c r="O352">
        <v>1000</v>
      </c>
      <c r="P352" t="b">
        <v>0</v>
      </c>
      <c r="Q352" t="b">
        <v>0</v>
      </c>
      <c r="R352" t="b">
        <v>0</v>
      </c>
      <c r="S352" t="s">
        <v>96</v>
      </c>
      <c r="T352" t="s">
        <v>1621</v>
      </c>
      <c r="U352">
        <v>62.77</v>
      </c>
      <c r="V352">
        <v>0</v>
      </c>
      <c r="W352">
        <v>0</v>
      </c>
      <c r="X352">
        <v>3</v>
      </c>
      <c r="Y352" s="6">
        <v>46082</v>
      </c>
    </row>
    <row r="353" spans="1:26" x14ac:dyDescent="0.3">
      <c r="A353" t="s">
        <v>458</v>
      </c>
      <c r="B353" s="5">
        <v>46070</v>
      </c>
      <c r="C353" s="5">
        <v>46070</v>
      </c>
      <c r="D353" s="5">
        <v>46072</v>
      </c>
      <c r="E353" s="5">
        <v>46073</v>
      </c>
      <c r="F353" t="s">
        <v>34</v>
      </c>
      <c r="G353" t="s">
        <v>52</v>
      </c>
      <c r="H353" t="s">
        <v>20</v>
      </c>
      <c r="I353" t="s">
        <v>44</v>
      </c>
      <c r="J353">
        <v>281.10000000000002</v>
      </c>
      <c r="K353">
        <v>191.6</v>
      </c>
      <c r="L353">
        <v>3035000</v>
      </c>
      <c r="M353" t="b">
        <v>0</v>
      </c>
      <c r="N353" t="b">
        <v>0</v>
      </c>
      <c r="O353">
        <v>1500</v>
      </c>
      <c r="P353" t="b">
        <v>0</v>
      </c>
      <c r="Q353" t="b">
        <v>0</v>
      </c>
      <c r="R353" t="b">
        <v>0</v>
      </c>
      <c r="S353" t="s">
        <v>101</v>
      </c>
      <c r="T353" t="s">
        <v>1623</v>
      </c>
      <c r="U353">
        <v>12.77333333333333</v>
      </c>
      <c r="V353">
        <v>0</v>
      </c>
      <c r="W353">
        <v>0</v>
      </c>
      <c r="X353">
        <v>3</v>
      </c>
      <c r="Y353" s="6">
        <v>46054</v>
      </c>
      <c r="Z353">
        <v>1</v>
      </c>
    </row>
    <row r="354" spans="1:26" x14ac:dyDescent="0.3">
      <c r="A354" t="s">
        <v>459</v>
      </c>
      <c r="B354" s="5">
        <v>46066</v>
      </c>
      <c r="C354" s="5">
        <v>46067</v>
      </c>
      <c r="D354" s="5">
        <v>46071</v>
      </c>
      <c r="E354" s="5">
        <v>46071</v>
      </c>
      <c r="F354" t="s">
        <v>33</v>
      </c>
      <c r="G354" t="s">
        <v>55</v>
      </c>
      <c r="H354" t="s">
        <v>23</v>
      </c>
      <c r="I354" t="s">
        <v>45</v>
      </c>
      <c r="J354">
        <v>614.70000000000005</v>
      </c>
      <c r="K354">
        <v>526</v>
      </c>
      <c r="L354">
        <v>5977000</v>
      </c>
      <c r="M354" t="b">
        <v>0</v>
      </c>
      <c r="N354" t="b">
        <v>0</v>
      </c>
      <c r="O354">
        <v>1000</v>
      </c>
      <c r="P354" t="b">
        <v>0</v>
      </c>
      <c r="Q354" t="b">
        <v>0</v>
      </c>
      <c r="R354" t="b">
        <v>0</v>
      </c>
      <c r="S354" t="s">
        <v>96</v>
      </c>
      <c r="T354" t="s">
        <v>1626</v>
      </c>
      <c r="U354">
        <v>52.6</v>
      </c>
      <c r="V354">
        <v>0</v>
      </c>
      <c r="W354">
        <v>0</v>
      </c>
      <c r="X354">
        <v>4</v>
      </c>
      <c r="Y354" s="6">
        <v>46054</v>
      </c>
    </row>
    <row r="355" spans="1:26" x14ac:dyDescent="0.3">
      <c r="A355" t="s">
        <v>460</v>
      </c>
      <c r="B355" s="5">
        <v>46049</v>
      </c>
      <c r="C355" s="5">
        <v>46050</v>
      </c>
      <c r="D355" s="5">
        <v>46053</v>
      </c>
      <c r="E355" s="5">
        <v>46053</v>
      </c>
      <c r="F355" t="s">
        <v>31</v>
      </c>
      <c r="G355" t="s">
        <v>54</v>
      </c>
      <c r="H355" t="s">
        <v>23</v>
      </c>
      <c r="I355" t="s">
        <v>45</v>
      </c>
      <c r="J355">
        <v>464.7</v>
      </c>
      <c r="K355">
        <v>690.4</v>
      </c>
      <c r="L355">
        <v>4871000</v>
      </c>
      <c r="M355" t="b">
        <v>0</v>
      </c>
      <c r="N355" t="b">
        <v>0</v>
      </c>
      <c r="O355">
        <v>1000</v>
      </c>
      <c r="P355" t="b">
        <v>0</v>
      </c>
      <c r="Q355" t="b">
        <v>0</v>
      </c>
      <c r="R355" t="b">
        <v>0</v>
      </c>
      <c r="S355" t="s">
        <v>96</v>
      </c>
      <c r="T355" t="s">
        <v>1631</v>
      </c>
      <c r="U355">
        <v>69.040000000000006</v>
      </c>
      <c r="V355">
        <v>0</v>
      </c>
      <c r="W355">
        <v>0</v>
      </c>
      <c r="X355">
        <v>3</v>
      </c>
      <c r="Y355" s="6">
        <v>46023</v>
      </c>
    </row>
    <row r="356" spans="1:26" x14ac:dyDescent="0.3">
      <c r="A356" t="s">
        <v>461</v>
      </c>
      <c r="B356" s="5">
        <v>46203</v>
      </c>
      <c r="C356" s="5">
        <v>46204</v>
      </c>
      <c r="D356" s="5">
        <v>46206</v>
      </c>
      <c r="E356" s="5">
        <v>46206</v>
      </c>
      <c r="F356" t="s">
        <v>31</v>
      </c>
      <c r="G356" t="s">
        <v>63</v>
      </c>
      <c r="H356" t="s">
        <v>20</v>
      </c>
      <c r="I356" t="s">
        <v>45</v>
      </c>
      <c r="J356">
        <v>298.2</v>
      </c>
      <c r="K356">
        <v>119.4</v>
      </c>
      <c r="L356">
        <v>3094000</v>
      </c>
      <c r="M356" t="b">
        <v>0</v>
      </c>
      <c r="N356" t="b">
        <v>0</v>
      </c>
      <c r="O356">
        <v>1000</v>
      </c>
      <c r="P356" t="b">
        <v>0</v>
      </c>
      <c r="Q356" t="b">
        <v>0</v>
      </c>
      <c r="R356" t="b">
        <v>0</v>
      </c>
      <c r="S356" t="s">
        <v>96</v>
      </c>
      <c r="T356" t="s">
        <v>1640</v>
      </c>
      <c r="U356">
        <v>11.94</v>
      </c>
      <c r="V356">
        <v>0</v>
      </c>
      <c r="W356">
        <v>0</v>
      </c>
      <c r="X356">
        <v>2</v>
      </c>
      <c r="Y356" s="6">
        <v>46204</v>
      </c>
    </row>
    <row r="357" spans="1:26" x14ac:dyDescent="0.3">
      <c r="A357" t="s">
        <v>462</v>
      </c>
      <c r="B357" s="5">
        <v>46071</v>
      </c>
      <c r="C357" s="5">
        <v>46072</v>
      </c>
      <c r="D357" s="5">
        <v>46073</v>
      </c>
      <c r="E357" s="5">
        <v>46074</v>
      </c>
      <c r="F357" t="s">
        <v>34</v>
      </c>
      <c r="G357" t="s">
        <v>55</v>
      </c>
      <c r="H357" t="s">
        <v>24</v>
      </c>
      <c r="I357" t="s">
        <v>44</v>
      </c>
      <c r="J357">
        <v>53.2</v>
      </c>
      <c r="K357">
        <v>444.5</v>
      </c>
      <c r="L357">
        <v>1182000</v>
      </c>
      <c r="M357" t="b">
        <v>0</v>
      </c>
      <c r="N357" t="b">
        <v>0</v>
      </c>
      <c r="O357">
        <v>1500</v>
      </c>
      <c r="P357" t="b">
        <v>0</v>
      </c>
      <c r="Q357" t="b">
        <v>0</v>
      </c>
      <c r="R357" t="b">
        <v>0</v>
      </c>
      <c r="S357" t="s">
        <v>101</v>
      </c>
      <c r="T357" t="s">
        <v>1639</v>
      </c>
      <c r="U357">
        <v>29.633333333333329</v>
      </c>
      <c r="V357">
        <v>0</v>
      </c>
      <c r="W357">
        <v>0</v>
      </c>
      <c r="X357">
        <v>2</v>
      </c>
      <c r="Y357" s="6">
        <v>46054</v>
      </c>
      <c r="Z357">
        <v>1</v>
      </c>
    </row>
    <row r="358" spans="1:26" x14ac:dyDescent="0.3">
      <c r="A358" t="s">
        <v>463</v>
      </c>
      <c r="B358" s="5">
        <v>46069</v>
      </c>
      <c r="C358" s="5">
        <v>46070</v>
      </c>
      <c r="D358" s="5">
        <v>46072</v>
      </c>
      <c r="E358" s="5">
        <v>46072</v>
      </c>
      <c r="F358" t="s">
        <v>34</v>
      </c>
      <c r="G358" t="s">
        <v>58</v>
      </c>
      <c r="H358" t="s">
        <v>20</v>
      </c>
      <c r="I358" t="s">
        <v>42</v>
      </c>
      <c r="J358">
        <v>149.6</v>
      </c>
      <c r="K358">
        <v>4763</v>
      </c>
      <c r="L358">
        <v>4978000</v>
      </c>
      <c r="M358" t="b">
        <v>0</v>
      </c>
      <c r="N358" t="b">
        <v>0</v>
      </c>
      <c r="O358">
        <v>16000</v>
      </c>
      <c r="P358" t="b">
        <v>0</v>
      </c>
      <c r="Q358" t="b">
        <v>0</v>
      </c>
      <c r="R358" t="b">
        <v>0</v>
      </c>
      <c r="S358" t="s">
        <v>96</v>
      </c>
      <c r="T358" t="s">
        <v>1637</v>
      </c>
      <c r="U358">
        <v>29.768750000000001</v>
      </c>
      <c r="V358">
        <v>0</v>
      </c>
      <c r="W358">
        <v>0</v>
      </c>
      <c r="X358">
        <v>2</v>
      </c>
      <c r="Y358" s="6">
        <v>46054</v>
      </c>
    </row>
    <row r="359" spans="1:26" x14ac:dyDescent="0.3">
      <c r="A359" t="s">
        <v>464</v>
      </c>
      <c r="B359" s="5">
        <v>46048</v>
      </c>
      <c r="C359" s="5">
        <v>46049</v>
      </c>
      <c r="D359" s="5">
        <v>46050</v>
      </c>
      <c r="E359" s="5"/>
      <c r="F359" t="s">
        <v>32</v>
      </c>
      <c r="G359" t="s">
        <v>57</v>
      </c>
      <c r="H359" t="s">
        <v>22</v>
      </c>
      <c r="I359" t="s">
        <v>45</v>
      </c>
      <c r="J359">
        <v>12.3</v>
      </c>
      <c r="K359">
        <v>589.1</v>
      </c>
      <c r="L359">
        <v>893000</v>
      </c>
      <c r="M359" t="b">
        <v>0</v>
      </c>
      <c r="N359" t="b">
        <v>0</v>
      </c>
      <c r="O359">
        <v>1000</v>
      </c>
      <c r="P359" t="b">
        <v>0</v>
      </c>
      <c r="Q359" t="b">
        <v>0</v>
      </c>
      <c r="R359" t="b">
        <v>0</v>
      </c>
      <c r="S359" t="s">
        <v>203</v>
      </c>
      <c r="T359" t="s">
        <v>1630</v>
      </c>
      <c r="U359">
        <v>58.91</v>
      </c>
      <c r="V359">
        <v>0</v>
      </c>
      <c r="W359">
        <v>0</v>
      </c>
      <c r="Y359" s="6">
        <v>46023</v>
      </c>
    </row>
    <row r="360" spans="1:26" x14ac:dyDescent="0.3">
      <c r="A360" t="s">
        <v>465</v>
      </c>
      <c r="B360" s="5">
        <v>46066</v>
      </c>
      <c r="C360" s="5">
        <v>46067</v>
      </c>
      <c r="D360" s="5">
        <v>46071</v>
      </c>
      <c r="E360" s="5">
        <v>46070</v>
      </c>
      <c r="F360" t="s">
        <v>31</v>
      </c>
      <c r="G360" t="s">
        <v>56</v>
      </c>
      <c r="H360" t="s">
        <v>21</v>
      </c>
      <c r="I360" t="s">
        <v>44</v>
      </c>
      <c r="J360">
        <v>913.5</v>
      </c>
      <c r="K360">
        <v>1275.8</v>
      </c>
      <c r="L360">
        <v>9865000</v>
      </c>
      <c r="M360" t="b">
        <v>0</v>
      </c>
      <c r="N360" t="b">
        <v>0</v>
      </c>
      <c r="O360">
        <v>1500</v>
      </c>
      <c r="P360" t="b">
        <v>0</v>
      </c>
      <c r="Q360" t="b">
        <v>0</v>
      </c>
      <c r="R360" t="b">
        <v>0</v>
      </c>
      <c r="S360" t="s">
        <v>96</v>
      </c>
      <c r="T360" t="s">
        <v>1614</v>
      </c>
      <c r="U360">
        <v>85.053333333333327</v>
      </c>
      <c r="V360">
        <v>0</v>
      </c>
      <c r="W360">
        <v>0</v>
      </c>
      <c r="X360">
        <v>3</v>
      </c>
      <c r="Y360" s="6">
        <v>46054</v>
      </c>
    </row>
    <row r="361" spans="1:26" x14ac:dyDescent="0.3">
      <c r="A361" t="s">
        <v>466</v>
      </c>
      <c r="B361" s="5">
        <v>46145</v>
      </c>
      <c r="C361" s="5">
        <v>46146</v>
      </c>
      <c r="D361" s="5">
        <v>46150</v>
      </c>
      <c r="E361" s="5">
        <v>46150</v>
      </c>
      <c r="F361" t="s">
        <v>31</v>
      </c>
      <c r="G361" t="s">
        <v>62</v>
      </c>
      <c r="H361" t="s">
        <v>23</v>
      </c>
      <c r="I361" t="s">
        <v>43</v>
      </c>
      <c r="J361">
        <v>722.2</v>
      </c>
      <c r="K361">
        <v>2586.1999999999998</v>
      </c>
      <c r="L361">
        <v>10726000</v>
      </c>
      <c r="M361" t="b">
        <v>0</v>
      </c>
      <c r="N361" t="b">
        <v>0</v>
      </c>
      <c r="O361">
        <v>5000</v>
      </c>
      <c r="P361" t="b">
        <v>0</v>
      </c>
      <c r="Q361" t="b">
        <v>0</v>
      </c>
      <c r="R361" t="b">
        <v>0</v>
      </c>
      <c r="S361" t="s">
        <v>96</v>
      </c>
      <c r="T361" t="s">
        <v>1615</v>
      </c>
      <c r="U361">
        <v>51.72399999999999</v>
      </c>
      <c r="V361">
        <v>0</v>
      </c>
      <c r="W361">
        <v>0</v>
      </c>
      <c r="X361">
        <v>4</v>
      </c>
      <c r="Y361" s="6">
        <v>46143</v>
      </c>
    </row>
    <row r="362" spans="1:26" x14ac:dyDescent="0.3">
      <c r="A362" t="s">
        <v>467</v>
      </c>
      <c r="B362" s="5">
        <v>46051</v>
      </c>
      <c r="C362" s="5">
        <v>46052</v>
      </c>
      <c r="D362" s="5">
        <v>46054</v>
      </c>
      <c r="E362" s="5">
        <v>46054</v>
      </c>
      <c r="F362" t="s">
        <v>31</v>
      </c>
      <c r="G362" t="s">
        <v>59</v>
      </c>
      <c r="H362" t="s">
        <v>20</v>
      </c>
      <c r="I362" t="s">
        <v>43</v>
      </c>
      <c r="J362">
        <v>263.60000000000002</v>
      </c>
      <c r="K362">
        <v>2567.6999999999998</v>
      </c>
      <c r="L362">
        <v>5138000</v>
      </c>
      <c r="M362" t="b">
        <v>0</v>
      </c>
      <c r="N362" t="b">
        <v>0</v>
      </c>
      <c r="O362">
        <v>5000</v>
      </c>
      <c r="P362" t="b">
        <v>0</v>
      </c>
      <c r="Q362" t="b">
        <v>0</v>
      </c>
      <c r="R362" t="b">
        <v>0</v>
      </c>
      <c r="S362" t="s">
        <v>96</v>
      </c>
      <c r="T362" t="s">
        <v>1628</v>
      </c>
      <c r="U362">
        <v>51.353999999999999</v>
      </c>
      <c r="V362">
        <v>0</v>
      </c>
      <c r="W362">
        <v>0</v>
      </c>
      <c r="X362">
        <v>2</v>
      </c>
      <c r="Y362" s="6">
        <v>46023</v>
      </c>
    </row>
    <row r="363" spans="1:26" x14ac:dyDescent="0.3">
      <c r="A363" t="s">
        <v>468</v>
      </c>
      <c r="B363" s="5">
        <v>46203</v>
      </c>
      <c r="C363" s="5">
        <v>46204</v>
      </c>
      <c r="D363" s="5">
        <v>46208</v>
      </c>
      <c r="E363" s="5">
        <v>46208</v>
      </c>
      <c r="F363" t="s">
        <v>34</v>
      </c>
      <c r="G363" t="s">
        <v>59</v>
      </c>
      <c r="H363" t="s">
        <v>24</v>
      </c>
      <c r="I363" t="s">
        <v>42</v>
      </c>
      <c r="J363">
        <v>343.3</v>
      </c>
      <c r="K363">
        <v>10438.700000000001</v>
      </c>
      <c r="L363">
        <v>9610000</v>
      </c>
      <c r="M363" t="b">
        <v>0</v>
      </c>
      <c r="N363" t="b">
        <v>0</v>
      </c>
      <c r="O363">
        <v>16000</v>
      </c>
      <c r="P363" t="b">
        <v>0</v>
      </c>
      <c r="Q363" t="b">
        <v>0</v>
      </c>
      <c r="R363" t="b">
        <v>0</v>
      </c>
      <c r="S363" t="s">
        <v>96</v>
      </c>
      <c r="T363" t="s">
        <v>1616</v>
      </c>
      <c r="U363">
        <v>65.241875000000007</v>
      </c>
      <c r="V363">
        <v>0</v>
      </c>
      <c r="W363">
        <v>0</v>
      </c>
      <c r="X363">
        <v>4</v>
      </c>
      <c r="Y363" s="6">
        <v>46204</v>
      </c>
    </row>
    <row r="364" spans="1:26" x14ac:dyDescent="0.3">
      <c r="A364" t="s">
        <v>469</v>
      </c>
      <c r="B364" s="5">
        <v>46102</v>
      </c>
      <c r="C364" s="5">
        <v>46102</v>
      </c>
      <c r="D364" s="5">
        <v>46104</v>
      </c>
      <c r="E364" s="5">
        <v>46104</v>
      </c>
      <c r="F364" t="s">
        <v>32</v>
      </c>
      <c r="G364" t="s">
        <v>61</v>
      </c>
      <c r="H364" t="s">
        <v>20</v>
      </c>
      <c r="I364" t="s">
        <v>44</v>
      </c>
      <c r="J364">
        <v>149.30000000000001</v>
      </c>
      <c r="K364">
        <v>1350.1</v>
      </c>
      <c r="L364">
        <v>2330000</v>
      </c>
      <c r="M364" t="b">
        <v>0</v>
      </c>
      <c r="N364" t="b">
        <v>0</v>
      </c>
      <c r="O364">
        <v>1500</v>
      </c>
      <c r="P364" t="b">
        <v>0</v>
      </c>
      <c r="Q364" t="b">
        <v>0</v>
      </c>
      <c r="R364" t="b">
        <v>0</v>
      </c>
      <c r="S364" t="s">
        <v>96</v>
      </c>
      <c r="T364" t="s">
        <v>1653</v>
      </c>
      <c r="U364">
        <v>90.006666666666661</v>
      </c>
      <c r="V364">
        <v>0</v>
      </c>
      <c r="W364">
        <v>0</v>
      </c>
      <c r="X364">
        <v>2</v>
      </c>
      <c r="Y364" s="6">
        <v>46082</v>
      </c>
    </row>
    <row r="365" spans="1:26" x14ac:dyDescent="0.3">
      <c r="A365" t="s">
        <v>470</v>
      </c>
      <c r="B365" s="5">
        <v>46159</v>
      </c>
      <c r="C365" s="5">
        <v>46160</v>
      </c>
      <c r="D365" s="5">
        <v>46161</v>
      </c>
      <c r="E365" s="5">
        <v>46163</v>
      </c>
      <c r="F365" t="s">
        <v>31</v>
      </c>
      <c r="G365" t="s">
        <v>61</v>
      </c>
      <c r="H365" t="s">
        <v>24</v>
      </c>
      <c r="I365" t="s">
        <v>43</v>
      </c>
      <c r="J365">
        <v>58.3</v>
      </c>
      <c r="K365">
        <v>641.79999999999995</v>
      </c>
      <c r="L365">
        <v>1584000</v>
      </c>
      <c r="M365" t="b">
        <v>0</v>
      </c>
      <c r="N365" t="b">
        <v>0</v>
      </c>
      <c r="O365">
        <v>5000</v>
      </c>
      <c r="P365" t="b">
        <v>0</v>
      </c>
      <c r="Q365" t="b">
        <v>0</v>
      </c>
      <c r="R365" t="b">
        <v>0</v>
      </c>
      <c r="S365" t="s">
        <v>101</v>
      </c>
      <c r="T365" t="s">
        <v>1645</v>
      </c>
      <c r="U365">
        <v>12.836</v>
      </c>
      <c r="V365">
        <v>0</v>
      </c>
      <c r="W365">
        <v>0</v>
      </c>
      <c r="X365">
        <v>3</v>
      </c>
      <c r="Y365" s="6">
        <v>46143</v>
      </c>
      <c r="Z365">
        <v>2</v>
      </c>
    </row>
    <row r="366" spans="1:26" x14ac:dyDescent="0.3">
      <c r="A366" t="s">
        <v>471</v>
      </c>
      <c r="B366" s="5">
        <v>46030</v>
      </c>
      <c r="C366" s="5">
        <v>46031</v>
      </c>
      <c r="D366" s="5">
        <v>46035</v>
      </c>
      <c r="E366" s="5">
        <v>46035</v>
      </c>
      <c r="F366" t="s">
        <v>31</v>
      </c>
      <c r="G366" t="s">
        <v>56</v>
      </c>
      <c r="H366" t="s">
        <v>21</v>
      </c>
      <c r="I366" t="s">
        <v>44</v>
      </c>
      <c r="J366">
        <v>949.3</v>
      </c>
      <c r="K366">
        <v>316.60000000000002</v>
      </c>
      <c r="L366">
        <v>9979000</v>
      </c>
      <c r="M366" t="b">
        <v>0</v>
      </c>
      <c r="N366" t="b">
        <v>0</v>
      </c>
      <c r="O366">
        <v>1500</v>
      </c>
      <c r="P366" t="b">
        <v>0</v>
      </c>
      <c r="Q366" t="b">
        <v>0</v>
      </c>
      <c r="R366" t="b">
        <v>0</v>
      </c>
      <c r="S366" t="s">
        <v>96</v>
      </c>
      <c r="T366" t="s">
        <v>1614</v>
      </c>
      <c r="U366">
        <v>21.106666666666669</v>
      </c>
      <c r="V366">
        <v>0</v>
      </c>
      <c r="W366">
        <v>0</v>
      </c>
      <c r="X366">
        <v>4</v>
      </c>
      <c r="Y366" s="6">
        <v>46023</v>
      </c>
    </row>
    <row r="367" spans="1:26" x14ac:dyDescent="0.3">
      <c r="A367" t="s">
        <v>472</v>
      </c>
      <c r="B367" s="5">
        <v>46173</v>
      </c>
      <c r="C367" s="5">
        <v>46174</v>
      </c>
      <c r="D367" s="5">
        <v>46175</v>
      </c>
      <c r="E367" s="5">
        <v>46176</v>
      </c>
      <c r="F367" t="s">
        <v>33</v>
      </c>
      <c r="G367" t="s">
        <v>60</v>
      </c>
      <c r="H367" t="s">
        <v>22</v>
      </c>
      <c r="I367" t="s">
        <v>45</v>
      </c>
      <c r="J367">
        <v>23.5</v>
      </c>
      <c r="K367">
        <v>310.60000000000002</v>
      </c>
      <c r="L367">
        <v>775000</v>
      </c>
      <c r="M367" t="b">
        <v>0</v>
      </c>
      <c r="N367" t="b">
        <v>0</v>
      </c>
      <c r="O367">
        <v>1000</v>
      </c>
      <c r="P367" t="b">
        <v>0</v>
      </c>
      <c r="Q367" t="b">
        <v>0</v>
      </c>
      <c r="R367" t="b">
        <v>0</v>
      </c>
      <c r="S367" t="s">
        <v>101</v>
      </c>
      <c r="T367" t="s">
        <v>1650</v>
      </c>
      <c r="U367">
        <v>31.060000000000009</v>
      </c>
      <c r="V367">
        <v>0</v>
      </c>
      <c r="W367">
        <v>0</v>
      </c>
      <c r="X367">
        <v>2</v>
      </c>
      <c r="Y367" s="6">
        <v>46174</v>
      </c>
      <c r="Z367">
        <v>1</v>
      </c>
    </row>
    <row r="368" spans="1:26" x14ac:dyDescent="0.3">
      <c r="A368" t="s">
        <v>473</v>
      </c>
      <c r="B368" s="5">
        <v>46134</v>
      </c>
      <c r="C368" s="5">
        <v>46135</v>
      </c>
      <c r="D368" s="5">
        <v>46138</v>
      </c>
      <c r="E368" s="5">
        <v>46138</v>
      </c>
      <c r="F368" t="s">
        <v>34</v>
      </c>
      <c r="G368" t="s">
        <v>53</v>
      </c>
      <c r="H368" t="s">
        <v>20</v>
      </c>
      <c r="I368" t="s">
        <v>43</v>
      </c>
      <c r="J368">
        <v>311</v>
      </c>
      <c r="K368">
        <v>1091</v>
      </c>
      <c r="L368">
        <v>4940000</v>
      </c>
      <c r="M368" t="b">
        <v>0</v>
      </c>
      <c r="N368" t="b">
        <v>0</v>
      </c>
      <c r="O368">
        <v>5000</v>
      </c>
      <c r="P368" t="b">
        <v>0</v>
      </c>
      <c r="Q368" t="b">
        <v>0</v>
      </c>
      <c r="R368" t="b">
        <v>0</v>
      </c>
      <c r="S368" t="s">
        <v>96</v>
      </c>
      <c r="T368" t="s">
        <v>1636</v>
      </c>
      <c r="U368">
        <v>21.82</v>
      </c>
      <c r="V368">
        <v>0</v>
      </c>
      <c r="W368">
        <v>0</v>
      </c>
      <c r="X368">
        <v>3</v>
      </c>
      <c r="Y368" s="6">
        <v>46113</v>
      </c>
    </row>
    <row r="369" spans="1:26" x14ac:dyDescent="0.3">
      <c r="A369" t="s">
        <v>474</v>
      </c>
      <c r="B369" s="5">
        <v>46145</v>
      </c>
      <c r="C369" s="5">
        <v>46147</v>
      </c>
      <c r="D369" s="5">
        <v>46148</v>
      </c>
      <c r="E369" s="5"/>
      <c r="F369" t="s">
        <v>31</v>
      </c>
      <c r="G369" t="s">
        <v>55</v>
      </c>
      <c r="H369" t="s">
        <v>20</v>
      </c>
      <c r="I369" t="s">
        <v>45</v>
      </c>
      <c r="J369">
        <v>23.3</v>
      </c>
      <c r="K369">
        <v>275.89999999999998</v>
      </c>
      <c r="L369">
        <v>688000</v>
      </c>
      <c r="M369" t="b">
        <v>0</v>
      </c>
      <c r="N369" t="b">
        <v>0</v>
      </c>
      <c r="O369">
        <v>1000</v>
      </c>
      <c r="P369" t="b">
        <v>0</v>
      </c>
      <c r="Q369" t="b">
        <v>0</v>
      </c>
      <c r="R369" t="b">
        <v>0</v>
      </c>
      <c r="S369" t="s">
        <v>203</v>
      </c>
      <c r="T369" t="s">
        <v>1629</v>
      </c>
      <c r="U369">
        <v>27.59</v>
      </c>
      <c r="V369">
        <v>0</v>
      </c>
      <c r="W369">
        <v>0</v>
      </c>
      <c r="Y369" s="6">
        <v>46143</v>
      </c>
    </row>
    <row r="370" spans="1:26" x14ac:dyDescent="0.3">
      <c r="A370" t="s">
        <v>475</v>
      </c>
      <c r="B370" s="5">
        <v>46167</v>
      </c>
      <c r="C370" s="5">
        <v>46168</v>
      </c>
      <c r="D370" s="5">
        <v>46170</v>
      </c>
      <c r="E370" s="5">
        <v>46170</v>
      </c>
      <c r="F370" t="s">
        <v>31</v>
      </c>
      <c r="G370" t="s">
        <v>57</v>
      </c>
      <c r="H370" t="s">
        <v>20</v>
      </c>
      <c r="I370" t="s">
        <v>42</v>
      </c>
      <c r="J370">
        <v>132.1</v>
      </c>
      <c r="K370">
        <v>3832.1</v>
      </c>
      <c r="L370">
        <v>4381000</v>
      </c>
      <c r="M370" t="b">
        <v>0</v>
      </c>
      <c r="N370" t="b">
        <v>0</v>
      </c>
      <c r="O370">
        <v>16000</v>
      </c>
      <c r="P370" t="b">
        <v>0</v>
      </c>
      <c r="Q370" t="b">
        <v>0</v>
      </c>
      <c r="R370" t="b">
        <v>0</v>
      </c>
      <c r="S370" t="s">
        <v>96</v>
      </c>
      <c r="T370" t="s">
        <v>1617</v>
      </c>
      <c r="U370">
        <v>23.950624999999999</v>
      </c>
      <c r="V370">
        <v>0</v>
      </c>
      <c r="W370">
        <v>0</v>
      </c>
      <c r="X370">
        <v>2</v>
      </c>
      <c r="Y370" s="6">
        <v>46143</v>
      </c>
    </row>
    <row r="371" spans="1:26" x14ac:dyDescent="0.3">
      <c r="A371" t="s">
        <v>476</v>
      </c>
      <c r="B371" s="5">
        <v>46142</v>
      </c>
      <c r="C371" s="5">
        <v>46144</v>
      </c>
      <c r="D371" s="5">
        <v>46147</v>
      </c>
      <c r="E371" s="5">
        <v>46147</v>
      </c>
      <c r="F371" t="s">
        <v>34</v>
      </c>
      <c r="G371" t="s">
        <v>63</v>
      </c>
      <c r="H371" t="s">
        <v>20</v>
      </c>
      <c r="I371" t="s">
        <v>43</v>
      </c>
      <c r="J371">
        <v>322.5</v>
      </c>
      <c r="K371">
        <v>618.9</v>
      </c>
      <c r="L371">
        <v>5620000</v>
      </c>
      <c r="M371" t="b">
        <v>0</v>
      </c>
      <c r="N371" t="b">
        <v>0</v>
      </c>
      <c r="O371">
        <v>5000</v>
      </c>
      <c r="P371" t="b">
        <v>0</v>
      </c>
      <c r="Q371" t="b">
        <v>0</v>
      </c>
      <c r="R371" t="b">
        <v>0</v>
      </c>
      <c r="S371" t="s">
        <v>96</v>
      </c>
      <c r="T371" t="s">
        <v>1613</v>
      </c>
      <c r="U371">
        <v>12.378</v>
      </c>
      <c r="V371">
        <v>0</v>
      </c>
      <c r="W371">
        <v>0</v>
      </c>
      <c r="X371">
        <v>3</v>
      </c>
      <c r="Y371" s="6">
        <v>46143</v>
      </c>
    </row>
    <row r="372" spans="1:26" x14ac:dyDescent="0.3">
      <c r="A372" t="s">
        <v>477</v>
      </c>
      <c r="B372" s="5">
        <v>46114</v>
      </c>
      <c r="C372" s="5">
        <v>46115</v>
      </c>
      <c r="D372" s="5">
        <v>46116</v>
      </c>
      <c r="E372" s="5">
        <v>46116</v>
      </c>
      <c r="F372" t="s">
        <v>34</v>
      </c>
      <c r="G372" t="s">
        <v>55</v>
      </c>
      <c r="H372" t="s">
        <v>21</v>
      </c>
      <c r="I372" t="s">
        <v>44</v>
      </c>
      <c r="J372">
        <v>58.4</v>
      </c>
      <c r="K372">
        <v>751.1</v>
      </c>
      <c r="L372">
        <v>1423000</v>
      </c>
      <c r="M372" t="b">
        <v>0</v>
      </c>
      <c r="N372" t="b">
        <v>0</v>
      </c>
      <c r="O372">
        <v>1500</v>
      </c>
      <c r="P372" t="b">
        <v>0</v>
      </c>
      <c r="Q372" t="b">
        <v>0</v>
      </c>
      <c r="R372" t="b">
        <v>0</v>
      </c>
      <c r="S372" t="s">
        <v>96</v>
      </c>
      <c r="T372" t="s">
        <v>1639</v>
      </c>
      <c r="U372">
        <v>50.073333333333338</v>
      </c>
      <c r="V372">
        <v>0</v>
      </c>
      <c r="W372">
        <v>0</v>
      </c>
      <c r="X372">
        <v>1</v>
      </c>
      <c r="Y372" s="6">
        <v>46113</v>
      </c>
    </row>
    <row r="373" spans="1:26" x14ac:dyDescent="0.3">
      <c r="A373" t="s">
        <v>478</v>
      </c>
      <c r="B373" s="5">
        <v>46084</v>
      </c>
      <c r="C373" s="5">
        <v>46086</v>
      </c>
      <c r="D373" s="5">
        <v>46089</v>
      </c>
      <c r="E373" s="5">
        <v>46089</v>
      </c>
      <c r="F373" t="s">
        <v>34</v>
      </c>
      <c r="G373" t="s">
        <v>63</v>
      </c>
      <c r="H373" t="s">
        <v>23</v>
      </c>
      <c r="I373" t="s">
        <v>45</v>
      </c>
      <c r="J373">
        <v>316.7</v>
      </c>
      <c r="K373">
        <v>354.6</v>
      </c>
      <c r="L373">
        <v>2680000</v>
      </c>
      <c r="M373" t="b">
        <v>0</v>
      </c>
      <c r="N373" t="b">
        <v>0</v>
      </c>
      <c r="O373">
        <v>1000</v>
      </c>
      <c r="P373" t="b">
        <v>0</v>
      </c>
      <c r="Q373" t="b">
        <v>0</v>
      </c>
      <c r="R373" t="b">
        <v>0</v>
      </c>
      <c r="S373" t="s">
        <v>96</v>
      </c>
      <c r="T373" t="s">
        <v>1613</v>
      </c>
      <c r="U373">
        <v>35.46</v>
      </c>
      <c r="V373">
        <v>0</v>
      </c>
      <c r="W373">
        <v>0</v>
      </c>
      <c r="X373">
        <v>3</v>
      </c>
      <c r="Y373" s="6">
        <v>46082</v>
      </c>
    </row>
    <row r="374" spans="1:26" x14ac:dyDescent="0.3">
      <c r="A374" t="s">
        <v>479</v>
      </c>
      <c r="B374" s="5">
        <v>46049</v>
      </c>
      <c r="C374" s="5">
        <v>46049</v>
      </c>
      <c r="D374" s="5">
        <v>46050</v>
      </c>
      <c r="E374" s="5">
        <v>46050</v>
      </c>
      <c r="F374" t="s">
        <v>34</v>
      </c>
      <c r="G374" t="s">
        <v>61</v>
      </c>
      <c r="H374" t="s">
        <v>23</v>
      </c>
      <c r="I374" t="s">
        <v>44</v>
      </c>
      <c r="J374">
        <v>24.8</v>
      </c>
      <c r="K374">
        <v>817.2</v>
      </c>
      <c r="L374">
        <v>1089000</v>
      </c>
      <c r="M374" t="b">
        <v>0</v>
      </c>
      <c r="N374" t="b">
        <v>0</v>
      </c>
      <c r="O374">
        <v>1500</v>
      </c>
      <c r="P374" t="b">
        <v>0</v>
      </c>
      <c r="Q374" t="b">
        <v>0</v>
      </c>
      <c r="R374" t="b">
        <v>0</v>
      </c>
      <c r="S374" t="s">
        <v>96</v>
      </c>
      <c r="T374" t="s">
        <v>1638</v>
      </c>
      <c r="U374">
        <v>54.48</v>
      </c>
      <c r="V374">
        <v>0</v>
      </c>
      <c r="W374">
        <v>0</v>
      </c>
      <c r="X374">
        <v>1</v>
      </c>
      <c r="Y374" s="6">
        <v>46023</v>
      </c>
    </row>
    <row r="375" spans="1:26" x14ac:dyDescent="0.3">
      <c r="A375" t="s">
        <v>480</v>
      </c>
      <c r="B375" s="5">
        <v>46162</v>
      </c>
      <c r="C375" s="5">
        <v>46163</v>
      </c>
      <c r="D375" s="5">
        <v>46166</v>
      </c>
      <c r="E375" s="5">
        <v>46166</v>
      </c>
      <c r="F375" t="s">
        <v>34</v>
      </c>
      <c r="G375" t="s">
        <v>63</v>
      </c>
      <c r="H375" t="s">
        <v>22</v>
      </c>
      <c r="I375" t="s">
        <v>45</v>
      </c>
      <c r="J375">
        <v>331.7</v>
      </c>
      <c r="K375">
        <v>661</v>
      </c>
      <c r="L375">
        <v>3749000</v>
      </c>
      <c r="M375" t="b">
        <v>0</v>
      </c>
      <c r="N375" t="b">
        <v>0</v>
      </c>
      <c r="O375">
        <v>1000</v>
      </c>
      <c r="P375" t="b">
        <v>0</v>
      </c>
      <c r="Q375" t="b">
        <v>0</v>
      </c>
      <c r="R375" t="b">
        <v>0</v>
      </c>
      <c r="S375" t="s">
        <v>96</v>
      </c>
      <c r="T375" t="s">
        <v>1613</v>
      </c>
      <c r="U375">
        <v>66.100000000000009</v>
      </c>
      <c r="V375">
        <v>0</v>
      </c>
      <c r="W375">
        <v>0</v>
      </c>
      <c r="X375">
        <v>3</v>
      </c>
      <c r="Y375" s="6">
        <v>46143</v>
      </c>
    </row>
    <row r="376" spans="1:26" x14ac:dyDescent="0.3">
      <c r="A376" t="s">
        <v>481</v>
      </c>
      <c r="B376" s="5">
        <v>46043</v>
      </c>
      <c r="C376" s="5">
        <v>46045</v>
      </c>
      <c r="D376" s="5">
        <v>46047</v>
      </c>
      <c r="E376" s="5">
        <v>46048</v>
      </c>
      <c r="F376" t="s">
        <v>34</v>
      </c>
      <c r="G376" t="s">
        <v>52</v>
      </c>
      <c r="H376" t="s">
        <v>24</v>
      </c>
      <c r="I376" t="s">
        <v>45</v>
      </c>
      <c r="J376">
        <v>286.8</v>
      </c>
      <c r="K376">
        <v>752.2</v>
      </c>
      <c r="L376">
        <v>3256000</v>
      </c>
      <c r="M376" t="b">
        <v>0</v>
      </c>
      <c r="N376" t="b">
        <v>0</v>
      </c>
      <c r="O376">
        <v>1000</v>
      </c>
      <c r="P376" t="b">
        <v>0</v>
      </c>
      <c r="Q376" t="b">
        <v>0</v>
      </c>
      <c r="R376" t="b">
        <v>0</v>
      </c>
      <c r="S376" t="s">
        <v>101</v>
      </c>
      <c r="T376" t="s">
        <v>1623</v>
      </c>
      <c r="U376">
        <v>75.220000000000013</v>
      </c>
      <c r="V376">
        <v>0</v>
      </c>
      <c r="W376">
        <v>0</v>
      </c>
      <c r="X376">
        <v>3</v>
      </c>
      <c r="Y376" s="6">
        <v>46023</v>
      </c>
      <c r="Z376">
        <v>1</v>
      </c>
    </row>
    <row r="377" spans="1:26" x14ac:dyDescent="0.3">
      <c r="A377" t="s">
        <v>482</v>
      </c>
      <c r="B377" s="5">
        <v>46075</v>
      </c>
      <c r="C377" s="5">
        <v>46075</v>
      </c>
      <c r="D377" s="5">
        <v>46079</v>
      </c>
      <c r="E377" s="5">
        <v>46079</v>
      </c>
      <c r="F377" t="s">
        <v>33</v>
      </c>
      <c r="G377" t="s">
        <v>56</v>
      </c>
      <c r="H377" t="s">
        <v>22</v>
      </c>
      <c r="I377" t="s">
        <v>43</v>
      </c>
      <c r="J377">
        <v>1597.5</v>
      </c>
      <c r="K377">
        <v>1200.0999999999999</v>
      </c>
      <c r="L377">
        <v>22014000</v>
      </c>
      <c r="M377" t="b">
        <v>0</v>
      </c>
      <c r="N377" t="b">
        <v>0</v>
      </c>
      <c r="O377">
        <v>5000</v>
      </c>
      <c r="P377" t="b">
        <v>0</v>
      </c>
      <c r="Q377" t="b">
        <v>0</v>
      </c>
      <c r="R377" t="b">
        <v>0</v>
      </c>
      <c r="S377" t="s">
        <v>96</v>
      </c>
      <c r="T377" t="s">
        <v>1654</v>
      </c>
      <c r="U377">
        <v>24.001999999999999</v>
      </c>
      <c r="V377">
        <v>0</v>
      </c>
      <c r="W377">
        <v>0</v>
      </c>
      <c r="X377">
        <v>4</v>
      </c>
      <c r="Y377" s="6">
        <v>46054</v>
      </c>
    </row>
    <row r="378" spans="1:26" x14ac:dyDescent="0.3">
      <c r="A378" t="s">
        <v>483</v>
      </c>
      <c r="B378" s="5">
        <v>46100</v>
      </c>
      <c r="C378" s="5">
        <v>46102</v>
      </c>
      <c r="D378" s="5">
        <v>46103</v>
      </c>
      <c r="E378" s="5">
        <v>46103</v>
      </c>
      <c r="F378" t="s">
        <v>34</v>
      </c>
      <c r="G378" t="s">
        <v>55</v>
      </c>
      <c r="H378" t="s">
        <v>21</v>
      </c>
      <c r="I378" t="s">
        <v>42</v>
      </c>
      <c r="J378">
        <v>53.3</v>
      </c>
      <c r="K378">
        <v>4994.1000000000004</v>
      </c>
      <c r="L378">
        <v>3801000</v>
      </c>
      <c r="M378" t="b">
        <v>0</v>
      </c>
      <c r="N378" t="b">
        <v>0</v>
      </c>
      <c r="O378">
        <v>16000</v>
      </c>
      <c r="P378" t="b">
        <v>0</v>
      </c>
      <c r="Q378" t="b">
        <v>0</v>
      </c>
      <c r="R378" t="b">
        <v>0</v>
      </c>
      <c r="S378" t="s">
        <v>96</v>
      </c>
      <c r="T378" t="s">
        <v>1639</v>
      </c>
      <c r="U378">
        <v>31.213125000000002</v>
      </c>
      <c r="V378">
        <v>0</v>
      </c>
      <c r="W378">
        <v>0</v>
      </c>
      <c r="X378">
        <v>1</v>
      </c>
      <c r="Y378" s="6">
        <v>46082</v>
      </c>
    </row>
    <row r="379" spans="1:26" x14ac:dyDescent="0.3">
      <c r="A379" t="s">
        <v>484</v>
      </c>
      <c r="B379" s="5">
        <v>46113</v>
      </c>
      <c r="C379" s="5">
        <v>46115</v>
      </c>
      <c r="D379" s="5">
        <v>46118</v>
      </c>
      <c r="E379" s="5">
        <v>46118</v>
      </c>
      <c r="F379" t="s">
        <v>32</v>
      </c>
      <c r="G379" t="s">
        <v>60</v>
      </c>
      <c r="H379" t="s">
        <v>23</v>
      </c>
      <c r="I379" t="s">
        <v>42</v>
      </c>
      <c r="J379">
        <v>467.5</v>
      </c>
      <c r="K379">
        <v>12837.3</v>
      </c>
      <c r="L379">
        <v>12908000</v>
      </c>
      <c r="M379" t="b">
        <v>0</v>
      </c>
      <c r="N379" t="b">
        <v>0</v>
      </c>
      <c r="O379">
        <v>16000</v>
      </c>
      <c r="P379" t="b">
        <v>0</v>
      </c>
      <c r="Q379" t="b">
        <v>0</v>
      </c>
      <c r="R379" t="b">
        <v>0</v>
      </c>
      <c r="S379" t="s">
        <v>96</v>
      </c>
      <c r="T379" t="s">
        <v>1647</v>
      </c>
      <c r="U379">
        <v>80.233125000000001</v>
      </c>
      <c r="V379">
        <v>0</v>
      </c>
      <c r="W379">
        <v>0</v>
      </c>
      <c r="X379">
        <v>3</v>
      </c>
      <c r="Y379" s="6">
        <v>46113</v>
      </c>
    </row>
    <row r="380" spans="1:26" x14ac:dyDescent="0.3">
      <c r="A380" t="s">
        <v>485</v>
      </c>
      <c r="B380" s="5">
        <v>46112</v>
      </c>
      <c r="C380" s="5">
        <v>46113</v>
      </c>
      <c r="D380" s="5">
        <v>46115</v>
      </c>
      <c r="E380" s="5">
        <v>46116</v>
      </c>
      <c r="F380" t="s">
        <v>34</v>
      </c>
      <c r="G380" t="s">
        <v>58</v>
      </c>
      <c r="H380" t="s">
        <v>23</v>
      </c>
      <c r="I380" t="s">
        <v>43</v>
      </c>
      <c r="J380">
        <v>168.6</v>
      </c>
      <c r="K380">
        <v>2454.8000000000002</v>
      </c>
      <c r="L380">
        <v>3468000</v>
      </c>
      <c r="M380" t="b">
        <v>0</v>
      </c>
      <c r="N380" t="b">
        <v>0</v>
      </c>
      <c r="O380">
        <v>5000</v>
      </c>
      <c r="P380" t="b">
        <v>0</v>
      </c>
      <c r="Q380" t="b">
        <v>0</v>
      </c>
      <c r="R380" t="b">
        <v>0</v>
      </c>
      <c r="S380" t="s">
        <v>101</v>
      </c>
      <c r="T380" t="s">
        <v>1637</v>
      </c>
      <c r="U380">
        <v>49.095999999999997</v>
      </c>
      <c r="V380">
        <v>0</v>
      </c>
      <c r="W380">
        <v>0</v>
      </c>
      <c r="X380">
        <v>3</v>
      </c>
      <c r="Y380" s="6">
        <v>46113</v>
      </c>
      <c r="Z380">
        <v>1</v>
      </c>
    </row>
    <row r="381" spans="1:26" x14ac:dyDescent="0.3">
      <c r="A381" t="s">
        <v>486</v>
      </c>
      <c r="B381" s="5">
        <v>46178</v>
      </c>
      <c r="C381" s="5">
        <v>46179</v>
      </c>
      <c r="D381" s="5">
        <v>46183</v>
      </c>
      <c r="E381" s="5">
        <v>46182</v>
      </c>
      <c r="F381" t="s">
        <v>34</v>
      </c>
      <c r="G381" t="s">
        <v>62</v>
      </c>
      <c r="H381" t="s">
        <v>20</v>
      </c>
      <c r="I381" t="s">
        <v>42</v>
      </c>
      <c r="J381">
        <v>798.9</v>
      </c>
      <c r="K381">
        <v>13358.8</v>
      </c>
      <c r="L381">
        <v>18959000</v>
      </c>
      <c r="M381" t="b">
        <v>0</v>
      </c>
      <c r="N381" t="b">
        <v>0</v>
      </c>
      <c r="O381">
        <v>16000</v>
      </c>
      <c r="P381" t="b">
        <v>0</v>
      </c>
      <c r="Q381" t="b">
        <v>0</v>
      </c>
      <c r="R381" t="b">
        <v>0</v>
      </c>
      <c r="S381" t="s">
        <v>96</v>
      </c>
      <c r="T381" t="s">
        <v>1649</v>
      </c>
      <c r="U381">
        <v>83.492499999999993</v>
      </c>
      <c r="V381">
        <v>0</v>
      </c>
      <c r="W381">
        <v>0</v>
      </c>
      <c r="X381">
        <v>3</v>
      </c>
      <c r="Y381" s="6">
        <v>46174</v>
      </c>
    </row>
    <row r="382" spans="1:26" x14ac:dyDescent="0.3">
      <c r="A382" t="s">
        <v>487</v>
      </c>
      <c r="B382" s="5">
        <v>46150</v>
      </c>
      <c r="C382" s="5">
        <v>46151</v>
      </c>
      <c r="D382" s="5">
        <v>46155</v>
      </c>
      <c r="E382" s="5">
        <v>46155</v>
      </c>
      <c r="F382" t="s">
        <v>31</v>
      </c>
      <c r="G382" t="s">
        <v>60</v>
      </c>
      <c r="H382" t="s">
        <v>20</v>
      </c>
      <c r="I382" t="s">
        <v>45</v>
      </c>
      <c r="J382">
        <v>607.5</v>
      </c>
      <c r="K382">
        <v>112.1</v>
      </c>
      <c r="L382">
        <v>5859000</v>
      </c>
      <c r="M382" t="b">
        <v>0</v>
      </c>
      <c r="N382" t="b">
        <v>0</v>
      </c>
      <c r="O382">
        <v>1000</v>
      </c>
      <c r="P382" t="b">
        <v>0</v>
      </c>
      <c r="Q382" t="b">
        <v>0</v>
      </c>
      <c r="R382" t="b">
        <v>0</v>
      </c>
      <c r="S382" t="s">
        <v>96</v>
      </c>
      <c r="T382" t="s">
        <v>1652</v>
      </c>
      <c r="U382">
        <v>11.21</v>
      </c>
      <c r="V382">
        <v>0</v>
      </c>
      <c r="W382">
        <v>0</v>
      </c>
      <c r="X382">
        <v>4</v>
      </c>
      <c r="Y382" s="6">
        <v>46143</v>
      </c>
    </row>
    <row r="383" spans="1:26" x14ac:dyDescent="0.3">
      <c r="A383" t="s">
        <v>488</v>
      </c>
      <c r="B383" s="5">
        <v>46073</v>
      </c>
      <c r="C383" s="5">
        <v>46074</v>
      </c>
      <c r="D383" s="5">
        <v>46077</v>
      </c>
      <c r="E383" s="5">
        <v>46079</v>
      </c>
      <c r="F383" t="s">
        <v>34</v>
      </c>
      <c r="G383" t="s">
        <v>63</v>
      </c>
      <c r="H383" t="s">
        <v>23</v>
      </c>
      <c r="I383" t="s">
        <v>42</v>
      </c>
      <c r="J383">
        <v>345.2</v>
      </c>
      <c r="K383">
        <v>6084.3</v>
      </c>
      <c r="L383">
        <v>9111000</v>
      </c>
      <c r="M383" t="b">
        <v>0</v>
      </c>
      <c r="N383" t="b">
        <v>0</v>
      </c>
      <c r="O383">
        <v>16000</v>
      </c>
      <c r="P383" t="b">
        <v>0</v>
      </c>
      <c r="Q383" t="b">
        <v>0</v>
      </c>
      <c r="R383" t="b">
        <v>0</v>
      </c>
      <c r="S383" t="s">
        <v>101</v>
      </c>
      <c r="T383" t="s">
        <v>1613</v>
      </c>
      <c r="U383">
        <v>38.026874999999997</v>
      </c>
      <c r="V383">
        <v>0</v>
      </c>
      <c r="W383">
        <v>0</v>
      </c>
      <c r="X383">
        <v>5</v>
      </c>
      <c r="Y383" s="6">
        <v>46054</v>
      </c>
      <c r="Z383">
        <v>2</v>
      </c>
    </row>
    <row r="384" spans="1:26" x14ac:dyDescent="0.3">
      <c r="A384" t="s">
        <v>489</v>
      </c>
      <c r="B384" s="5">
        <v>46030</v>
      </c>
      <c r="C384" s="5">
        <v>46031</v>
      </c>
      <c r="D384" s="5">
        <v>46034</v>
      </c>
      <c r="E384" s="5">
        <v>46034</v>
      </c>
      <c r="F384" t="s">
        <v>31</v>
      </c>
      <c r="G384" t="s">
        <v>60</v>
      </c>
      <c r="H384" t="s">
        <v>23</v>
      </c>
      <c r="I384" t="s">
        <v>45</v>
      </c>
      <c r="J384">
        <v>587.29999999999995</v>
      </c>
      <c r="K384">
        <v>142.4</v>
      </c>
      <c r="L384">
        <v>5634000</v>
      </c>
      <c r="M384" t="b">
        <v>0</v>
      </c>
      <c r="N384" t="b">
        <v>0</v>
      </c>
      <c r="O384">
        <v>1000</v>
      </c>
      <c r="P384" t="b">
        <v>0</v>
      </c>
      <c r="Q384" t="b">
        <v>0</v>
      </c>
      <c r="R384" t="b">
        <v>0</v>
      </c>
      <c r="S384" t="s">
        <v>96</v>
      </c>
      <c r="T384" t="s">
        <v>1652</v>
      </c>
      <c r="U384">
        <v>14.24</v>
      </c>
      <c r="V384">
        <v>0</v>
      </c>
      <c r="W384">
        <v>0</v>
      </c>
      <c r="X384">
        <v>3</v>
      </c>
      <c r="Y384" s="6">
        <v>46023</v>
      </c>
    </row>
    <row r="385" spans="1:26" x14ac:dyDescent="0.3">
      <c r="A385" t="s">
        <v>490</v>
      </c>
      <c r="B385" s="5">
        <v>46184</v>
      </c>
      <c r="C385" s="5">
        <v>46185</v>
      </c>
      <c r="D385" s="5">
        <v>46189</v>
      </c>
      <c r="E385" s="5">
        <v>46191</v>
      </c>
      <c r="F385" t="s">
        <v>32</v>
      </c>
      <c r="G385" t="s">
        <v>56</v>
      </c>
      <c r="H385" t="s">
        <v>24</v>
      </c>
      <c r="I385" t="s">
        <v>43</v>
      </c>
      <c r="J385">
        <v>1073.8</v>
      </c>
      <c r="K385">
        <v>2023.2</v>
      </c>
      <c r="L385">
        <v>14820000</v>
      </c>
      <c r="M385" t="b">
        <v>0</v>
      </c>
      <c r="N385" t="b">
        <v>0</v>
      </c>
      <c r="O385">
        <v>5000</v>
      </c>
      <c r="P385" t="b">
        <v>0</v>
      </c>
      <c r="Q385" t="b">
        <v>0</v>
      </c>
      <c r="R385" t="b">
        <v>0</v>
      </c>
      <c r="S385" t="s">
        <v>101</v>
      </c>
      <c r="T385" t="s">
        <v>1658</v>
      </c>
      <c r="U385">
        <v>40.463999999999999</v>
      </c>
      <c r="V385">
        <v>0</v>
      </c>
      <c r="W385">
        <v>0</v>
      </c>
      <c r="X385">
        <v>6</v>
      </c>
      <c r="Y385" s="6">
        <v>46174</v>
      </c>
      <c r="Z385">
        <v>2</v>
      </c>
    </row>
    <row r="386" spans="1:26" x14ac:dyDescent="0.3">
      <c r="A386" t="s">
        <v>491</v>
      </c>
      <c r="B386" s="5">
        <v>46057</v>
      </c>
      <c r="C386" s="5">
        <v>46057</v>
      </c>
      <c r="D386" s="5">
        <v>46061</v>
      </c>
      <c r="E386" s="5">
        <v>46062</v>
      </c>
      <c r="F386" t="s">
        <v>32</v>
      </c>
      <c r="G386" t="s">
        <v>56</v>
      </c>
      <c r="H386" t="s">
        <v>24</v>
      </c>
      <c r="I386" t="s">
        <v>44</v>
      </c>
      <c r="J386">
        <v>975.1</v>
      </c>
      <c r="K386">
        <v>311.5</v>
      </c>
      <c r="L386">
        <v>10298000</v>
      </c>
      <c r="M386" t="b">
        <v>0</v>
      </c>
      <c r="N386" t="b">
        <v>0</v>
      </c>
      <c r="O386">
        <v>1500</v>
      </c>
      <c r="P386" t="b">
        <v>0</v>
      </c>
      <c r="Q386" t="b">
        <v>0</v>
      </c>
      <c r="R386" t="b">
        <v>0</v>
      </c>
      <c r="S386" t="s">
        <v>101</v>
      </c>
      <c r="T386" t="s">
        <v>1658</v>
      </c>
      <c r="U386">
        <v>20.766666666666669</v>
      </c>
      <c r="V386">
        <v>0</v>
      </c>
      <c r="W386">
        <v>0</v>
      </c>
      <c r="X386">
        <v>5</v>
      </c>
      <c r="Y386" s="6">
        <v>46054</v>
      </c>
      <c r="Z386">
        <v>1</v>
      </c>
    </row>
    <row r="387" spans="1:26" x14ac:dyDescent="0.3">
      <c r="A387" t="s">
        <v>492</v>
      </c>
      <c r="B387" s="5">
        <v>46168</v>
      </c>
      <c r="C387" s="5">
        <v>46168</v>
      </c>
      <c r="D387" s="5">
        <v>46173</v>
      </c>
      <c r="E387" s="5">
        <v>46174</v>
      </c>
      <c r="F387" t="s">
        <v>33</v>
      </c>
      <c r="G387" t="s">
        <v>52</v>
      </c>
      <c r="H387" t="s">
        <v>21</v>
      </c>
      <c r="I387" t="s">
        <v>43</v>
      </c>
      <c r="J387">
        <v>623.79999999999995</v>
      </c>
      <c r="K387">
        <v>3045.2</v>
      </c>
      <c r="L387">
        <v>7492000</v>
      </c>
      <c r="M387" t="b">
        <v>0</v>
      </c>
      <c r="N387" t="b">
        <v>0</v>
      </c>
      <c r="O387">
        <v>5000</v>
      </c>
      <c r="P387" t="b">
        <v>0</v>
      </c>
      <c r="Q387" t="b">
        <v>0</v>
      </c>
      <c r="R387" t="b">
        <v>0</v>
      </c>
      <c r="S387" t="s">
        <v>101</v>
      </c>
      <c r="T387" t="s">
        <v>1622</v>
      </c>
      <c r="U387">
        <v>60.903999999999989</v>
      </c>
      <c r="V387">
        <v>0</v>
      </c>
      <c r="W387">
        <v>0</v>
      </c>
      <c r="X387">
        <v>6</v>
      </c>
      <c r="Y387" s="6">
        <v>46143</v>
      </c>
      <c r="Z387">
        <v>1</v>
      </c>
    </row>
    <row r="388" spans="1:26" x14ac:dyDescent="0.3">
      <c r="A388" t="s">
        <v>493</v>
      </c>
      <c r="B388" s="5">
        <v>46202</v>
      </c>
      <c r="C388" s="5">
        <v>46203</v>
      </c>
      <c r="D388" s="5">
        <v>46206</v>
      </c>
      <c r="E388" s="5">
        <v>46208</v>
      </c>
      <c r="F388" t="s">
        <v>32</v>
      </c>
      <c r="G388" t="s">
        <v>58</v>
      </c>
      <c r="H388" t="s">
        <v>22</v>
      </c>
      <c r="I388" t="s">
        <v>43</v>
      </c>
      <c r="J388">
        <v>306.5</v>
      </c>
      <c r="K388">
        <v>2446.6999999999998</v>
      </c>
      <c r="L388">
        <v>5217000</v>
      </c>
      <c r="M388" t="b">
        <v>0</v>
      </c>
      <c r="N388" t="b">
        <v>0</v>
      </c>
      <c r="O388">
        <v>5000</v>
      </c>
      <c r="P388" t="b">
        <v>0</v>
      </c>
      <c r="Q388" t="b">
        <v>0</v>
      </c>
      <c r="R388" t="b">
        <v>0</v>
      </c>
      <c r="S388" t="s">
        <v>101</v>
      </c>
      <c r="T388" t="s">
        <v>1656</v>
      </c>
      <c r="U388">
        <v>48.933999999999997</v>
      </c>
      <c r="V388">
        <v>0</v>
      </c>
      <c r="W388">
        <v>0</v>
      </c>
      <c r="X388">
        <v>5</v>
      </c>
      <c r="Y388" s="6">
        <v>46174</v>
      </c>
      <c r="Z388">
        <v>2</v>
      </c>
    </row>
    <row r="389" spans="1:26" x14ac:dyDescent="0.3">
      <c r="A389" t="s">
        <v>494</v>
      </c>
      <c r="B389" s="5">
        <v>46071</v>
      </c>
      <c r="C389" s="5">
        <v>46072</v>
      </c>
      <c r="D389" s="5">
        <v>46074</v>
      </c>
      <c r="E389" s="5">
        <v>46074</v>
      </c>
      <c r="F389" t="s">
        <v>33</v>
      </c>
      <c r="G389" t="s">
        <v>62</v>
      </c>
      <c r="H389" t="s">
        <v>23</v>
      </c>
      <c r="I389" t="s">
        <v>44</v>
      </c>
      <c r="J389">
        <v>153.1</v>
      </c>
      <c r="K389">
        <v>798.2</v>
      </c>
      <c r="L389">
        <v>2452000</v>
      </c>
      <c r="M389" t="b">
        <v>0</v>
      </c>
      <c r="N389" t="b">
        <v>0</v>
      </c>
      <c r="O389">
        <v>1500</v>
      </c>
      <c r="P389" t="b">
        <v>0</v>
      </c>
      <c r="Q389" t="b">
        <v>0</v>
      </c>
      <c r="R389" t="b">
        <v>0</v>
      </c>
      <c r="S389" t="s">
        <v>96</v>
      </c>
      <c r="T389" t="s">
        <v>1657</v>
      </c>
      <c r="U389">
        <v>53.213333333333338</v>
      </c>
      <c r="V389">
        <v>0</v>
      </c>
      <c r="W389">
        <v>0</v>
      </c>
      <c r="X389">
        <v>2</v>
      </c>
      <c r="Y389" s="6">
        <v>46054</v>
      </c>
    </row>
    <row r="390" spans="1:26" x14ac:dyDescent="0.3">
      <c r="A390" t="s">
        <v>495</v>
      </c>
      <c r="B390" s="5">
        <v>46147</v>
      </c>
      <c r="C390" s="5">
        <v>46148</v>
      </c>
      <c r="D390" s="5">
        <v>46151</v>
      </c>
      <c r="E390" s="5">
        <v>46151</v>
      </c>
      <c r="F390" t="s">
        <v>34</v>
      </c>
      <c r="G390" t="s">
        <v>54</v>
      </c>
      <c r="H390" t="s">
        <v>23</v>
      </c>
      <c r="I390" t="s">
        <v>43</v>
      </c>
      <c r="J390">
        <v>445.1</v>
      </c>
      <c r="K390">
        <v>1594.9</v>
      </c>
      <c r="L390">
        <v>6818000</v>
      </c>
      <c r="M390" t="b">
        <v>0</v>
      </c>
      <c r="N390" t="b">
        <v>0</v>
      </c>
      <c r="O390">
        <v>5000</v>
      </c>
      <c r="P390" t="b">
        <v>0</v>
      </c>
      <c r="Q390" t="b">
        <v>0</v>
      </c>
      <c r="R390" t="b">
        <v>0</v>
      </c>
      <c r="S390" t="s">
        <v>96</v>
      </c>
      <c r="T390" t="s">
        <v>1635</v>
      </c>
      <c r="U390">
        <v>31.898</v>
      </c>
      <c r="V390">
        <v>0</v>
      </c>
      <c r="W390">
        <v>0</v>
      </c>
      <c r="X390">
        <v>3</v>
      </c>
      <c r="Y390" s="6">
        <v>46143</v>
      </c>
    </row>
    <row r="391" spans="1:26" x14ac:dyDescent="0.3">
      <c r="A391" t="s">
        <v>496</v>
      </c>
      <c r="B391" s="5">
        <v>46129</v>
      </c>
      <c r="C391" s="5">
        <v>46129</v>
      </c>
      <c r="D391" s="5">
        <v>46131</v>
      </c>
      <c r="E391" s="5">
        <v>46131</v>
      </c>
      <c r="F391" t="s">
        <v>34</v>
      </c>
      <c r="G391" t="s">
        <v>53</v>
      </c>
      <c r="H391" t="s">
        <v>21</v>
      </c>
      <c r="I391" t="s">
        <v>43</v>
      </c>
      <c r="J391">
        <v>279.10000000000002</v>
      </c>
      <c r="K391">
        <v>721.9</v>
      </c>
      <c r="L391">
        <v>4254000</v>
      </c>
      <c r="M391" t="b">
        <v>0</v>
      </c>
      <c r="N391" t="b">
        <v>0</v>
      </c>
      <c r="O391">
        <v>5000</v>
      </c>
      <c r="P391" t="b">
        <v>0</v>
      </c>
      <c r="Q391" t="b">
        <v>0</v>
      </c>
      <c r="R391" t="b">
        <v>0</v>
      </c>
      <c r="S391" t="s">
        <v>96</v>
      </c>
      <c r="T391" t="s">
        <v>1636</v>
      </c>
      <c r="U391">
        <v>14.438000000000001</v>
      </c>
      <c r="V391">
        <v>0</v>
      </c>
      <c r="W391">
        <v>0</v>
      </c>
      <c r="X391">
        <v>2</v>
      </c>
      <c r="Y391" s="6">
        <v>46113</v>
      </c>
    </row>
    <row r="392" spans="1:26" x14ac:dyDescent="0.3">
      <c r="A392" t="s">
        <v>497</v>
      </c>
      <c r="B392" s="5">
        <v>46145</v>
      </c>
      <c r="C392" s="5">
        <v>46146</v>
      </c>
      <c r="D392" s="5">
        <v>46149</v>
      </c>
      <c r="E392" s="5">
        <v>46150</v>
      </c>
      <c r="F392" t="s">
        <v>34</v>
      </c>
      <c r="G392" t="s">
        <v>59</v>
      </c>
      <c r="H392" t="s">
        <v>20</v>
      </c>
      <c r="I392" t="s">
        <v>43</v>
      </c>
      <c r="J392">
        <v>337.5</v>
      </c>
      <c r="K392">
        <v>1397.9</v>
      </c>
      <c r="L392">
        <v>6073000</v>
      </c>
      <c r="M392" t="b">
        <v>0</v>
      </c>
      <c r="N392" t="b">
        <v>0</v>
      </c>
      <c r="O392">
        <v>5000</v>
      </c>
      <c r="P392" t="b">
        <v>0</v>
      </c>
      <c r="Q392" t="b">
        <v>0</v>
      </c>
      <c r="R392" t="b">
        <v>0</v>
      </c>
      <c r="S392" t="s">
        <v>101</v>
      </c>
      <c r="T392" t="s">
        <v>1616</v>
      </c>
      <c r="U392">
        <v>27.957999999999998</v>
      </c>
      <c r="V392">
        <v>0</v>
      </c>
      <c r="W392">
        <v>0</v>
      </c>
      <c r="X392">
        <v>4</v>
      </c>
      <c r="Y392" s="6">
        <v>46143</v>
      </c>
      <c r="Z392">
        <v>1</v>
      </c>
    </row>
    <row r="393" spans="1:26" x14ac:dyDescent="0.3">
      <c r="A393" t="s">
        <v>498</v>
      </c>
      <c r="B393" s="5">
        <v>46175</v>
      </c>
      <c r="C393" s="5">
        <v>46177</v>
      </c>
      <c r="D393" s="5">
        <v>46180</v>
      </c>
      <c r="E393" s="5">
        <v>46182</v>
      </c>
      <c r="F393" t="s">
        <v>34</v>
      </c>
      <c r="G393" t="s">
        <v>59</v>
      </c>
      <c r="H393" t="s">
        <v>22</v>
      </c>
      <c r="I393" t="s">
        <v>43</v>
      </c>
      <c r="J393">
        <v>309.5</v>
      </c>
      <c r="K393">
        <v>3517.6</v>
      </c>
      <c r="L393">
        <v>6424000</v>
      </c>
      <c r="M393" t="b">
        <v>0</v>
      </c>
      <c r="N393" t="b">
        <v>0</v>
      </c>
      <c r="O393">
        <v>5000</v>
      </c>
      <c r="P393" t="b">
        <v>0</v>
      </c>
      <c r="Q393" t="b">
        <v>0</v>
      </c>
      <c r="R393" t="b">
        <v>0</v>
      </c>
      <c r="S393" t="s">
        <v>101</v>
      </c>
      <c r="T393" t="s">
        <v>1616</v>
      </c>
      <c r="U393">
        <v>70.352000000000004</v>
      </c>
      <c r="V393">
        <v>0</v>
      </c>
      <c r="W393">
        <v>0</v>
      </c>
      <c r="X393">
        <v>5</v>
      </c>
      <c r="Y393" s="6">
        <v>46174</v>
      </c>
      <c r="Z393">
        <v>2</v>
      </c>
    </row>
    <row r="394" spans="1:26" x14ac:dyDescent="0.3">
      <c r="A394" t="s">
        <v>499</v>
      </c>
      <c r="B394" s="5">
        <v>46041</v>
      </c>
      <c r="C394" s="5">
        <v>46042</v>
      </c>
      <c r="D394" s="5">
        <v>46045</v>
      </c>
      <c r="E394" s="5">
        <v>46045</v>
      </c>
      <c r="F394" t="s">
        <v>34</v>
      </c>
      <c r="G394" t="s">
        <v>53</v>
      </c>
      <c r="H394" t="s">
        <v>22</v>
      </c>
      <c r="I394" t="s">
        <v>42</v>
      </c>
      <c r="J394">
        <v>311.5</v>
      </c>
      <c r="K394">
        <v>11693.9</v>
      </c>
      <c r="L394">
        <v>9960000</v>
      </c>
      <c r="M394" t="b">
        <v>0</v>
      </c>
      <c r="N394" t="b">
        <v>0</v>
      </c>
      <c r="O394">
        <v>16000</v>
      </c>
      <c r="P394" t="b">
        <v>0</v>
      </c>
      <c r="Q394" t="b">
        <v>0</v>
      </c>
      <c r="R394" t="b">
        <v>0</v>
      </c>
      <c r="S394" t="s">
        <v>96</v>
      </c>
      <c r="T394" t="s">
        <v>1636</v>
      </c>
      <c r="U394">
        <v>73.086874999999992</v>
      </c>
      <c r="V394">
        <v>0</v>
      </c>
      <c r="W394">
        <v>0</v>
      </c>
      <c r="X394">
        <v>3</v>
      </c>
      <c r="Y394" s="6">
        <v>46023</v>
      </c>
    </row>
    <row r="395" spans="1:26" x14ac:dyDescent="0.3">
      <c r="A395" t="s">
        <v>500</v>
      </c>
      <c r="B395" s="5">
        <v>46082</v>
      </c>
      <c r="C395" s="5">
        <v>46082</v>
      </c>
      <c r="D395" s="5">
        <v>46083</v>
      </c>
      <c r="E395" s="5">
        <v>46083</v>
      </c>
      <c r="F395" t="s">
        <v>34</v>
      </c>
      <c r="G395" t="s">
        <v>55</v>
      </c>
      <c r="H395" t="s">
        <v>20</v>
      </c>
      <c r="I395" t="s">
        <v>45</v>
      </c>
      <c r="J395">
        <v>48.1</v>
      </c>
      <c r="K395">
        <v>669.9</v>
      </c>
      <c r="L395">
        <v>1251000</v>
      </c>
      <c r="M395" t="b">
        <v>0</v>
      </c>
      <c r="N395" t="b">
        <v>0</v>
      </c>
      <c r="O395">
        <v>1000</v>
      </c>
      <c r="P395" t="b">
        <v>0</v>
      </c>
      <c r="Q395" t="b">
        <v>0</v>
      </c>
      <c r="R395" t="b">
        <v>0</v>
      </c>
      <c r="S395" t="s">
        <v>96</v>
      </c>
      <c r="T395" t="s">
        <v>1639</v>
      </c>
      <c r="U395">
        <v>66.989999999999995</v>
      </c>
      <c r="V395">
        <v>0</v>
      </c>
      <c r="W395">
        <v>0</v>
      </c>
      <c r="X395">
        <v>1</v>
      </c>
      <c r="Y395" s="6">
        <v>46082</v>
      </c>
    </row>
    <row r="396" spans="1:26" x14ac:dyDescent="0.3">
      <c r="A396" t="s">
        <v>501</v>
      </c>
      <c r="B396" s="5">
        <v>46140</v>
      </c>
      <c r="C396" s="5">
        <v>46141</v>
      </c>
      <c r="D396" s="5">
        <v>46143</v>
      </c>
      <c r="E396" s="5">
        <v>46143</v>
      </c>
      <c r="F396" t="s">
        <v>31</v>
      </c>
      <c r="G396" t="s">
        <v>57</v>
      </c>
      <c r="H396" t="s">
        <v>20</v>
      </c>
      <c r="I396" t="s">
        <v>45</v>
      </c>
      <c r="J396">
        <v>121.4</v>
      </c>
      <c r="K396">
        <v>524</v>
      </c>
      <c r="L396">
        <v>1664000</v>
      </c>
      <c r="M396" t="b">
        <v>0</v>
      </c>
      <c r="N396" t="b">
        <v>0</v>
      </c>
      <c r="O396">
        <v>1000</v>
      </c>
      <c r="P396" t="b">
        <v>0</v>
      </c>
      <c r="Q396" t="b">
        <v>0</v>
      </c>
      <c r="R396" t="b">
        <v>0</v>
      </c>
      <c r="S396" t="s">
        <v>96</v>
      </c>
      <c r="T396" t="s">
        <v>1617</v>
      </c>
      <c r="U396">
        <v>52.400000000000013</v>
      </c>
      <c r="V396">
        <v>0</v>
      </c>
      <c r="W396">
        <v>0</v>
      </c>
      <c r="X396">
        <v>2</v>
      </c>
      <c r="Y396" s="6">
        <v>46113</v>
      </c>
    </row>
    <row r="397" spans="1:26" x14ac:dyDescent="0.3">
      <c r="A397" t="s">
        <v>502</v>
      </c>
      <c r="B397" s="5">
        <v>46183</v>
      </c>
      <c r="C397" s="5">
        <v>46184</v>
      </c>
      <c r="D397" s="5">
        <v>46186</v>
      </c>
      <c r="E397" s="5">
        <v>46187</v>
      </c>
      <c r="F397" t="s">
        <v>34</v>
      </c>
      <c r="G397" t="s">
        <v>58</v>
      </c>
      <c r="H397" t="s">
        <v>20</v>
      </c>
      <c r="I397" t="s">
        <v>44</v>
      </c>
      <c r="J397">
        <v>146.4</v>
      </c>
      <c r="K397">
        <v>978.8</v>
      </c>
      <c r="L397">
        <v>2483000</v>
      </c>
      <c r="M397" t="b">
        <v>0</v>
      </c>
      <c r="N397" t="b">
        <v>0</v>
      </c>
      <c r="O397">
        <v>1500</v>
      </c>
      <c r="P397" t="b">
        <v>0</v>
      </c>
      <c r="Q397" t="b">
        <v>0</v>
      </c>
      <c r="R397" t="b">
        <v>0</v>
      </c>
      <c r="S397" t="s">
        <v>101</v>
      </c>
      <c r="T397" t="s">
        <v>1637</v>
      </c>
      <c r="U397">
        <v>65.25333333333333</v>
      </c>
      <c r="V397">
        <v>0</v>
      </c>
      <c r="W397">
        <v>0</v>
      </c>
      <c r="X397">
        <v>3</v>
      </c>
      <c r="Y397" s="6">
        <v>46174</v>
      </c>
      <c r="Z397">
        <v>1</v>
      </c>
    </row>
    <row r="398" spans="1:26" x14ac:dyDescent="0.3">
      <c r="A398" t="s">
        <v>503</v>
      </c>
      <c r="B398" s="5">
        <v>46030</v>
      </c>
      <c r="C398" s="5">
        <v>46032</v>
      </c>
      <c r="D398" s="5">
        <v>46036</v>
      </c>
      <c r="E398" s="5">
        <v>46036</v>
      </c>
      <c r="F398" t="s">
        <v>33</v>
      </c>
      <c r="G398" t="s">
        <v>52</v>
      </c>
      <c r="H398" t="s">
        <v>21</v>
      </c>
      <c r="I398" t="s">
        <v>45</v>
      </c>
      <c r="J398">
        <v>634.9</v>
      </c>
      <c r="K398">
        <v>889.6</v>
      </c>
      <c r="L398">
        <v>6206000</v>
      </c>
      <c r="M398" t="b">
        <v>0</v>
      </c>
      <c r="N398" t="b">
        <v>0</v>
      </c>
      <c r="O398">
        <v>1000</v>
      </c>
      <c r="P398" t="b">
        <v>0</v>
      </c>
      <c r="Q398" t="b">
        <v>0</v>
      </c>
      <c r="R398" t="b">
        <v>0</v>
      </c>
      <c r="S398" t="s">
        <v>96</v>
      </c>
      <c r="T398" t="s">
        <v>1622</v>
      </c>
      <c r="U398">
        <v>88.960000000000008</v>
      </c>
      <c r="V398">
        <v>0</v>
      </c>
      <c r="W398">
        <v>0</v>
      </c>
      <c r="X398">
        <v>4</v>
      </c>
      <c r="Y398" s="6">
        <v>46023</v>
      </c>
    </row>
    <row r="399" spans="1:26" x14ac:dyDescent="0.3">
      <c r="A399" t="s">
        <v>504</v>
      </c>
      <c r="B399" s="5">
        <v>46088</v>
      </c>
      <c r="C399" s="5">
        <v>46089</v>
      </c>
      <c r="D399" s="5">
        <v>46092</v>
      </c>
      <c r="E399" s="5">
        <v>46092</v>
      </c>
      <c r="F399" t="s">
        <v>33</v>
      </c>
      <c r="G399" t="s">
        <v>57</v>
      </c>
      <c r="H399" t="s">
        <v>20</v>
      </c>
      <c r="I399" t="s">
        <v>45</v>
      </c>
      <c r="J399">
        <v>457.3</v>
      </c>
      <c r="K399">
        <v>599.1</v>
      </c>
      <c r="L399">
        <v>4288000</v>
      </c>
      <c r="M399" t="b">
        <v>0</v>
      </c>
      <c r="N399" t="b">
        <v>0</v>
      </c>
      <c r="O399">
        <v>1000</v>
      </c>
      <c r="P399" t="b">
        <v>0</v>
      </c>
      <c r="Q399" t="b">
        <v>0</v>
      </c>
      <c r="R399" t="b">
        <v>0</v>
      </c>
      <c r="S399" t="s">
        <v>96</v>
      </c>
      <c r="T399" t="s">
        <v>1624</v>
      </c>
      <c r="U399">
        <v>59.910000000000011</v>
      </c>
      <c r="V399">
        <v>0</v>
      </c>
      <c r="W399">
        <v>0</v>
      </c>
      <c r="X399">
        <v>3</v>
      </c>
      <c r="Y399" s="6">
        <v>46082</v>
      </c>
    </row>
    <row r="400" spans="1:26" x14ac:dyDescent="0.3">
      <c r="A400" t="s">
        <v>505</v>
      </c>
      <c r="B400" s="5">
        <v>46080</v>
      </c>
      <c r="C400" s="5">
        <v>46080</v>
      </c>
      <c r="D400" s="5">
        <v>46082</v>
      </c>
      <c r="E400" s="5">
        <v>46082</v>
      </c>
      <c r="F400" t="s">
        <v>33</v>
      </c>
      <c r="G400" t="s">
        <v>63</v>
      </c>
      <c r="H400" t="s">
        <v>24</v>
      </c>
      <c r="I400" t="s">
        <v>44</v>
      </c>
      <c r="J400">
        <v>297</v>
      </c>
      <c r="K400">
        <v>160.9</v>
      </c>
      <c r="L400">
        <v>3724000</v>
      </c>
      <c r="M400" t="b">
        <v>0</v>
      </c>
      <c r="N400" t="b">
        <v>0</v>
      </c>
      <c r="O400">
        <v>1500</v>
      </c>
      <c r="P400" t="b">
        <v>0</v>
      </c>
      <c r="Q400" t="b">
        <v>0</v>
      </c>
      <c r="R400" t="b">
        <v>0</v>
      </c>
      <c r="S400" t="s">
        <v>96</v>
      </c>
      <c r="T400" t="s">
        <v>1625</v>
      </c>
      <c r="U400">
        <v>10.72666666666667</v>
      </c>
      <c r="V400">
        <v>0</v>
      </c>
      <c r="W400">
        <v>0</v>
      </c>
      <c r="X400">
        <v>2</v>
      </c>
      <c r="Y400" s="6">
        <v>46054</v>
      </c>
    </row>
    <row r="401" spans="1:26" x14ac:dyDescent="0.3">
      <c r="A401" t="s">
        <v>506</v>
      </c>
      <c r="B401" s="5">
        <v>46064</v>
      </c>
      <c r="C401" s="5">
        <v>46066</v>
      </c>
      <c r="D401" s="5">
        <v>46070</v>
      </c>
      <c r="E401" s="5">
        <v>46070</v>
      </c>
      <c r="F401" t="s">
        <v>33</v>
      </c>
      <c r="G401" t="s">
        <v>53</v>
      </c>
      <c r="H401" t="s">
        <v>20</v>
      </c>
      <c r="I401" t="s">
        <v>44</v>
      </c>
      <c r="J401">
        <v>510</v>
      </c>
      <c r="K401">
        <v>687.4</v>
      </c>
      <c r="L401">
        <v>4870000</v>
      </c>
      <c r="M401" t="b">
        <v>0</v>
      </c>
      <c r="N401" t="b">
        <v>0</v>
      </c>
      <c r="O401">
        <v>1500</v>
      </c>
      <c r="P401" t="b">
        <v>0</v>
      </c>
      <c r="Q401" t="b">
        <v>0</v>
      </c>
      <c r="R401" t="b">
        <v>0</v>
      </c>
      <c r="S401" t="s">
        <v>96</v>
      </c>
      <c r="T401" t="s">
        <v>1632</v>
      </c>
      <c r="U401">
        <v>45.826666666666668</v>
      </c>
      <c r="V401">
        <v>0</v>
      </c>
      <c r="W401">
        <v>0</v>
      </c>
      <c r="X401">
        <v>4</v>
      </c>
      <c r="Y401" s="6">
        <v>46054</v>
      </c>
    </row>
    <row r="402" spans="1:26" x14ac:dyDescent="0.3">
      <c r="A402" t="s">
        <v>507</v>
      </c>
      <c r="B402" s="5">
        <v>46194</v>
      </c>
      <c r="C402" s="5">
        <v>46195</v>
      </c>
      <c r="D402" s="5">
        <v>46198</v>
      </c>
      <c r="E402" s="5">
        <v>46198</v>
      </c>
      <c r="F402" t="s">
        <v>32</v>
      </c>
      <c r="G402" t="s">
        <v>60</v>
      </c>
      <c r="H402" t="s">
        <v>23</v>
      </c>
      <c r="I402" t="s">
        <v>43</v>
      </c>
      <c r="J402">
        <v>471.8</v>
      </c>
      <c r="K402">
        <v>3661.8</v>
      </c>
      <c r="L402">
        <v>7048000</v>
      </c>
      <c r="M402" t="b">
        <v>0</v>
      </c>
      <c r="N402" t="b">
        <v>0</v>
      </c>
      <c r="O402">
        <v>5000</v>
      </c>
      <c r="P402" t="b">
        <v>0</v>
      </c>
      <c r="Q402" t="b">
        <v>0</v>
      </c>
      <c r="R402" t="b">
        <v>0</v>
      </c>
      <c r="S402" t="s">
        <v>96</v>
      </c>
      <c r="T402" t="s">
        <v>1647</v>
      </c>
      <c r="U402">
        <v>73.236000000000004</v>
      </c>
      <c r="V402">
        <v>0</v>
      </c>
      <c r="W402">
        <v>0</v>
      </c>
      <c r="X402">
        <v>3</v>
      </c>
      <c r="Y402" s="6">
        <v>46174</v>
      </c>
    </row>
    <row r="403" spans="1:26" x14ac:dyDescent="0.3">
      <c r="A403" t="s">
        <v>508</v>
      </c>
      <c r="B403" s="5">
        <v>46198</v>
      </c>
      <c r="C403" s="5">
        <v>46198</v>
      </c>
      <c r="D403" s="5">
        <v>46201</v>
      </c>
      <c r="E403" s="5">
        <v>46201</v>
      </c>
      <c r="F403" t="s">
        <v>31</v>
      </c>
      <c r="G403" t="s">
        <v>52</v>
      </c>
      <c r="H403" t="s">
        <v>23</v>
      </c>
      <c r="I403" t="s">
        <v>43</v>
      </c>
      <c r="J403">
        <v>307.5</v>
      </c>
      <c r="K403">
        <v>3700.6</v>
      </c>
      <c r="L403">
        <v>6003000</v>
      </c>
      <c r="M403" t="b">
        <v>0</v>
      </c>
      <c r="N403" t="b">
        <v>0</v>
      </c>
      <c r="O403">
        <v>5000</v>
      </c>
      <c r="P403" t="b">
        <v>0</v>
      </c>
      <c r="Q403" t="b">
        <v>0</v>
      </c>
      <c r="R403" t="b">
        <v>0</v>
      </c>
      <c r="S403" t="s">
        <v>96</v>
      </c>
      <c r="T403" t="s">
        <v>1618</v>
      </c>
      <c r="U403">
        <v>74.012</v>
      </c>
      <c r="V403">
        <v>0</v>
      </c>
      <c r="W403">
        <v>0</v>
      </c>
      <c r="X403">
        <v>3</v>
      </c>
      <c r="Y403" s="6">
        <v>46174</v>
      </c>
    </row>
    <row r="404" spans="1:26" x14ac:dyDescent="0.3">
      <c r="A404" t="s">
        <v>509</v>
      </c>
      <c r="B404" s="5">
        <v>46080</v>
      </c>
      <c r="C404" s="5">
        <v>46079</v>
      </c>
      <c r="D404" s="5">
        <v>46084</v>
      </c>
      <c r="E404" s="5">
        <v>46084</v>
      </c>
      <c r="F404" t="s">
        <v>33</v>
      </c>
      <c r="G404" t="s">
        <v>63</v>
      </c>
      <c r="H404" t="s">
        <v>24</v>
      </c>
      <c r="I404" t="s">
        <v>43</v>
      </c>
      <c r="J404">
        <v>314.39999999999998</v>
      </c>
      <c r="K404">
        <v>2346.1999999999998</v>
      </c>
      <c r="L404">
        <v>6123000</v>
      </c>
      <c r="M404" t="b">
        <v>1</v>
      </c>
      <c r="N404" t="b">
        <v>0</v>
      </c>
      <c r="O404">
        <v>5000</v>
      </c>
      <c r="P404" t="b">
        <v>0</v>
      </c>
      <c r="Q404" t="b">
        <v>0</v>
      </c>
      <c r="R404" t="b">
        <v>1</v>
      </c>
      <c r="S404" t="s">
        <v>260</v>
      </c>
      <c r="T404" t="s">
        <v>1625</v>
      </c>
      <c r="U404">
        <v>46.923999999999999</v>
      </c>
      <c r="V404">
        <v>0</v>
      </c>
      <c r="W404">
        <v>1</v>
      </c>
      <c r="Y404" s="6">
        <v>46054</v>
      </c>
    </row>
    <row r="405" spans="1:26" x14ac:dyDescent="0.3">
      <c r="A405" t="s">
        <v>510</v>
      </c>
      <c r="B405" s="5">
        <v>46177</v>
      </c>
      <c r="C405" s="5">
        <v>46178</v>
      </c>
      <c r="D405" s="5">
        <v>46181</v>
      </c>
      <c r="E405" s="5">
        <v>46183</v>
      </c>
      <c r="F405" t="s">
        <v>34</v>
      </c>
      <c r="G405" t="s">
        <v>54</v>
      </c>
      <c r="H405" t="s">
        <v>22</v>
      </c>
      <c r="I405" t="s">
        <v>43</v>
      </c>
      <c r="J405">
        <v>462.5</v>
      </c>
      <c r="K405">
        <v>4259.5</v>
      </c>
      <c r="L405">
        <v>8003000</v>
      </c>
      <c r="M405" t="b">
        <v>0</v>
      </c>
      <c r="N405" t="b">
        <v>0</v>
      </c>
      <c r="O405">
        <v>5000</v>
      </c>
      <c r="P405" t="b">
        <v>0</v>
      </c>
      <c r="Q405" t="b">
        <v>0</v>
      </c>
      <c r="R405" t="b">
        <v>0</v>
      </c>
      <c r="S405" t="s">
        <v>101</v>
      </c>
      <c r="T405" t="s">
        <v>1635</v>
      </c>
      <c r="U405">
        <v>85.19</v>
      </c>
      <c r="V405">
        <v>0</v>
      </c>
      <c r="W405">
        <v>0</v>
      </c>
      <c r="X405">
        <v>5</v>
      </c>
      <c r="Y405" s="6">
        <v>46174</v>
      </c>
      <c r="Z405">
        <v>2</v>
      </c>
    </row>
    <row r="406" spans="1:26" x14ac:dyDescent="0.3">
      <c r="A406" t="s">
        <v>511</v>
      </c>
      <c r="B406" s="5">
        <v>46073</v>
      </c>
      <c r="C406" s="5">
        <v>46074</v>
      </c>
      <c r="D406" s="5">
        <v>46076</v>
      </c>
      <c r="E406" s="5">
        <v>46075</v>
      </c>
      <c r="F406" t="s">
        <v>33</v>
      </c>
      <c r="G406" t="s">
        <v>63</v>
      </c>
      <c r="H406" t="s">
        <v>23</v>
      </c>
      <c r="I406" t="s">
        <v>43</v>
      </c>
      <c r="J406">
        <v>261</v>
      </c>
      <c r="K406">
        <v>2383.4</v>
      </c>
      <c r="L406">
        <v>4582000</v>
      </c>
      <c r="M406" t="b">
        <v>0</v>
      </c>
      <c r="N406" t="b">
        <v>0</v>
      </c>
      <c r="O406">
        <v>5000</v>
      </c>
      <c r="P406" t="b">
        <v>0</v>
      </c>
      <c r="Q406" t="b">
        <v>0</v>
      </c>
      <c r="R406" t="b">
        <v>0</v>
      </c>
      <c r="S406" t="s">
        <v>96</v>
      </c>
      <c r="T406" t="s">
        <v>1625</v>
      </c>
      <c r="U406">
        <v>47.667999999999999</v>
      </c>
      <c r="V406">
        <v>0</v>
      </c>
      <c r="W406">
        <v>0</v>
      </c>
      <c r="X406">
        <v>1</v>
      </c>
      <c r="Y406" s="6">
        <v>46054</v>
      </c>
    </row>
    <row r="407" spans="1:26" x14ac:dyDescent="0.3">
      <c r="A407" t="s">
        <v>512</v>
      </c>
      <c r="B407" s="5">
        <v>46083</v>
      </c>
      <c r="C407" s="5">
        <v>46084</v>
      </c>
      <c r="D407" s="5">
        <v>46088</v>
      </c>
      <c r="E407" s="5">
        <v>46088</v>
      </c>
      <c r="F407" t="s">
        <v>33</v>
      </c>
      <c r="G407" t="s">
        <v>54</v>
      </c>
      <c r="H407" t="s">
        <v>24</v>
      </c>
      <c r="I407" t="s">
        <v>44</v>
      </c>
      <c r="J407">
        <v>881.9</v>
      </c>
      <c r="K407">
        <v>1130.2</v>
      </c>
      <c r="L407">
        <v>9159000</v>
      </c>
      <c r="M407" t="b">
        <v>0</v>
      </c>
      <c r="N407" t="b">
        <v>0</v>
      </c>
      <c r="O407">
        <v>1500</v>
      </c>
      <c r="P407" t="b">
        <v>0</v>
      </c>
      <c r="Q407" t="b">
        <v>0</v>
      </c>
      <c r="R407" t="b">
        <v>0</v>
      </c>
      <c r="S407" t="s">
        <v>96</v>
      </c>
      <c r="T407" t="s">
        <v>1642</v>
      </c>
      <c r="U407">
        <v>75.346666666666678</v>
      </c>
      <c r="V407">
        <v>0</v>
      </c>
      <c r="W407">
        <v>0</v>
      </c>
      <c r="X407">
        <v>4</v>
      </c>
      <c r="Y407" s="6">
        <v>46082</v>
      </c>
    </row>
    <row r="408" spans="1:26" x14ac:dyDescent="0.3">
      <c r="A408" t="s">
        <v>513</v>
      </c>
      <c r="B408" s="5">
        <v>46113</v>
      </c>
      <c r="C408" s="5">
        <v>46114</v>
      </c>
      <c r="D408" s="5">
        <v>46116</v>
      </c>
      <c r="E408" s="5">
        <v>46117</v>
      </c>
      <c r="F408" t="s">
        <v>31</v>
      </c>
      <c r="G408" t="s">
        <v>59</v>
      </c>
      <c r="H408" t="s">
        <v>22</v>
      </c>
      <c r="I408" t="s">
        <v>45</v>
      </c>
      <c r="J408">
        <v>281.10000000000002</v>
      </c>
      <c r="K408">
        <v>722.8</v>
      </c>
      <c r="L408">
        <v>3359000</v>
      </c>
      <c r="M408" t="b">
        <v>0</v>
      </c>
      <c r="N408" t="b">
        <v>0</v>
      </c>
      <c r="O408">
        <v>1000</v>
      </c>
      <c r="P408" t="b">
        <v>0</v>
      </c>
      <c r="Q408" t="b">
        <v>0</v>
      </c>
      <c r="R408" t="b">
        <v>0</v>
      </c>
      <c r="S408" t="s">
        <v>101</v>
      </c>
      <c r="T408" t="s">
        <v>1628</v>
      </c>
      <c r="U408">
        <v>72.28</v>
      </c>
      <c r="V408">
        <v>0</v>
      </c>
      <c r="W408">
        <v>0</v>
      </c>
      <c r="X408">
        <v>3</v>
      </c>
      <c r="Y408" s="6">
        <v>46113</v>
      </c>
      <c r="Z408">
        <v>1</v>
      </c>
    </row>
    <row r="409" spans="1:26" x14ac:dyDescent="0.3">
      <c r="A409" t="s">
        <v>514</v>
      </c>
      <c r="B409" s="5">
        <v>46163</v>
      </c>
      <c r="C409" s="5">
        <v>46164</v>
      </c>
      <c r="D409" s="5">
        <v>46168</v>
      </c>
      <c r="E409" s="5">
        <v>46168</v>
      </c>
      <c r="F409" t="s">
        <v>32</v>
      </c>
      <c r="G409" t="s">
        <v>56</v>
      </c>
      <c r="H409" t="s">
        <v>23</v>
      </c>
      <c r="I409" t="s">
        <v>42</v>
      </c>
      <c r="J409">
        <v>988.4</v>
      </c>
      <c r="K409">
        <v>9747.7000000000007</v>
      </c>
      <c r="L409">
        <v>19161000</v>
      </c>
      <c r="M409" t="b">
        <v>0</v>
      </c>
      <c r="N409" t="b">
        <v>0</v>
      </c>
      <c r="O409">
        <v>16000</v>
      </c>
      <c r="P409" t="b">
        <v>0</v>
      </c>
      <c r="Q409" t="b">
        <v>0</v>
      </c>
      <c r="R409" t="b">
        <v>0</v>
      </c>
      <c r="S409" t="s">
        <v>96</v>
      </c>
      <c r="T409" t="s">
        <v>1658</v>
      </c>
      <c r="U409">
        <v>60.923124999999999</v>
      </c>
      <c r="V409">
        <v>0</v>
      </c>
      <c r="W409">
        <v>0</v>
      </c>
      <c r="X409">
        <v>4</v>
      </c>
      <c r="Y409" s="6">
        <v>46143</v>
      </c>
    </row>
    <row r="410" spans="1:26" x14ac:dyDescent="0.3">
      <c r="A410" t="s">
        <v>515</v>
      </c>
      <c r="B410" s="5">
        <v>46148</v>
      </c>
      <c r="C410" s="5">
        <v>46149</v>
      </c>
      <c r="D410" s="5">
        <v>46153</v>
      </c>
      <c r="E410" s="5">
        <v>46153</v>
      </c>
      <c r="F410" t="s">
        <v>33</v>
      </c>
      <c r="G410" t="s">
        <v>58</v>
      </c>
      <c r="H410" t="s">
        <v>24</v>
      </c>
      <c r="I410" t="s">
        <v>43</v>
      </c>
      <c r="J410">
        <v>663.9</v>
      </c>
      <c r="K410">
        <v>2807.4</v>
      </c>
      <c r="L410">
        <v>9648000</v>
      </c>
      <c r="M410" t="b">
        <v>0</v>
      </c>
      <c r="N410" t="b">
        <v>0</v>
      </c>
      <c r="O410">
        <v>5000</v>
      </c>
      <c r="P410" t="b">
        <v>0</v>
      </c>
      <c r="Q410" t="b">
        <v>0</v>
      </c>
      <c r="R410" t="b">
        <v>0</v>
      </c>
      <c r="S410" t="s">
        <v>96</v>
      </c>
      <c r="T410" t="s">
        <v>1651</v>
      </c>
      <c r="U410">
        <v>56.148000000000003</v>
      </c>
      <c r="V410">
        <v>0</v>
      </c>
      <c r="W410">
        <v>0</v>
      </c>
      <c r="X410">
        <v>4</v>
      </c>
      <c r="Y410" s="6">
        <v>46143</v>
      </c>
    </row>
    <row r="411" spans="1:26" x14ac:dyDescent="0.3">
      <c r="A411" t="s">
        <v>516</v>
      </c>
      <c r="B411" s="5">
        <v>46044</v>
      </c>
      <c r="C411" s="5">
        <v>46045</v>
      </c>
      <c r="D411" s="5">
        <v>46049</v>
      </c>
      <c r="E411" s="5">
        <v>46049</v>
      </c>
      <c r="F411" t="s">
        <v>33</v>
      </c>
      <c r="G411" t="s">
        <v>56</v>
      </c>
      <c r="H411" t="s">
        <v>23</v>
      </c>
      <c r="I411" t="s">
        <v>44</v>
      </c>
      <c r="J411">
        <v>1480.4</v>
      </c>
      <c r="K411">
        <v>556.70000000000005</v>
      </c>
      <c r="L411">
        <v>14145000</v>
      </c>
      <c r="M411" t="b">
        <v>0</v>
      </c>
      <c r="N411" t="b">
        <v>0</v>
      </c>
      <c r="O411">
        <v>1500</v>
      </c>
      <c r="P411" t="b">
        <v>0</v>
      </c>
      <c r="Q411" t="b">
        <v>0</v>
      </c>
      <c r="R411" t="b">
        <v>0</v>
      </c>
      <c r="S411" t="s">
        <v>96</v>
      </c>
      <c r="T411" t="s">
        <v>1654</v>
      </c>
      <c r="U411">
        <v>37.113333333333337</v>
      </c>
      <c r="V411">
        <v>0</v>
      </c>
      <c r="W411">
        <v>0</v>
      </c>
      <c r="X411">
        <v>4</v>
      </c>
      <c r="Y411" s="6">
        <v>46023</v>
      </c>
    </row>
    <row r="412" spans="1:26" x14ac:dyDescent="0.3">
      <c r="A412" t="s">
        <v>517</v>
      </c>
      <c r="B412" s="5">
        <v>46126</v>
      </c>
      <c r="C412" s="5">
        <v>46127</v>
      </c>
      <c r="D412" s="5">
        <v>46131</v>
      </c>
      <c r="E412" s="5">
        <v>46131</v>
      </c>
      <c r="F412" t="s">
        <v>34</v>
      </c>
      <c r="G412" t="s">
        <v>62</v>
      </c>
      <c r="H412" t="s">
        <v>20</v>
      </c>
      <c r="I412" t="s">
        <v>43</v>
      </c>
      <c r="J412">
        <v>763.8</v>
      </c>
      <c r="K412">
        <v>840.2</v>
      </c>
      <c r="L412">
        <v>10721000</v>
      </c>
      <c r="M412" t="b">
        <v>0</v>
      </c>
      <c r="N412" t="b">
        <v>0</v>
      </c>
      <c r="O412">
        <v>5000</v>
      </c>
      <c r="P412" t="b">
        <v>0</v>
      </c>
      <c r="Q412" t="b">
        <v>0</v>
      </c>
      <c r="R412" t="b">
        <v>0</v>
      </c>
      <c r="S412" t="s">
        <v>96</v>
      </c>
      <c r="T412" t="s">
        <v>1649</v>
      </c>
      <c r="U412">
        <v>16.803999999999998</v>
      </c>
      <c r="V412">
        <v>0</v>
      </c>
      <c r="W412">
        <v>0</v>
      </c>
      <c r="X412">
        <v>4</v>
      </c>
      <c r="Y412" s="6">
        <v>46113</v>
      </c>
    </row>
    <row r="413" spans="1:26" x14ac:dyDescent="0.3">
      <c r="A413" t="s">
        <v>518</v>
      </c>
      <c r="B413" s="5">
        <v>46150</v>
      </c>
      <c r="C413" s="5">
        <v>46151</v>
      </c>
      <c r="D413" s="5">
        <v>46154</v>
      </c>
      <c r="E413" s="5">
        <v>46154</v>
      </c>
      <c r="F413" t="s">
        <v>34</v>
      </c>
      <c r="G413" t="s">
        <v>59</v>
      </c>
      <c r="H413" t="s">
        <v>23</v>
      </c>
      <c r="I413" t="s">
        <v>44</v>
      </c>
      <c r="J413">
        <v>317.7</v>
      </c>
      <c r="K413">
        <v>963.2</v>
      </c>
      <c r="L413">
        <v>4067000</v>
      </c>
      <c r="M413" t="b">
        <v>0</v>
      </c>
      <c r="N413" t="b">
        <v>0</v>
      </c>
      <c r="O413">
        <v>1500</v>
      </c>
      <c r="P413" t="b">
        <v>0</v>
      </c>
      <c r="Q413" t="b">
        <v>0</v>
      </c>
      <c r="R413" t="b">
        <v>0</v>
      </c>
      <c r="S413" t="s">
        <v>96</v>
      </c>
      <c r="T413" t="s">
        <v>1616</v>
      </c>
      <c r="U413">
        <v>64.213333333333338</v>
      </c>
      <c r="V413">
        <v>0</v>
      </c>
      <c r="W413">
        <v>0</v>
      </c>
      <c r="X413">
        <v>3</v>
      </c>
      <c r="Y413" s="6">
        <v>46143</v>
      </c>
    </row>
    <row r="414" spans="1:26" x14ac:dyDescent="0.3">
      <c r="A414" t="s">
        <v>519</v>
      </c>
      <c r="B414" s="5">
        <v>46065</v>
      </c>
      <c r="C414" s="5">
        <v>46065</v>
      </c>
      <c r="D414" s="5">
        <v>46067</v>
      </c>
      <c r="E414" s="5">
        <v>46068</v>
      </c>
      <c r="F414" t="s">
        <v>32</v>
      </c>
      <c r="G414" t="s">
        <v>53</v>
      </c>
      <c r="H414" t="s">
        <v>24</v>
      </c>
      <c r="I414" t="s">
        <v>42</v>
      </c>
      <c r="J414">
        <v>269.89999999999998</v>
      </c>
      <c r="K414">
        <v>5572</v>
      </c>
      <c r="L414">
        <v>8401000</v>
      </c>
      <c r="M414" t="b">
        <v>0</v>
      </c>
      <c r="N414" t="b">
        <v>0</v>
      </c>
      <c r="O414">
        <v>16000</v>
      </c>
      <c r="P414" t="b">
        <v>0</v>
      </c>
      <c r="Q414" t="b">
        <v>0</v>
      </c>
      <c r="R414" t="b">
        <v>0</v>
      </c>
      <c r="S414" t="s">
        <v>101</v>
      </c>
      <c r="T414" t="s">
        <v>1612</v>
      </c>
      <c r="U414">
        <v>34.825000000000003</v>
      </c>
      <c r="V414">
        <v>0</v>
      </c>
      <c r="W414">
        <v>0</v>
      </c>
      <c r="X414">
        <v>3</v>
      </c>
      <c r="Y414" s="6">
        <v>46054</v>
      </c>
      <c r="Z414">
        <v>1</v>
      </c>
    </row>
    <row r="415" spans="1:26" x14ac:dyDescent="0.3">
      <c r="A415" t="s">
        <v>520</v>
      </c>
      <c r="B415" s="5">
        <v>46166</v>
      </c>
      <c r="C415" s="5">
        <v>46167</v>
      </c>
      <c r="D415" s="5">
        <v>46170</v>
      </c>
      <c r="E415" s="5"/>
      <c r="F415" t="s">
        <v>34</v>
      </c>
      <c r="G415" t="s">
        <v>58</v>
      </c>
      <c r="H415" t="s">
        <v>24</v>
      </c>
      <c r="I415" t="s">
        <v>44</v>
      </c>
      <c r="J415">
        <v>147.30000000000001</v>
      </c>
      <c r="K415">
        <v>260.8</v>
      </c>
      <c r="L415">
        <v>2009000</v>
      </c>
      <c r="M415" t="b">
        <v>0</v>
      </c>
      <c r="N415" t="b">
        <v>0</v>
      </c>
      <c r="O415">
        <v>1500</v>
      </c>
      <c r="P415" t="b">
        <v>0</v>
      </c>
      <c r="Q415" t="b">
        <v>0</v>
      </c>
      <c r="R415" t="b">
        <v>0</v>
      </c>
      <c r="S415" t="s">
        <v>203</v>
      </c>
      <c r="T415" t="s">
        <v>1637</v>
      </c>
      <c r="U415">
        <v>17.38666666666667</v>
      </c>
      <c r="V415">
        <v>0</v>
      </c>
      <c r="W415">
        <v>0</v>
      </c>
      <c r="Y415" s="6">
        <v>46143</v>
      </c>
    </row>
    <row r="416" spans="1:26" x14ac:dyDescent="0.3">
      <c r="A416" t="s">
        <v>521</v>
      </c>
      <c r="B416" s="5">
        <v>46173</v>
      </c>
      <c r="C416" s="5">
        <v>46174</v>
      </c>
      <c r="D416" s="5">
        <v>46177</v>
      </c>
      <c r="E416" s="5">
        <v>46178</v>
      </c>
      <c r="F416" t="s">
        <v>31</v>
      </c>
      <c r="G416" t="s">
        <v>60</v>
      </c>
      <c r="H416" t="s">
        <v>23</v>
      </c>
      <c r="I416" t="s">
        <v>43</v>
      </c>
      <c r="J416">
        <v>546.9</v>
      </c>
      <c r="K416">
        <v>2294.5</v>
      </c>
      <c r="L416">
        <v>7309000</v>
      </c>
      <c r="M416" t="b">
        <v>0</v>
      </c>
      <c r="N416" t="b">
        <v>0</v>
      </c>
      <c r="O416">
        <v>5000</v>
      </c>
      <c r="P416" t="b">
        <v>0</v>
      </c>
      <c r="Q416" t="b">
        <v>0</v>
      </c>
      <c r="R416" t="b">
        <v>0</v>
      </c>
      <c r="S416" t="s">
        <v>101</v>
      </c>
      <c r="T416" t="s">
        <v>1652</v>
      </c>
      <c r="U416">
        <v>45.89</v>
      </c>
      <c r="V416">
        <v>0</v>
      </c>
      <c r="W416">
        <v>0</v>
      </c>
      <c r="X416">
        <v>4</v>
      </c>
      <c r="Y416" s="6">
        <v>46174</v>
      </c>
      <c r="Z416">
        <v>1</v>
      </c>
    </row>
    <row r="417" spans="1:26" x14ac:dyDescent="0.3">
      <c r="A417" t="s">
        <v>522</v>
      </c>
      <c r="B417" s="5">
        <v>46175</v>
      </c>
      <c r="C417" s="5">
        <v>46176</v>
      </c>
      <c r="D417" s="5">
        <v>46179</v>
      </c>
      <c r="E417" s="5">
        <v>46180</v>
      </c>
      <c r="F417" t="s">
        <v>31</v>
      </c>
      <c r="G417" t="s">
        <v>53</v>
      </c>
      <c r="H417" t="s">
        <v>21</v>
      </c>
      <c r="I417" t="s">
        <v>43</v>
      </c>
      <c r="J417">
        <v>310.8</v>
      </c>
      <c r="K417">
        <v>1846.8</v>
      </c>
      <c r="L417">
        <v>5165000</v>
      </c>
      <c r="M417" t="b">
        <v>0</v>
      </c>
      <c r="N417" t="b">
        <v>0</v>
      </c>
      <c r="O417">
        <v>5000</v>
      </c>
      <c r="P417" t="b">
        <v>0</v>
      </c>
      <c r="Q417" t="b">
        <v>0</v>
      </c>
      <c r="R417" t="b">
        <v>0</v>
      </c>
      <c r="S417" t="s">
        <v>101</v>
      </c>
      <c r="T417" t="s">
        <v>1627</v>
      </c>
      <c r="U417">
        <v>36.936</v>
      </c>
      <c r="V417">
        <v>0</v>
      </c>
      <c r="W417">
        <v>0</v>
      </c>
      <c r="X417">
        <v>4</v>
      </c>
      <c r="Y417" s="6">
        <v>46174</v>
      </c>
      <c r="Z417">
        <v>1</v>
      </c>
    </row>
    <row r="418" spans="1:26" x14ac:dyDescent="0.3">
      <c r="A418" t="s">
        <v>523</v>
      </c>
      <c r="B418" s="5">
        <v>46046</v>
      </c>
      <c r="C418" s="5">
        <v>46047</v>
      </c>
      <c r="D418" s="5">
        <v>46050</v>
      </c>
      <c r="E418" s="5">
        <v>46050</v>
      </c>
      <c r="F418" t="s">
        <v>34</v>
      </c>
      <c r="G418" t="s">
        <v>58</v>
      </c>
      <c r="H418" t="s">
        <v>23</v>
      </c>
      <c r="I418" t="s">
        <v>43</v>
      </c>
      <c r="J418">
        <v>132.1</v>
      </c>
      <c r="K418">
        <v>1942.4</v>
      </c>
      <c r="L418">
        <v>3408000</v>
      </c>
      <c r="M418" t="b">
        <v>0</v>
      </c>
      <c r="N418" t="b">
        <v>0</v>
      </c>
      <c r="O418">
        <v>5000</v>
      </c>
      <c r="P418" t="b">
        <v>0</v>
      </c>
      <c r="Q418" t="b">
        <v>0</v>
      </c>
      <c r="R418" t="b">
        <v>0</v>
      </c>
      <c r="S418" t="s">
        <v>96</v>
      </c>
      <c r="T418" t="s">
        <v>1637</v>
      </c>
      <c r="U418">
        <v>38.847999999999999</v>
      </c>
      <c r="V418">
        <v>0</v>
      </c>
      <c r="W418">
        <v>0</v>
      </c>
      <c r="X418">
        <v>3</v>
      </c>
      <c r="Y418" s="6">
        <v>46023</v>
      </c>
    </row>
    <row r="419" spans="1:26" x14ac:dyDescent="0.3">
      <c r="A419" t="s">
        <v>524</v>
      </c>
      <c r="B419" s="5">
        <v>46196</v>
      </c>
      <c r="C419" s="5">
        <v>46196</v>
      </c>
      <c r="D419" s="5">
        <v>46199</v>
      </c>
      <c r="E419" s="5">
        <v>46199</v>
      </c>
      <c r="F419" t="s">
        <v>31</v>
      </c>
      <c r="G419" t="s">
        <v>52</v>
      </c>
      <c r="H419" t="s">
        <v>22</v>
      </c>
      <c r="I419" t="s">
        <v>43</v>
      </c>
      <c r="J419">
        <v>332.7</v>
      </c>
      <c r="K419">
        <v>3329.5</v>
      </c>
      <c r="L419">
        <v>6586000</v>
      </c>
      <c r="M419" t="b">
        <v>0</v>
      </c>
      <c r="N419" t="b">
        <v>0</v>
      </c>
      <c r="O419">
        <v>5000</v>
      </c>
      <c r="P419" t="b">
        <v>0</v>
      </c>
      <c r="Q419" t="b">
        <v>0</v>
      </c>
      <c r="R419" t="b">
        <v>0</v>
      </c>
      <c r="S419" t="s">
        <v>96</v>
      </c>
      <c r="T419" t="s">
        <v>1618</v>
      </c>
      <c r="U419">
        <v>66.59</v>
      </c>
      <c r="V419">
        <v>0</v>
      </c>
      <c r="W419">
        <v>0</v>
      </c>
      <c r="X419">
        <v>3</v>
      </c>
      <c r="Y419" s="6">
        <v>46174</v>
      </c>
    </row>
    <row r="420" spans="1:26" x14ac:dyDescent="0.3">
      <c r="A420" t="s">
        <v>525</v>
      </c>
      <c r="B420" s="5">
        <v>46103</v>
      </c>
      <c r="C420" s="5">
        <v>46104</v>
      </c>
      <c r="D420" s="5">
        <v>46106</v>
      </c>
      <c r="E420" s="5">
        <v>46107</v>
      </c>
      <c r="F420" t="s">
        <v>31</v>
      </c>
      <c r="G420" t="s">
        <v>58</v>
      </c>
      <c r="H420" t="s">
        <v>20</v>
      </c>
      <c r="I420" t="s">
        <v>45</v>
      </c>
      <c r="J420">
        <v>182.9</v>
      </c>
      <c r="K420">
        <v>435.6</v>
      </c>
      <c r="L420">
        <v>2326000</v>
      </c>
      <c r="M420" t="b">
        <v>0</v>
      </c>
      <c r="N420" t="b">
        <v>0</v>
      </c>
      <c r="O420">
        <v>1000</v>
      </c>
      <c r="P420" t="b">
        <v>0</v>
      </c>
      <c r="Q420" t="b">
        <v>0</v>
      </c>
      <c r="R420" t="b">
        <v>0</v>
      </c>
      <c r="S420" t="s">
        <v>101</v>
      </c>
      <c r="T420" t="s">
        <v>1621</v>
      </c>
      <c r="U420">
        <v>43.56</v>
      </c>
      <c r="V420">
        <v>0</v>
      </c>
      <c r="W420">
        <v>0</v>
      </c>
      <c r="X420">
        <v>3</v>
      </c>
      <c r="Y420" s="6">
        <v>46082</v>
      </c>
      <c r="Z420">
        <v>1</v>
      </c>
    </row>
    <row r="421" spans="1:26" x14ac:dyDescent="0.3">
      <c r="A421" t="s">
        <v>526</v>
      </c>
      <c r="B421" s="5">
        <v>46117</v>
      </c>
      <c r="C421" s="5">
        <v>46119</v>
      </c>
      <c r="D421" s="5">
        <v>46121</v>
      </c>
      <c r="E421" s="5">
        <v>46121</v>
      </c>
      <c r="F421" t="s">
        <v>32</v>
      </c>
      <c r="G421" t="s">
        <v>55</v>
      </c>
      <c r="H421" t="s">
        <v>23</v>
      </c>
      <c r="I421" t="s">
        <v>42</v>
      </c>
      <c r="J421">
        <v>134.1</v>
      </c>
      <c r="K421">
        <v>8862</v>
      </c>
      <c r="L421">
        <v>5969000</v>
      </c>
      <c r="M421" t="b">
        <v>0</v>
      </c>
      <c r="N421" t="b">
        <v>0</v>
      </c>
      <c r="O421">
        <v>16000</v>
      </c>
      <c r="P421" t="b">
        <v>0</v>
      </c>
      <c r="Q421" t="b">
        <v>0</v>
      </c>
      <c r="R421" t="b">
        <v>0</v>
      </c>
      <c r="S421" t="s">
        <v>96</v>
      </c>
      <c r="T421" t="s">
        <v>1633</v>
      </c>
      <c r="U421">
        <v>55.387500000000003</v>
      </c>
      <c r="V421">
        <v>0</v>
      </c>
      <c r="W421">
        <v>0</v>
      </c>
      <c r="X421">
        <v>2</v>
      </c>
      <c r="Y421" s="6">
        <v>46113</v>
      </c>
    </row>
    <row r="422" spans="1:26" x14ac:dyDescent="0.3">
      <c r="A422" t="s">
        <v>527</v>
      </c>
      <c r="B422" s="5">
        <v>46176</v>
      </c>
      <c r="C422" s="5">
        <v>46177</v>
      </c>
      <c r="D422" s="5">
        <v>46180</v>
      </c>
      <c r="E422" s="5">
        <v>46182</v>
      </c>
      <c r="F422" t="s">
        <v>33</v>
      </c>
      <c r="G422" t="s">
        <v>59</v>
      </c>
      <c r="H422" t="s">
        <v>24</v>
      </c>
      <c r="I422" t="s">
        <v>45</v>
      </c>
      <c r="J422">
        <v>493.6</v>
      </c>
      <c r="K422">
        <v>120.9</v>
      </c>
      <c r="L422">
        <v>4696000</v>
      </c>
      <c r="M422" t="b">
        <v>0</v>
      </c>
      <c r="N422" t="b">
        <v>0</v>
      </c>
      <c r="O422">
        <v>1000</v>
      </c>
      <c r="P422" t="b">
        <v>0</v>
      </c>
      <c r="Q422" t="b">
        <v>0</v>
      </c>
      <c r="R422" t="b">
        <v>0</v>
      </c>
      <c r="S422" t="s">
        <v>101</v>
      </c>
      <c r="T422" t="s">
        <v>1648</v>
      </c>
      <c r="U422">
        <v>12.09</v>
      </c>
      <c r="V422">
        <v>0</v>
      </c>
      <c r="W422">
        <v>0</v>
      </c>
      <c r="X422">
        <v>5</v>
      </c>
      <c r="Y422" s="6">
        <v>46174</v>
      </c>
      <c r="Z422">
        <v>2</v>
      </c>
    </row>
    <row r="423" spans="1:26" x14ac:dyDescent="0.3">
      <c r="A423" t="s">
        <v>528</v>
      </c>
      <c r="B423" s="5">
        <v>46189</v>
      </c>
      <c r="C423" s="5">
        <v>46190</v>
      </c>
      <c r="D423" s="5">
        <v>46192</v>
      </c>
      <c r="E423" s="5">
        <v>46193</v>
      </c>
      <c r="F423" t="s">
        <v>31</v>
      </c>
      <c r="G423" t="s">
        <v>63</v>
      </c>
      <c r="H423" t="s">
        <v>24</v>
      </c>
      <c r="I423" t="s">
        <v>44</v>
      </c>
      <c r="J423">
        <v>291.7</v>
      </c>
      <c r="K423">
        <v>368.3</v>
      </c>
      <c r="L423">
        <v>3243000</v>
      </c>
      <c r="M423" t="b">
        <v>0</v>
      </c>
      <c r="N423" t="b">
        <v>0</v>
      </c>
      <c r="O423">
        <v>1500</v>
      </c>
      <c r="P423" t="b">
        <v>0</v>
      </c>
      <c r="Q423" t="b">
        <v>0</v>
      </c>
      <c r="R423" t="b">
        <v>0</v>
      </c>
      <c r="S423" t="s">
        <v>101</v>
      </c>
      <c r="T423" t="s">
        <v>1640</v>
      </c>
      <c r="U423">
        <v>24.553333333333331</v>
      </c>
      <c r="V423">
        <v>0</v>
      </c>
      <c r="W423">
        <v>0</v>
      </c>
      <c r="X423">
        <v>3</v>
      </c>
      <c r="Y423" s="6">
        <v>46174</v>
      </c>
      <c r="Z423">
        <v>1</v>
      </c>
    </row>
    <row r="424" spans="1:26" x14ac:dyDescent="0.3">
      <c r="A424" t="s">
        <v>529</v>
      </c>
      <c r="B424" s="5">
        <v>46046</v>
      </c>
      <c r="C424" s="5">
        <v>46047</v>
      </c>
      <c r="D424" s="5">
        <v>46051</v>
      </c>
      <c r="E424" s="5">
        <v>46051</v>
      </c>
      <c r="F424" t="s">
        <v>31</v>
      </c>
      <c r="G424" t="s">
        <v>62</v>
      </c>
      <c r="H424" t="s">
        <v>24</v>
      </c>
      <c r="I424" t="s">
        <v>42</v>
      </c>
      <c r="J424">
        <v>739.5</v>
      </c>
      <c r="K424">
        <v>2939.4</v>
      </c>
      <c r="L424">
        <v>16431000</v>
      </c>
      <c r="M424" t="b">
        <v>0</v>
      </c>
      <c r="N424" t="b">
        <v>0</v>
      </c>
      <c r="O424">
        <v>16000</v>
      </c>
      <c r="P424" t="b">
        <v>0</v>
      </c>
      <c r="Q424" t="b">
        <v>0</v>
      </c>
      <c r="R424" t="b">
        <v>0</v>
      </c>
      <c r="S424" t="s">
        <v>96</v>
      </c>
      <c r="T424" t="s">
        <v>1615</v>
      </c>
      <c r="U424">
        <v>18.37125</v>
      </c>
      <c r="V424">
        <v>0</v>
      </c>
      <c r="W424">
        <v>0</v>
      </c>
      <c r="X424">
        <v>4</v>
      </c>
      <c r="Y424" s="6">
        <v>46023</v>
      </c>
    </row>
    <row r="425" spans="1:26" x14ac:dyDescent="0.3">
      <c r="A425" t="s">
        <v>530</v>
      </c>
      <c r="B425" s="5">
        <v>46079</v>
      </c>
      <c r="C425" s="5">
        <v>46080</v>
      </c>
      <c r="D425" s="5">
        <v>46083</v>
      </c>
      <c r="E425" s="5">
        <v>46079</v>
      </c>
      <c r="F425" t="s">
        <v>31</v>
      </c>
      <c r="G425" t="s">
        <v>57</v>
      </c>
      <c r="H425" t="s">
        <v>21</v>
      </c>
      <c r="I425" t="s">
        <v>45</v>
      </c>
      <c r="J425">
        <v>122.1</v>
      </c>
      <c r="K425">
        <v>490.5</v>
      </c>
      <c r="L425">
        <v>1747000</v>
      </c>
      <c r="M425" t="b">
        <v>1</v>
      </c>
      <c r="N425" t="b">
        <v>0</v>
      </c>
      <c r="O425">
        <v>1000</v>
      </c>
      <c r="P425" t="b">
        <v>0</v>
      </c>
      <c r="Q425" t="b">
        <v>0</v>
      </c>
      <c r="R425" t="b">
        <v>1</v>
      </c>
      <c r="S425" t="s">
        <v>260</v>
      </c>
      <c r="T425" t="s">
        <v>1617</v>
      </c>
      <c r="U425">
        <v>49.05</v>
      </c>
      <c r="V425">
        <v>0</v>
      </c>
      <c r="W425">
        <v>1</v>
      </c>
      <c r="Y425" s="6">
        <v>46054</v>
      </c>
    </row>
    <row r="426" spans="1:26" x14ac:dyDescent="0.3">
      <c r="A426" t="s">
        <v>531</v>
      </c>
      <c r="B426" s="5">
        <v>46039</v>
      </c>
      <c r="C426" s="5">
        <v>46040</v>
      </c>
      <c r="D426" s="5">
        <v>46042</v>
      </c>
      <c r="E426" s="5">
        <v>46042</v>
      </c>
      <c r="F426" t="s">
        <v>34</v>
      </c>
      <c r="G426" t="s">
        <v>52</v>
      </c>
      <c r="H426" t="s">
        <v>20</v>
      </c>
      <c r="I426" t="s">
        <v>43</v>
      </c>
      <c r="J426">
        <v>272.5</v>
      </c>
      <c r="K426">
        <v>732.7</v>
      </c>
      <c r="L426">
        <v>4852000</v>
      </c>
      <c r="M426" t="b">
        <v>0</v>
      </c>
      <c r="N426" t="b">
        <v>0</v>
      </c>
      <c r="O426">
        <v>5000</v>
      </c>
      <c r="P426" t="b">
        <v>0</v>
      </c>
      <c r="Q426" t="b">
        <v>0</v>
      </c>
      <c r="R426" t="b">
        <v>0</v>
      </c>
      <c r="S426" t="s">
        <v>96</v>
      </c>
      <c r="T426" t="s">
        <v>1623</v>
      </c>
      <c r="U426">
        <v>14.654</v>
      </c>
      <c r="V426">
        <v>0</v>
      </c>
      <c r="W426">
        <v>0</v>
      </c>
      <c r="X426">
        <v>2</v>
      </c>
      <c r="Y426" s="6">
        <v>46023</v>
      </c>
    </row>
    <row r="427" spans="1:26" x14ac:dyDescent="0.3">
      <c r="A427" t="s">
        <v>532</v>
      </c>
      <c r="B427" s="5">
        <v>46158</v>
      </c>
      <c r="C427" s="5">
        <v>46158</v>
      </c>
      <c r="D427" s="5">
        <v>46159</v>
      </c>
      <c r="E427" s="5">
        <v>46159</v>
      </c>
      <c r="F427" t="s">
        <v>31</v>
      </c>
      <c r="G427" t="s">
        <v>61</v>
      </c>
      <c r="H427" t="s">
        <v>20</v>
      </c>
      <c r="I427" t="s">
        <v>43</v>
      </c>
      <c r="J427">
        <v>57.4</v>
      </c>
      <c r="K427">
        <v>3803.1</v>
      </c>
      <c r="L427">
        <v>2748000</v>
      </c>
      <c r="M427" t="b">
        <v>0</v>
      </c>
      <c r="N427" t="b">
        <v>0</v>
      </c>
      <c r="O427">
        <v>5000</v>
      </c>
      <c r="P427" t="b">
        <v>0</v>
      </c>
      <c r="Q427" t="b">
        <v>0</v>
      </c>
      <c r="R427" t="b">
        <v>0</v>
      </c>
      <c r="S427" t="s">
        <v>96</v>
      </c>
      <c r="T427" t="s">
        <v>1645</v>
      </c>
      <c r="U427">
        <v>76.061999999999998</v>
      </c>
      <c r="V427">
        <v>0</v>
      </c>
      <c r="W427">
        <v>0</v>
      </c>
      <c r="X427">
        <v>1</v>
      </c>
      <c r="Y427" s="6">
        <v>46143</v>
      </c>
    </row>
    <row r="428" spans="1:26" x14ac:dyDescent="0.3">
      <c r="A428" t="s">
        <v>533</v>
      </c>
      <c r="B428" s="5">
        <v>46052</v>
      </c>
      <c r="C428" s="5">
        <v>46053</v>
      </c>
      <c r="D428" s="5">
        <v>46057</v>
      </c>
      <c r="E428" s="5">
        <v>46057</v>
      </c>
      <c r="F428" t="s">
        <v>33</v>
      </c>
      <c r="G428" t="s">
        <v>61</v>
      </c>
      <c r="H428" t="s">
        <v>21</v>
      </c>
      <c r="I428" t="s">
        <v>43</v>
      </c>
      <c r="J428">
        <v>609.70000000000005</v>
      </c>
      <c r="K428">
        <v>603.4</v>
      </c>
      <c r="L428">
        <v>8758000</v>
      </c>
      <c r="M428" t="b">
        <v>0</v>
      </c>
      <c r="N428" t="b">
        <v>0</v>
      </c>
      <c r="O428">
        <v>5000</v>
      </c>
      <c r="P428" t="b">
        <v>0</v>
      </c>
      <c r="Q428" t="b">
        <v>0</v>
      </c>
      <c r="R428" t="b">
        <v>0</v>
      </c>
      <c r="S428" t="s">
        <v>96</v>
      </c>
      <c r="T428" t="s">
        <v>1643</v>
      </c>
      <c r="U428">
        <v>12.068</v>
      </c>
      <c r="V428">
        <v>0</v>
      </c>
      <c r="W428">
        <v>0</v>
      </c>
      <c r="X428">
        <v>4</v>
      </c>
      <c r="Y428" s="6">
        <v>46023</v>
      </c>
    </row>
    <row r="429" spans="1:26" x14ac:dyDescent="0.3">
      <c r="A429" t="s">
        <v>534</v>
      </c>
      <c r="B429" s="5">
        <v>46080</v>
      </c>
      <c r="C429" s="5">
        <v>46081</v>
      </c>
      <c r="D429" s="5">
        <v>46085</v>
      </c>
      <c r="E429" s="5">
        <v>46086</v>
      </c>
      <c r="F429" t="s">
        <v>34</v>
      </c>
      <c r="G429" t="s">
        <v>52</v>
      </c>
      <c r="H429" t="s">
        <v>24</v>
      </c>
      <c r="I429" t="s">
        <v>45</v>
      </c>
      <c r="J429">
        <v>310.60000000000002</v>
      </c>
      <c r="K429">
        <v>810.1</v>
      </c>
      <c r="L429">
        <v>3054000</v>
      </c>
      <c r="M429" t="b">
        <v>0</v>
      </c>
      <c r="N429" t="b">
        <v>0</v>
      </c>
      <c r="O429">
        <v>1000</v>
      </c>
      <c r="P429" t="b">
        <v>0</v>
      </c>
      <c r="Q429" t="b">
        <v>0</v>
      </c>
      <c r="R429" t="b">
        <v>0</v>
      </c>
      <c r="S429" t="s">
        <v>101</v>
      </c>
      <c r="T429" t="s">
        <v>1623</v>
      </c>
      <c r="U429">
        <v>81.010000000000005</v>
      </c>
      <c r="V429">
        <v>0</v>
      </c>
      <c r="W429">
        <v>0</v>
      </c>
      <c r="X429">
        <v>5</v>
      </c>
      <c r="Y429" s="6">
        <v>46054</v>
      </c>
      <c r="Z429">
        <v>1</v>
      </c>
    </row>
    <row r="430" spans="1:26" x14ac:dyDescent="0.3">
      <c r="A430" t="s">
        <v>535</v>
      </c>
      <c r="B430" s="5">
        <v>46154</v>
      </c>
      <c r="C430" s="5">
        <v>46155</v>
      </c>
      <c r="D430" s="5">
        <v>46158</v>
      </c>
      <c r="E430" s="5"/>
      <c r="F430" t="s">
        <v>33</v>
      </c>
      <c r="G430" t="s">
        <v>63</v>
      </c>
      <c r="H430" t="s">
        <v>23</v>
      </c>
      <c r="I430" t="s">
        <v>43</v>
      </c>
      <c r="J430">
        <v>316.2</v>
      </c>
      <c r="K430">
        <v>979.8</v>
      </c>
      <c r="L430">
        <v>5518000</v>
      </c>
      <c r="M430" t="b">
        <v>0</v>
      </c>
      <c r="N430" t="b">
        <v>0</v>
      </c>
      <c r="O430">
        <v>5000</v>
      </c>
      <c r="P430" t="b">
        <v>0</v>
      </c>
      <c r="Q430" t="b">
        <v>0</v>
      </c>
      <c r="R430" t="b">
        <v>0</v>
      </c>
      <c r="S430" t="s">
        <v>203</v>
      </c>
      <c r="T430" t="s">
        <v>1625</v>
      </c>
      <c r="U430">
        <v>19.596</v>
      </c>
      <c r="V430">
        <v>0</v>
      </c>
      <c r="W430">
        <v>0</v>
      </c>
      <c r="Y430" s="6">
        <v>46143</v>
      </c>
    </row>
    <row r="431" spans="1:26" x14ac:dyDescent="0.3">
      <c r="A431" t="s">
        <v>536</v>
      </c>
      <c r="B431" s="5">
        <v>46037</v>
      </c>
      <c r="C431" s="5">
        <v>46038</v>
      </c>
      <c r="D431" s="5">
        <v>46042</v>
      </c>
      <c r="E431" s="5">
        <v>46044</v>
      </c>
      <c r="F431" t="s">
        <v>33</v>
      </c>
      <c r="G431" t="s">
        <v>61</v>
      </c>
      <c r="H431" t="s">
        <v>23</v>
      </c>
      <c r="I431" t="s">
        <v>43</v>
      </c>
      <c r="J431">
        <v>631.5</v>
      </c>
      <c r="K431">
        <v>1692.5</v>
      </c>
      <c r="L431">
        <v>8477000</v>
      </c>
      <c r="M431" t="b">
        <v>0</v>
      </c>
      <c r="N431" t="b">
        <v>0</v>
      </c>
      <c r="O431">
        <v>5000</v>
      </c>
      <c r="P431" t="b">
        <v>0</v>
      </c>
      <c r="Q431" t="b">
        <v>0</v>
      </c>
      <c r="R431" t="b">
        <v>0</v>
      </c>
      <c r="S431" t="s">
        <v>101</v>
      </c>
      <c r="T431" t="s">
        <v>1643</v>
      </c>
      <c r="U431">
        <v>33.85</v>
      </c>
      <c r="V431">
        <v>0</v>
      </c>
      <c r="W431">
        <v>0</v>
      </c>
      <c r="X431">
        <v>6</v>
      </c>
      <c r="Y431" s="6">
        <v>46023</v>
      </c>
      <c r="Z431">
        <v>2</v>
      </c>
    </row>
    <row r="432" spans="1:26" x14ac:dyDescent="0.3">
      <c r="A432" t="s">
        <v>537</v>
      </c>
      <c r="B432" s="5">
        <v>46029</v>
      </c>
      <c r="C432" s="5">
        <v>46030</v>
      </c>
      <c r="D432" s="5">
        <v>46033</v>
      </c>
      <c r="E432" s="5">
        <v>46033</v>
      </c>
      <c r="F432" t="s">
        <v>34</v>
      </c>
      <c r="G432" t="s">
        <v>63</v>
      </c>
      <c r="H432" t="s">
        <v>21</v>
      </c>
      <c r="I432" t="s">
        <v>45</v>
      </c>
      <c r="J432">
        <v>300.5</v>
      </c>
      <c r="K432">
        <v>898</v>
      </c>
      <c r="L432">
        <v>2621000</v>
      </c>
      <c r="M432" t="b">
        <v>0</v>
      </c>
      <c r="N432" t="b">
        <v>0</v>
      </c>
      <c r="O432">
        <v>1000</v>
      </c>
      <c r="P432" t="b">
        <v>0</v>
      </c>
      <c r="Q432" t="b">
        <v>0</v>
      </c>
      <c r="R432" t="b">
        <v>0</v>
      </c>
      <c r="S432" t="s">
        <v>96</v>
      </c>
      <c r="T432" t="s">
        <v>1613</v>
      </c>
      <c r="U432">
        <v>89.8</v>
      </c>
      <c r="V432">
        <v>0</v>
      </c>
      <c r="W432">
        <v>0</v>
      </c>
      <c r="X432">
        <v>3</v>
      </c>
      <c r="Y432" s="6">
        <v>46023</v>
      </c>
    </row>
    <row r="433" spans="1:26" x14ac:dyDescent="0.3">
      <c r="A433" t="s">
        <v>538</v>
      </c>
      <c r="B433" s="5">
        <v>46195</v>
      </c>
      <c r="C433" s="5">
        <v>46196</v>
      </c>
      <c r="D433" s="5">
        <v>46198</v>
      </c>
      <c r="E433" s="5">
        <v>46200</v>
      </c>
      <c r="F433" t="s">
        <v>34</v>
      </c>
      <c r="G433" t="s">
        <v>58</v>
      </c>
      <c r="H433" t="s">
        <v>22</v>
      </c>
      <c r="I433" t="s">
        <v>44</v>
      </c>
      <c r="J433">
        <v>150.9</v>
      </c>
      <c r="K433">
        <v>694.3</v>
      </c>
      <c r="L433">
        <v>2100000</v>
      </c>
      <c r="M433" t="b">
        <v>0</v>
      </c>
      <c r="N433" t="b">
        <v>0</v>
      </c>
      <c r="O433">
        <v>1500</v>
      </c>
      <c r="P433" t="b">
        <v>0</v>
      </c>
      <c r="Q433" t="b">
        <v>0</v>
      </c>
      <c r="R433" t="b">
        <v>0</v>
      </c>
      <c r="S433" t="s">
        <v>101</v>
      </c>
      <c r="T433" t="s">
        <v>1637</v>
      </c>
      <c r="U433">
        <v>46.286666666666662</v>
      </c>
      <c r="V433">
        <v>0</v>
      </c>
      <c r="W433">
        <v>0</v>
      </c>
      <c r="X433">
        <v>4</v>
      </c>
      <c r="Y433" s="6">
        <v>46174</v>
      </c>
      <c r="Z433">
        <v>2</v>
      </c>
    </row>
    <row r="434" spans="1:26" x14ac:dyDescent="0.3">
      <c r="A434" t="s">
        <v>539</v>
      </c>
      <c r="B434" s="5">
        <v>46116</v>
      </c>
      <c r="C434" s="5">
        <v>46117</v>
      </c>
      <c r="D434" s="5">
        <v>46121</v>
      </c>
      <c r="E434" s="5">
        <v>46121</v>
      </c>
      <c r="F434" t="s">
        <v>33</v>
      </c>
      <c r="G434" t="s">
        <v>56</v>
      </c>
      <c r="H434" t="s">
        <v>20</v>
      </c>
      <c r="I434" t="s">
        <v>44</v>
      </c>
      <c r="J434">
        <v>1411.3</v>
      </c>
      <c r="K434">
        <v>856.3</v>
      </c>
      <c r="L434">
        <v>15175000</v>
      </c>
      <c r="M434" t="b">
        <v>0</v>
      </c>
      <c r="N434" t="b">
        <v>0</v>
      </c>
      <c r="O434">
        <v>1500</v>
      </c>
      <c r="P434" t="b">
        <v>0</v>
      </c>
      <c r="Q434" t="b">
        <v>0</v>
      </c>
      <c r="R434" t="b">
        <v>0</v>
      </c>
      <c r="S434" t="s">
        <v>96</v>
      </c>
      <c r="T434" t="s">
        <v>1654</v>
      </c>
      <c r="U434">
        <v>57.086666666666673</v>
      </c>
      <c r="V434">
        <v>0</v>
      </c>
      <c r="W434">
        <v>0</v>
      </c>
      <c r="X434">
        <v>4</v>
      </c>
      <c r="Y434" s="6">
        <v>46113</v>
      </c>
    </row>
    <row r="435" spans="1:26" x14ac:dyDescent="0.3">
      <c r="A435" t="s">
        <v>540</v>
      </c>
      <c r="B435" s="5">
        <v>46038</v>
      </c>
      <c r="C435" s="5">
        <v>46039</v>
      </c>
      <c r="D435" s="5">
        <v>46042</v>
      </c>
      <c r="E435" s="5">
        <v>46042</v>
      </c>
      <c r="F435" t="s">
        <v>34</v>
      </c>
      <c r="G435" t="s">
        <v>52</v>
      </c>
      <c r="H435" t="s">
        <v>20</v>
      </c>
      <c r="I435" t="s">
        <v>45</v>
      </c>
      <c r="J435">
        <v>308.5</v>
      </c>
      <c r="K435">
        <v>535.20000000000005</v>
      </c>
      <c r="L435">
        <v>3081000</v>
      </c>
      <c r="M435" t="b">
        <v>0</v>
      </c>
      <c r="N435" t="b">
        <v>0</v>
      </c>
      <c r="O435">
        <v>1000</v>
      </c>
      <c r="P435" t="b">
        <v>0</v>
      </c>
      <c r="Q435" t="b">
        <v>0</v>
      </c>
      <c r="R435" t="b">
        <v>0</v>
      </c>
      <c r="S435" t="s">
        <v>96</v>
      </c>
      <c r="T435" t="s">
        <v>1623</v>
      </c>
      <c r="U435">
        <v>53.52</v>
      </c>
      <c r="V435">
        <v>0</v>
      </c>
      <c r="W435">
        <v>0</v>
      </c>
      <c r="X435">
        <v>3</v>
      </c>
      <c r="Y435" s="6">
        <v>46023</v>
      </c>
    </row>
    <row r="436" spans="1:26" x14ac:dyDescent="0.3">
      <c r="A436" t="s">
        <v>541</v>
      </c>
      <c r="B436" s="5">
        <v>46090</v>
      </c>
      <c r="C436" s="5">
        <v>46091</v>
      </c>
      <c r="D436" s="5">
        <v>46095</v>
      </c>
      <c r="E436" s="5">
        <v>46096</v>
      </c>
      <c r="F436" t="s">
        <v>34</v>
      </c>
      <c r="G436" t="s">
        <v>62</v>
      </c>
      <c r="H436" t="s">
        <v>23</v>
      </c>
      <c r="I436" t="s">
        <v>43</v>
      </c>
      <c r="J436">
        <v>732.2</v>
      </c>
      <c r="K436">
        <v>3498.3</v>
      </c>
      <c r="L436">
        <v>11768000</v>
      </c>
      <c r="M436" t="b">
        <v>0</v>
      </c>
      <c r="N436" t="b">
        <v>0</v>
      </c>
      <c r="O436">
        <v>5000</v>
      </c>
      <c r="P436" t="b">
        <v>0</v>
      </c>
      <c r="Q436" t="b">
        <v>0</v>
      </c>
      <c r="R436" t="b">
        <v>0</v>
      </c>
      <c r="S436" t="s">
        <v>101</v>
      </c>
      <c r="T436" t="s">
        <v>1649</v>
      </c>
      <c r="U436">
        <v>69.966000000000008</v>
      </c>
      <c r="V436">
        <v>0</v>
      </c>
      <c r="W436">
        <v>0</v>
      </c>
      <c r="X436">
        <v>5</v>
      </c>
      <c r="Y436" s="6">
        <v>46082</v>
      </c>
      <c r="Z436">
        <v>1</v>
      </c>
    </row>
    <row r="437" spans="1:26" x14ac:dyDescent="0.3">
      <c r="A437" t="s">
        <v>542</v>
      </c>
      <c r="B437" s="5">
        <v>46202</v>
      </c>
      <c r="C437" s="5">
        <v>46202</v>
      </c>
      <c r="D437" s="5">
        <v>46203</v>
      </c>
      <c r="E437" s="5">
        <v>46203</v>
      </c>
      <c r="F437" t="s">
        <v>34</v>
      </c>
      <c r="G437" t="s">
        <v>55</v>
      </c>
      <c r="H437" t="s">
        <v>24</v>
      </c>
      <c r="I437" t="s">
        <v>44</v>
      </c>
      <c r="J437">
        <v>57.1</v>
      </c>
      <c r="K437">
        <v>590.29999999999995</v>
      </c>
      <c r="L437">
        <v>1312000</v>
      </c>
      <c r="M437" t="b">
        <v>0</v>
      </c>
      <c r="N437" t="b">
        <v>0</v>
      </c>
      <c r="O437">
        <v>1500</v>
      </c>
      <c r="P437" t="b">
        <v>0</v>
      </c>
      <c r="Q437" t="b">
        <v>0</v>
      </c>
      <c r="R437" t="b">
        <v>0</v>
      </c>
      <c r="S437" t="s">
        <v>96</v>
      </c>
      <c r="T437" t="s">
        <v>1639</v>
      </c>
      <c r="U437">
        <v>39.353333333333332</v>
      </c>
      <c r="V437">
        <v>0</v>
      </c>
      <c r="W437">
        <v>0</v>
      </c>
      <c r="X437">
        <v>1</v>
      </c>
      <c r="Y437" s="6">
        <v>46174</v>
      </c>
    </row>
    <row r="438" spans="1:26" x14ac:dyDescent="0.3">
      <c r="A438" t="s">
        <v>543</v>
      </c>
      <c r="B438" s="5">
        <v>46042</v>
      </c>
      <c r="C438" s="5">
        <v>46043</v>
      </c>
      <c r="D438" s="5">
        <v>46047</v>
      </c>
      <c r="E438" s="5">
        <v>46048</v>
      </c>
      <c r="F438" t="s">
        <v>33</v>
      </c>
      <c r="G438" t="s">
        <v>57</v>
      </c>
      <c r="H438" t="s">
        <v>23</v>
      </c>
      <c r="I438" t="s">
        <v>43</v>
      </c>
      <c r="J438">
        <v>465.4</v>
      </c>
      <c r="K438">
        <v>3344.4</v>
      </c>
      <c r="L438">
        <v>8149000</v>
      </c>
      <c r="M438" t="b">
        <v>0</v>
      </c>
      <c r="N438" t="b">
        <v>0</v>
      </c>
      <c r="O438">
        <v>5000</v>
      </c>
      <c r="P438" t="b">
        <v>0</v>
      </c>
      <c r="Q438" t="b">
        <v>0</v>
      </c>
      <c r="R438" t="b">
        <v>0</v>
      </c>
      <c r="S438" t="s">
        <v>101</v>
      </c>
      <c r="T438" t="s">
        <v>1624</v>
      </c>
      <c r="U438">
        <v>66.888000000000005</v>
      </c>
      <c r="V438">
        <v>0</v>
      </c>
      <c r="W438">
        <v>0</v>
      </c>
      <c r="X438">
        <v>5</v>
      </c>
      <c r="Y438" s="6">
        <v>46023</v>
      </c>
      <c r="Z438">
        <v>1</v>
      </c>
    </row>
    <row r="439" spans="1:26" x14ac:dyDescent="0.3">
      <c r="A439" t="s">
        <v>544</v>
      </c>
      <c r="B439" s="5">
        <v>46131</v>
      </c>
      <c r="C439" s="5">
        <v>46132</v>
      </c>
      <c r="D439" s="5">
        <v>46133</v>
      </c>
      <c r="E439" s="5">
        <v>46134</v>
      </c>
      <c r="F439" t="s">
        <v>32</v>
      </c>
      <c r="G439" t="s">
        <v>57</v>
      </c>
      <c r="H439" t="s">
        <v>21</v>
      </c>
      <c r="I439" t="s">
        <v>44</v>
      </c>
      <c r="J439">
        <v>22.3</v>
      </c>
      <c r="K439">
        <v>1358.7</v>
      </c>
      <c r="L439">
        <v>1240000</v>
      </c>
      <c r="M439" t="b">
        <v>0</v>
      </c>
      <c r="N439" t="b">
        <v>0</v>
      </c>
      <c r="O439">
        <v>1500</v>
      </c>
      <c r="P439" t="b">
        <v>0</v>
      </c>
      <c r="Q439" t="b">
        <v>0</v>
      </c>
      <c r="R439" t="b">
        <v>0</v>
      </c>
      <c r="S439" t="s">
        <v>101</v>
      </c>
      <c r="T439" t="s">
        <v>1630</v>
      </c>
      <c r="U439">
        <v>90.58</v>
      </c>
      <c r="V439">
        <v>0</v>
      </c>
      <c r="W439">
        <v>0</v>
      </c>
      <c r="X439">
        <v>2</v>
      </c>
      <c r="Y439" s="6">
        <v>46113</v>
      </c>
      <c r="Z439">
        <v>1</v>
      </c>
    </row>
    <row r="440" spans="1:26" x14ac:dyDescent="0.3">
      <c r="A440" t="s">
        <v>545</v>
      </c>
      <c r="B440" s="5">
        <v>46161</v>
      </c>
      <c r="C440" s="5">
        <v>46162</v>
      </c>
      <c r="D440" s="5">
        <v>46167</v>
      </c>
      <c r="E440" s="5"/>
      <c r="F440" t="s">
        <v>31</v>
      </c>
      <c r="G440" t="s">
        <v>62</v>
      </c>
      <c r="H440" t="s">
        <v>20</v>
      </c>
      <c r="I440" t="s">
        <v>43</v>
      </c>
      <c r="J440">
        <v>738.7</v>
      </c>
      <c r="K440">
        <v>547.70000000000005</v>
      </c>
      <c r="L440">
        <v>10924000</v>
      </c>
      <c r="M440" t="b">
        <v>0</v>
      </c>
      <c r="N440" t="b">
        <v>0</v>
      </c>
      <c r="O440">
        <v>5000</v>
      </c>
      <c r="P440" t="b">
        <v>0</v>
      </c>
      <c r="Q440" t="b">
        <v>0</v>
      </c>
      <c r="R440" t="b">
        <v>0</v>
      </c>
      <c r="S440" t="s">
        <v>203</v>
      </c>
      <c r="T440" t="s">
        <v>1615</v>
      </c>
      <c r="U440">
        <v>10.954000000000001</v>
      </c>
      <c r="V440">
        <v>0</v>
      </c>
      <c r="W440">
        <v>0</v>
      </c>
      <c r="Y440" s="6">
        <v>46143</v>
      </c>
    </row>
    <row r="441" spans="1:26" x14ac:dyDescent="0.3">
      <c r="A441" t="s">
        <v>546</v>
      </c>
      <c r="B441" s="5">
        <v>46141</v>
      </c>
      <c r="C441" s="5">
        <v>46143</v>
      </c>
      <c r="D441" s="5">
        <v>46147</v>
      </c>
      <c r="E441" s="5">
        <v>46147</v>
      </c>
      <c r="F441" t="s">
        <v>33</v>
      </c>
      <c r="G441" t="s">
        <v>52</v>
      </c>
      <c r="H441" t="s">
        <v>23</v>
      </c>
      <c r="I441" t="s">
        <v>45</v>
      </c>
      <c r="J441">
        <v>658.4</v>
      </c>
      <c r="K441">
        <v>254</v>
      </c>
      <c r="L441">
        <v>6622000</v>
      </c>
      <c r="M441" t="b">
        <v>0</v>
      </c>
      <c r="N441" t="b">
        <v>0</v>
      </c>
      <c r="O441">
        <v>1000</v>
      </c>
      <c r="P441" t="b">
        <v>0</v>
      </c>
      <c r="Q441" t="b">
        <v>0</v>
      </c>
      <c r="R441" t="b">
        <v>0</v>
      </c>
      <c r="S441" t="s">
        <v>96</v>
      </c>
      <c r="T441" t="s">
        <v>1622</v>
      </c>
      <c r="U441">
        <v>25.4</v>
      </c>
      <c r="V441">
        <v>0</v>
      </c>
      <c r="W441">
        <v>0</v>
      </c>
      <c r="X441">
        <v>4</v>
      </c>
      <c r="Y441" s="6">
        <v>46143</v>
      </c>
    </row>
    <row r="442" spans="1:26" x14ac:dyDescent="0.3">
      <c r="A442" t="s">
        <v>547</v>
      </c>
      <c r="B442" s="5">
        <v>46163</v>
      </c>
      <c r="C442" s="5">
        <v>46164</v>
      </c>
      <c r="D442" s="5">
        <v>46167</v>
      </c>
      <c r="E442" s="5">
        <v>46167</v>
      </c>
      <c r="F442" t="s">
        <v>31</v>
      </c>
      <c r="G442" t="s">
        <v>54</v>
      </c>
      <c r="H442" t="s">
        <v>20</v>
      </c>
      <c r="I442" t="s">
        <v>43</v>
      </c>
      <c r="J442">
        <v>461</v>
      </c>
      <c r="K442">
        <v>4479.7</v>
      </c>
      <c r="L442">
        <v>9029000</v>
      </c>
      <c r="M442" t="b">
        <v>0</v>
      </c>
      <c r="N442" t="b">
        <v>0</v>
      </c>
      <c r="O442">
        <v>5000</v>
      </c>
      <c r="P442" t="b">
        <v>0</v>
      </c>
      <c r="Q442" t="b">
        <v>0</v>
      </c>
      <c r="R442" t="b">
        <v>0</v>
      </c>
      <c r="S442" t="s">
        <v>96</v>
      </c>
      <c r="T442" t="s">
        <v>1631</v>
      </c>
      <c r="U442">
        <v>89.593999999999994</v>
      </c>
      <c r="V442">
        <v>0</v>
      </c>
      <c r="W442">
        <v>0</v>
      </c>
      <c r="X442">
        <v>3</v>
      </c>
      <c r="Y442" s="6">
        <v>46143</v>
      </c>
    </row>
    <row r="443" spans="1:26" x14ac:dyDescent="0.3">
      <c r="A443" t="s">
        <v>548</v>
      </c>
      <c r="B443" s="5">
        <v>46141</v>
      </c>
      <c r="C443" s="5">
        <v>46142</v>
      </c>
      <c r="D443" s="5">
        <v>46146</v>
      </c>
      <c r="E443" s="5">
        <v>46146</v>
      </c>
      <c r="F443" t="s">
        <v>32</v>
      </c>
      <c r="G443" t="s">
        <v>56</v>
      </c>
      <c r="H443" t="s">
        <v>20</v>
      </c>
      <c r="I443" t="s">
        <v>42</v>
      </c>
      <c r="J443">
        <v>1012.4</v>
      </c>
      <c r="K443">
        <v>12319.4</v>
      </c>
      <c r="L443">
        <v>22881000</v>
      </c>
      <c r="M443" t="b">
        <v>0</v>
      </c>
      <c r="N443" t="b">
        <v>0</v>
      </c>
      <c r="O443">
        <v>16000</v>
      </c>
      <c r="P443" t="b">
        <v>0</v>
      </c>
      <c r="Q443" t="b">
        <v>0</v>
      </c>
      <c r="R443" t="b">
        <v>0</v>
      </c>
      <c r="S443" t="s">
        <v>96</v>
      </c>
      <c r="T443" t="s">
        <v>1658</v>
      </c>
      <c r="U443">
        <v>76.996250000000003</v>
      </c>
      <c r="V443">
        <v>0</v>
      </c>
      <c r="W443">
        <v>0</v>
      </c>
      <c r="X443">
        <v>4</v>
      </c>
      <c r="Y443" s="6">
        <v>46113</v>
      </c>
    </row>
    <row r="444" spans="1:26" x14ac:dyDescent="0.3">
      <c r="A444" t="s">
        <v>549</v>
      </c>
      <c r="B444" s="5">
        <v>46200</v>
      </c>
      <c r="C444" s="5">
        <v>46202</v>
      </c>
      <c r="D444" s="5">
        <v>46204</v>
      </c>
      <c r="E444" s="5">
        <v>46205</v>
      </c>
      <c r="F444" t="s">
        <v>32</v>
      </c>
      <c r="G444" t="s">
        <v>61</v>
      </c>
      <c r="H444" t="s">
        <v>23</v>
      </c>
      <c r="I444" t="s">
        <v>45</v>
      </c>
      <c r="J444">
        <v>155.1</v>
      </c>
      <c r="K444">
        <v>106.2</v>
      </c>
      <c r="L444">
        <v>1800000</v>
      </c>
      <c r="M444" t="b">
        <v>0</v>
      </c>
      <c r="N444" t="b">
        <v>0</v>
      </c>
      <c r="O444">
        <v>1000</v>
      </c>
      <c r="P444" t="b">
        <v>0</v>
      </c>
      <c r="Q444" t="b">
        <v>0</v>
      </c>
      <c r="R444" t="b">
        <v>0</v>
      </c>
      <c r="S444" t="s">
        <v>101</v>
      </c>
      <c r="T444" t="s">
        <v>1653</v>
      </c>
      <c r="U444">
        <v>10.62</v>
      </c>
      <c r="V444">
        <v>0</v>
      </c>
      <c r="W444">
        <v>0</v>
      </c>
      <c r="X444">
        <v>3</v>
      </c>
      <c r="Y444" s="6">
        <v>46174</v>
      </c>
      <c r="Z444">
        <v>1</v>
      </c>
    </row>
    <row r="445" spans="1:26" x14ac:dyDescent="0.3">
      <c r="A445" t="s">
        <v>550</v>
      </c>
      <c r="B445" s="5">
        <v>46123</v>
      </c>
      <c r="C445" s="5">
        <v>46124</v>
      </c>
      <c r="D445" s="5">
        <v>46126</v>
      </c>
      <c r="E445" s="5">
        <v>46126</v>
      </c>
      <c r="F445" t="s">
        <v>31</v>
      </c>
      <c r="G445" t="s">
        <v>57</v>
      </c>
      <c r="H445" t="s">
        <v>24</v>
      </c>
      <c r="I445" t="s">
        <v>44</v>
      </c>
      <c r="J445">
        <v>131</v>
      </c>
      <c r="K445">
        <v>1000.9</v>
      </c>
      <c r="L445">
        <v>2012000</v>
      </c>
      <c r="M445" t="b">
        <v>0</v>
      </c>
      <c r="N445" t="b">
        <v>0</v>
      </c>
      <c r="O445">
        <v>1500</v>
      </c>
      <c r="P445" t="b">
        <v>0</v>
      </c>
      <c r="Q445" t="b">
        <v>0</v>
      </c>
      <c r="R445" t="b">
        <v>0</v>
      </c>
      <c r="S445" t="s">
        <v>96</v>
      </c>
      <c r="T445" t="s">
        <v>1617</v>
      </c>
      <c r="U445">
        <v>66.726666666666674</v>
      </c>
      <c r="V445">
        <v>0</v>
      </c>
      <c r="W445">
        <v>0</v>
      </c>
      <c r="X445">
        <v>2</v>
      </c>
      <c r="Y445" s="6">
        <v>46113</v>
      </c>
    </row>
    <row r="446" spans="1:26" x14ac:dyDescent="0.3">
      <c r="A446" t="s">
        <v>551</v>
      </c>
      <c r="B446" s="5">
        <v>46085</v>
      </c>
      <c r="C446" s="5">
        <v>46086</v>
      </c>
      <c r="D446" s="5">
        <v>46089</v>
      </c>
      <c r="E446" s="5">
        <v>46089</v>
      </c>
      <c r="F446" t="s">
        <v>34</v>
      </c>
      <c r="G446" t="s">
        <v>54</v>
      </c>
      <c r="H446" t="s">
        <v>22</v>
      </c>
      <c r="I446" t="s">
        <v>43</v>
      </c>
      <c r="J446">
        <v>424</v>
      </c>
      <c r="K446">
        <v>3902.2</v>
      </c>
      <c r="L446">
        <v>7755000</v>
      </c>
      <c r="M446" t="b">
        <v>0</v>
      </c>
      <c r="N446" t="b">
        <v>0</v>
      </c>
      <c r="O446">
        <v>5000</v>
      </c>
      <c r="P446" t="b">
        <v>0</v>
      </c>
      <c r="Q446" t="b">
        <v>0</v>
      </c>
      <c r="R446" t="b">
        <v>0</v>
      </c>
      <c r="S446" t="s">
        <v>96</v>
      </c>
      <c r="T446" t="s">
        <v>1635</v>
      </c>
      <c r="U446">
        <v>78.043999999999997</v>
      </c>
      <c r="V446">
        <v>0</v>
      </c>
      <c r="W446">
        <v>0</v>
      </c>
      <c r="X446">
        <v>3</v>
      </c>
      <c r="Y446" s="6">
        <v>46082</v>
      </c>
    </row>
    <row r="447" spans="1:26" x14ac:dyDescent="0.3">
      <c r="A447" t="s">
        <v>552</v>
      </c>
      <c r="B447" s="5">
        <v>46111</v>
      </c>
      <c r="C447" s="5">
        <v>46112</v>
      </c>
      <c r="D447" s="5">
        <v>46114</v>
      </c>
      <c r="E447" s="5">
        <v>46114</v>
      </c>
      <c r="F447" t="s">
        <v>34</v>
      </c>
      <c r="G447" t="s">
        <v>58</v>
      </c>
      <c r="H447" t="s">
        <v>21</v>
      </c>
      <c r="I447" t="s">
        <v>45</v>
      </c>
      <c r="J447">
        <v>151.19999999999999</v>
      </c>
      <c r="K447">
        <v>881.1</v>
      </c>
      <c r="L447">
        <v>1991000</v>
      </c>
      <c r="M447" t="b">
        <v>0</v>
      </c>
      <c r="N447" t="b">
        <v>0</v>
      </c>
      <c r="O447">
        <v>1000</v>
      </c>
      <c r="P447" t="b">
        <v>0</v>
      </c>
      <c r="Q447" t="b">
        <v>0</v>
      </c>
      <c r="R447" t="b">
        <v>0</v>
      </c>
      <c r="S447" t="s">
        <v>96</v>
      </c>
      <c r="T447" t="s">
        <v>1637</v>
      </c>
      <c r="U447">
        <v>88.11</v>
      </c>
      <c r="V447">
        <v>0</v>
      </c>
      <c r="W447">
        <v>0</v>
      </c>
      <c r="X447">
        <v>2</v>
      </c>
      <c r="Y447" s="6">
        <v>46082</v>
      </c>
    </row>
    <row r="448" spans="1:26" x14ac:dyDescent="0.3">
      <c r="A448" t="s">
        <v>553</v>
      </c>
      <c r="B448" s="5">
        <v>46125</v>
      </c>
      <c r="C448" s="5">
        <v>46126</v>
      </c>
      <c r="D448" s="5">
        <v>46130</v>
      </c>
      <c r="E448" s="5">
        <v>46130</v>
      </c>
      <c r="F448" t="s">
        <v>34</v>
      </c>
      <c r="G448" t="s">
        <v>62</v>
      </c>
      <c r="H448" t="s">
        <v>107</v>
      </c>
      <c r="I448" t="s">
        <v>43</v>
      </c>
      <c r="J448">
        <v>728.7</v>
      </c>
      <c r="K448">
        <v>4086.4</v>
      </c>
      <c r="L448">
        <v>10845000</v>
      </c>
      <c r="M448" t="b">
        <v>0</v>
      </c>
      <c r="N448" t="b">
        <v>0</v>
      </c>
      <c r="O448">
        <v>5000</v>
      </c>
      <c r="P448" t="b">
        <v>0</v>
      </c>
      <c r="Q448" t="b">
        <v>0</v>
      </c>
      <c r="R448" t="b">
        <v>0</v>
      </c>
      <c r="S448" t="s">
        <v>96</v>
      </c>
      <c r="T448" t="s">
        <v>1649</v>
      </c>
      <c r="U448">
        <v>81.727999999999994</v>
      </c>
      <c r="V448">
        <v>0</v>
      </c>
      <c r="W448">
        <v>0</v>
      </c>
      <c r="X448">
        <v>4</v>
      </c>
      <c r="Y448" s="6">
        <v>46113</v>
      </c>
    </row>
    <row r="449" spans="1:26" x14ac:dyDescent="0.3">
      <c r="A449" t="s">
        <v>554</v>
      </c>
      <c r="B449" s="5">
        <v>46200</v>
      </c>
      <c r="C449" s="5">
        <v>46202</v>
      </c>
      <c r="D449" s="5">
        <v>46205</v>
      </c>
      <c r="E449" s="5">
        <v>46205</v>
      </c>
      <c r="F449" t="s">
        <v>34</v>
      </c>
      <c r="G449" t="s">
        <v>59</v>
      </c>
      <c r="H449" t="s">
        <v>22</v>
      </c>
      <c r="I449" t="s">
        <v>44</v>
      </c>
      <c r="J449">
        <v>314.7</v>
      </c>
      <c r="K449">
        <v>629.70000000000005</v>
      </c>
      <c r="L449">
        <v>3361000</v>
      </c>
      <c r="M449" t="b">
        <v>0</v>
      </c>
      <c r="N449" t="b">
        <v>0</v>
      </c>
      <c r="O449">
        <v>1500</v>
      </c>
      <c r="P449" t="b">
        <v>0</v>
      </c>
      <c r="Q449" t="b">
        <v>0</v>
      </c>
      <c r="R449" t="b">
        <v>0</v>
      </c>
      <c r="S449" t="s">
        <v>96</v>
      </c>
      <c r="T449" t="s">
        <v>1616</v>
      </c>
      <c r="U449">
        <v>41.98</v>
      </c>
      <c r="V449">
        <v>0</v>
      </c>
      <c r="W449">
        <v>0</v>
      </c>
      <c r="X449">
        <v>3</v>
      </c>
      <c r="Y449" s="6">
        <v>46174</v>
      </c>
    </row>
    <row r="450" spans="1:26" x14ac:dyDescent="0.3">
      <c r="A450" t="s">
        <v>555</v>
      </c>
      <c r="B450" s="5">
        <v>46065</v>
      </c>
      <c r="C450" s="5">
        <v>46066</v>
      </c>
      <c r="D450" s="5">
        <v>46069</v>
      </c>
      <c r="E450" s="5">
        <v>46069</v>
      </c>
      <c r="F450" t="s">
        <v>34</v>
      </c>
      <c r="G450" t="s">
        <v>63</v>
      </c>
      <c r="H450" t="s">
        <v>22</v>
      </c>
      <c r="I450" t="s">
        <v>43</v>
      </c>
      <c r="J450">
        <v>323.2</v>
      </c>
      <c r="K450">
        <v>2951.4</v>
      </c>
      <c r="L450">
        <v>5071000</v>
      </c>
      <c r="M450" t="b">
        <v>0</v>
      </c>
      <c r="N450" t="b">
        <v>0</v>
      </c>
      <c r="O450">
        <v>5000</v>
      </c>
      <c r="P450" t="b">
        <v>0</v>
      </c>
      <c r="Q450" t="b">
        <v>0</v>
      </c>
      <c r="R450" t="b">
        <v>0</v>
      </c>
      <c r="S450" t="s">
        <v>96</v>
      </c>
      <c r="T450" t="s">
        <v>1613</v>
      </c>
      <c r="U450">
        <v>59.028000000000013</v>
      </c>
      <c r="V450">
        <v>0</v>
      </c>
      <c r="W450">
        <v>0</v>
      </c>
      <c r="X450">
        <v>3</v>
      </c>
      <c r="Y450" s="6">
        <v>46054</v>
      </c>
    </row>
    <row r="451" spans="1:26" x14ac:dyDescent="0.3">
      <c r="A451" t="s">
        <v>556</v>
      </c>
      <c r="B451" s="5">
        <v>46049</v>
      </c>
      <c r="C451" s="5">
        <v>46050</v>
      </c>
      <c r="D451" s="5">
        <v>46053</v>
      </c>
      <c r="E451" s="5">
        <v>46053</v>
      </c>
      <c r="F451" t="s">
        <v>34</v>
      </c>
      <c r="G451" t="s">
        <v>52</v>
      </c>
      <c r="H451" t="s">
        <v>23</v>
      </c>
      <c r="I451" t="s">
        <v>43</v>
      </c>
      <c r="J451">
        <v>289.10000000000002</v>
      </c>
      <c r="K451">
        <v>1369.3</v>
      </c>
      <c r="L451">
        <v>4551000</v>
      </c>
      <c r="M451" t="b">
        <v>0</v>
      </c>
      <c r="N451" t="b">
        <v>0</v>
      </c>
      <c r="O451">
        <v>5000</v>
      </c>
      <c r="P451" t="b">
        <v>0</v>
      </c>
      <c r="Q451" t="b">
        <v>0</v>
      </c>
      <c r="R451" t="b">
        <v>0</v>
      </c>
      <c r="S451" t="s">
        <v>96</v>
      </c>
      <c r="T451" t="s">
        <v>1623</v>
      </c>
      <c r="U451">
        <v>27.385999999999999</v>
      </c>
      <c r="V451">
        <v>0</v>
      </c>
      <c r="W451">
        <v>0</v>
      </c>
      <c r="X451">
        <v>3</v>
      </c>
      <c r="Y451" s="6">
        <v>46023</v>
      </c>
    </row>
    <row r="452" spans="1:26" x14ac:dyDescent="0.3">
      <c r="A452" t="s">
        <v>557</v>
      </c>
      <c r="B452" s="5">
        <v>46197</v>
      </c>
      <c r="C452" s="5">
        <v>46199</v>
      </c>
      <c r="D452" s="5">
        <v>46202</v>
      </c>
      <c r="E452" s="5">
        <v>46202</v>
      </c>
      <c r="F452" t="s">
        <v>33</v>
      </c>
      <c r="G452" t="s">
        <v>59</v>
      </c>
      <c r="H452" t="s">
        <v>23</v>
      </c>
      <c r="I452" t="s">
        <v>42</v>
      </c>
      <c r="J452">
        <v>504.9</v>
      </c>
      <c r="K452">
        <v>7608.5</v>
      </c>
      <c r="L452">
        <v>13784000</v>
      </c>
      <c r="M452" t="b">
        <v>0</v>
      </c>
      <c r="N452" t="b">
        <v>0</v>
      </c>
      <c r="O452">
        <v>16000</v>
      </c>
      <c r="P452" t="b">
        <v>0</v>
      </c>
      <c r="Q452" t="b">
        <v>0</v>
      </c>
      <c r="R452" t="b">
        <v>0</v>
      </c>
      <c r="S452" t="s">
        <v>96</v>
      </c>
      <c r="T452" t="s">
        <v>1648</v>
      </c>
      <c r="U452">
        <v>47.553125000000001</v>
      </c>
      <c r="V452">
        <v>0</v>
      </c>
      <c r="W452">
        <v>0</v>
      </c>
      <c r="X452">
        <v>3</v>
      </c>
      <c r="Y452" s="6">
        <v>46174</v>
      </c>
    </row>
    <row r="453" spans="1:26" x14ac:dyDescent="0.3">
      <c r="A453" t="s">
        <v>558</v>
      </c>
      <c r="B453" s="5">
        <v>46072</v>
      </c>
      <c r="C453" s="5">
        <v>46073</v>
      </c>
      <c r="D453" s="5">
        <v>46076</v>
      </c>
      <c r="E453" s="5">
        <v>46077</v>
      </c>
      <c r="F453" t="s">
        <v>31</v>
      </c>
      <c r="G453" t="s">
        <v>54</v>
      </c>
      <c r="H453" t="s">
        <v>22</v>
      </c>
      <c r="I453" t="s">
        <v>45</v>
      </c>
      <c r="J453">
        <v>457.1</v>
      </c>
      <c r="K453">
        <v>228</v>
      </c>
      <c r="L453">
        <v>4174000</v>
      </c>
      <c r="M453" t="b">
        <v>0</v>
      </c>
      <c r="N453" t="b">
        <v>0</v>
      </c>
      <c r="O453">
        <v>1000</v>
      </c>
      <c r="P453" t="b">
        <v>0</v>
      </c>
      <c r="Q453" t="b">
        <v>0</v>
      </c>
      <c r="R453" t="b">
        <v>0</v>
      </c>
      <c r="S453" t="s">
        <v>101</v>
      </c>
      <c r="T453" t="s">
        <v>1631</v>
      </c>
      <c r="U453">
        <v>22.8</v>
      </c>
      <c r="V453">
        <v>0</v>
      </c>
      <c r="W453">
        <v>0</v>
      </c>
      <c r="X453">
        <v>4</v>
      </c>
      <c r="Y453" s="6">
        <v>46054</v>
      </c>
      <c r="Z453">
        <v>1</v>
      </c>
    </row>
    <row r="454" spans="1:26" x14ac:dyDescent="0.3">
      <c r="A454" t="s">
        <v>559</v>
      </c>
      <c r="B454" s="5">
        <v>46023</v>
      </c>
      <c r="C454" s="5">
        <v>46024</v>
      </c>
      <c r="D454" s="5">
        <v>46026</v>
      </c>
      <c r="E454" s="5">
        <v>46028</v>
      </c>
      <c r="F454" t="s">
        <v>32</v>
      </c>
      <c r="G454" t="s">
        <v>63</v>
      </c>
      <c r="H454" t="s">
        <v>22</v>
      </c>
      <c r="I454" t="s">
        <v>43</v>
      </c>
      <c r="J454">
        <v>185.3</v>
      </c>
      <c r="K454">
        <v>3443.3</v>
      </c>
      <c r="L454">
        <v>4551000</v>
      </c>
      <c r="M454" t="b">
        <v>0</v>
      </c>
      <c r="N454" t="b">
        <v>0</v>
      </c>
      <c r="O454">
        <v>5000</v>
      </c>
      <c r="P454" t="b">
        <v>0</v>
      </c>
      <c r="Q454" t="b">
        <v>0</v>
      </c>
      <c r="R454" t="b">
        <v>0</v>
      </c>
      <c r="S454" t="s">
        <v>101</v>
      </c>
      <c r="T454" t="s">
        <v>1634</v>
      </c>
      <c r="U454">
        <v>68.866</v>
      </c>
      <c r="V454">
        <v>0</v>
      </c>
      <c r="W454">
        <v>0</v>
      </c>
      <c r="X454">
        <v>4</v>
      </c>
      <c r="Y454" s="6">
        <v>46023</v>
      </c>
      <c r="Z454">
        <v>2</v>
      </c>
    </row>
    <row r="455" spans="1:26" x14ac:dyDescent="0.3">
      <c r="A455" t="s">
        <v>560</v>
      </c>
      <c r="B455" s="5">
        <v>46083</v>
      </c>
      <c r="C455" s="5">
        <v>46084</v>
      </c>
      <c r="D455" s="5">
        <v>46087</v>
      </c>
      <c r="E455" s="5"/>
      <c r="F455" t="s">
        <v>33</v>
      </c>
      <c r="G455" t="s">
        <v>55</v>
      </c>
      <c r="H455" t="s">
        <v>20</v>
      </c>
      <c r="I455" t="s">
        <v>43</v>
      </c>
      <c r="J455">
        <v>555.20000000000005</v>
      </c>
      <c r="K455">
        <v>2757.1</v>
      </c>
      <c r="L455">
        <v>8386000</v>
      </c>
      <c r="M455" t="b">
        <v>0</v>
      </c>
      <c r="N455" t="b">
        <v>0</v>
      </c>
      <c r="O455">
        <v>5000</v>
      </c>
      <c r="P455" t="b">
        <v>0</v>
      </c>
      <c r="Q455" t="b">
        <v>0</v>
      </c>
      <c r="R455" t="b">
        <v>0</v>
      </c>
      <c r="S455" t="s">
        <v>203</v>
      </c>
      <c r="T455" t="s">
        <v>1626</v>
      </c>
      <c r="U455">
        <v>55.142000000000003</v>
      </c>
      <c r="V455">
        <v>0</v>
      </c>
      <c r="W455">
        <v>0</v>
      </c>
      <c r="Y455" s="6">
        <v>46082</v>
      </c>
    </row>
    <row r="456" spans="1:26" x14ac:dyDescent="0.3">
      <c r="A456" t="s">
        <v>561</v>
      </c>
      <c r="B456" s="5">
        <v>46186</v>
      </c>
      <c r="C456" s="5">
        <v>46187</v>
      </c>
      <c r="D456" s="5">
        <v>46190</v>
      </c>
      <c r="E456" s="5">
        <v>46190</v>
      </c>
      <c r="F456" t="s">
        <v>34</v>
      </c>
      <c r="G456" t="s">
        <v>53</v>
      </c>
      <c r="H456" t="s">
        <v>23</v>
      </c>
      <c r="I456" t="s">
        <v>44</v>
      </c>
      <c r="J456">
        <v>312.5</v>
      </c>
      <c r="K456">
        <v>665.8</v>
      </c>
      <c r="L456">
        <v>4339000</v>
      </c>
      <c r="M456" t="b">
        <v>0</v>
      </c>
      <c r="N456" t="b">
        <v>0</v>
      </c>
      <c r="O456">
        <v>1500</v>
      </c>
      <c r="P456" t="b">
        <v>0</v>
      </c>
      <c r="Q456" t="b">
        <v>0</v>
      </c>
      <c r="R456" t="b">
        <v>0</v>
      </c>
      <c r="S456" t="s">
        <v>96</v>
      </c>
      <c r="T456" t="s">
        <v>1636</v>
      </c>
      <c r="U456">
        <v>44.386666666666663</v>
      </c>
      <c r="V456">
        <v>0</v>
      </c>
      <c r="W456">
        <v>0</v>
      </c>
      <c r="X456">
        <v>3</v>
      </c>
      <c r="Y456" s="6">
        <v>46174</v>
      </c>
    </row>
    <row r="457" spans="1:26" x14ac:dyDescent="0.3">
      <c r="A457" t="s">
        <v>562</v>
      </c>
      <c r="B457" s="5">
        <v>46036</v>
      </c>
      <c r="C457" s="5">
        <v>46037</v>
      </c>
      <c r="D457" s="5">
        <v>46039</v>
      </c>
      <c r="E457" s="5">
        <v>46041</v>
      </c>
      <c r="F457" t="s">
        <v>34</v>
      </c>
      <c r="G457" t="s">
        <v>57</v>
      </c>
      <c r="H457" t="s">
        <v>23</v>
      </c>
      <c r="I457" t="s">
        <v>45</v>
      </c>
      <c r="J457">
        <v>159.5</v>
      </c>
      <c r="K457">
        <v>664.3</v>
      </c>
      <c r="L457">
        <v>2070000</v>
      </c>
      <c r="M457" t="b">
        <v>0</v>
      </c>
      <c r="N457" t="b">
        <v>0</v>
      </c>
      <c r="O457">
        <v>1000</v>
      </c>
      <c r="P457" t="b">
        <v>0</v>
      </c>
      <c r="Q457" t="b">
        <v>0</v>
      </c>
      <c r="R457" t="b">
        <v>0</v>
      </c>
      <c r="S457" t="s">
        <v>101</v>
      </c>
      <c r="T457" t="s">
        <v>1620</v>
      </c>
      <c r="U457">
        <v>66.430000000000007</v>
      </c>
      <c r="V457">
        <v>0</v>
      </c>
      <c r="W457">
        <v>0</v>
      </c>
      <c r="X457">
        <v>4</v>
      </c>
      <c r="Y457" s="6">
        <v>46023</v>
      </c>
      <c r="Z457">
        <v>2</v>
      </c>
    </row>
    <row r="458" spans="1:26" x14ac:dyDescent="0.3">
      <c r="A458" t="s">
        <v>563</v>
      </c>
      <c r="B458" s="5">
        <v>46118</v>
      </c>
      <c r="C458" s="5">
        <v>46120</v>
      </c>
      <c r="D458" s="5">
        <v>46123</v>
      </c>
      <c r="E458" s="5">
        <v>46123</v>
      </c>
      <c r="F458" t="s">
        <v>31</v>
      </c>
      <c r="G458" t="s">
        <v>53</v>
      </c>
      <c r="H458" t="s">
        <v>107</v>
      </c>
      <c r="I458" t="s">
        <v>44</v>
      </c>
      <c r="J458">
        <v>308.10000000000002</v>
      </c>
      <c r="K458">
        <v>466.5</v>
      </c>
      <c r="L458">
        <v>3417000</v>
      </c>
      <c r="M458" t="b">
        <v>0</v>
      </c>
      <c r="N458" t="b">
        <v>0</v>
      </c>
      <c r="O458">
        <v>1500</v>
      </c>
      <c r="P458" t="b">
        <v>0</v>
      </c>
      <c r="Q458" t="b">
        <v>0</v>
      </c>
      <c r="R458" t="b">
        <v>0</v>
      </c>
      <c r="S458" t="s">
        <v>96</v>
      </c>
      <c r="T458" t="s">
        <v>1627</v>
      </c>
      <c r="U458">
        <v>31.1</v>
      </c>
      <c r="V458">
        <v>0</v>
      </c>
      <c r="W458">
        <v>0</v>
      </c>
      <c r="X458">
        <v>3</v>
      </c>
      <c r="Y458" s="6">
        <v>46113</v>
      </c>
    </row>
    <row r="459" spans="1:26" x14ac:dyDescent="0.3">
      <c r="A459" t="s">
        <v>564</v>
      </c>
      <c r="B459" s="5">
        <v>46065</v>
      </c>
      <c r="C459" s="5">
        <v>46065</v>
      </c>
      <c r="D459" s="5">
        <v>46068</v>
      </c>
      <c r="E459" s="5">
        <v>46069</v>
      </c>
      <c r="F459" t="s">
        <v>32</v>
      </c>
      <c r="G459" t="s">
        <v>54</v>
      </c>
      <c r="H459" t="s">
        <v>22</v>
      </c>
      <c r="I459" t="s">
        <v>43</v>
      </c>
      <c r="J459">
        <v>562.1</v>
      </c>
      <c r="K459">
        <v>4233.6000000000004</v>
      </c>
      <c r="L459">
        <v>8519000</v>
      </c>
      <c r="M459" t="b">
        <v>0</v>
      </c>
      <c r="N459" t="b">
        <v>0</v>
      </c>
      <c r="O459">
        <v>5000</v>
      </c>
      <c r="P459" t="b">
        <v>0</v>
      </c>
      <c r="Q459" t="b">
        <v>0</v>
      </c>
      <c r="R459" t="b">
        <v>0</v>
      </c>
      <c r="S459" t="s">
        <v>101</v>
      </c>
      <c r="T459" t="s">
        <v>1655</v>
      </c>
      <c r="U459">
        <v>84.671999999999997</v>
      </c>
      <c r="V459">
        <v>0</v>
      </c>
      <c r="W459">
        <v>0</v>
      </c>
      <c r="X459">
        <v>4</v>
      </c>
      <c r="Y459" s="6">
        <v>46054</v>
      </c>
      <c r="Z459">
        <v>1</v>
      </c>
    </row>
    <row r="460" spans="1:26" x14ac:dyDescent="0.3">
      <c r="A460" t="s">
        <v>565</v>
      </c>
      <c r="B460" s="5">
        <v>46191</v>
      </c>
      <c r="C460" s="5">
        <v>46191</v>
      </c>
      <c r="D460" s="5">
        <v>46194</v>
      </c>
      <c r="E460" s="5">
        <v>46195</v>
      </c>
      <c r="F460" t="s">
        <v>34</v>
      </c>
      <c r="G460" t="s">
        <v>63</v>
      </c>
      <c r="H460" t="s">
        <v>24</v>
      </c>
      <c r="I460" t="s">
        <v>45</v>
      </c>
      <c r="J460">
        <v>320.10000000000002</v>
      </c>
      <c r="K460">
        <v>598.5</v>
      </c>
      <c r="L460">
        <v>3546000</v>
      </c>
      <c r="M460" t="b">
        <v>0</v>
      </c>
      <c r="N460" t="b">
        <v>0</v>
      </c>
      <c r="O460">
        <v>1000</v>
      </c>
      <c r="P460" t="b">
        <v>0</v>
      </c>
      <c r="Q460" t="b">
        <v>0</v>
      </c>
      <c r="R460" t="b">
        <v>0</v>
      </c>
      <c r="S460" t="s">
        <v>101</v>
      </c>
      <c r="T460" t="s">
        <v>1613</v>
      </c>
      <c r="U460">
        <v>59.85</v>
      </c>
      <c r="V460">
        <v>0</v>
      </c>
      <c r="W460">
        <v>0</v>
      </c>
      <c r="X460">
        <v>4</v>
      </c>
      <c r="Y460" s="6">
        <v>46174</v>
      </c>
      <c r="Z460">
        <v>1</v>
      </c>
    </row>
    <row r="461" spans="1:26" x14ac:dyDescent="0.3">
      <c r="A461" t="s">
        <v>566</v>
      </c>
      <c r="B461" s="5">
        <v>46144</v>
      </c>
      <c r="C461" s="5">
        <v>46145</v>
      </c>
      <c r="D461" s="5">
        <v>46149</v>
      </c>
      <c r="E461" s="5">
        <v>46149</v>
      </c>
      <c r="F461" t="s">
        <v>32</v>
      </c>
      <c r="G461" t="s">
        <v>56</v>
      </c>
      <c r="H461" t="s">
        <v>21</v>
      </c>
      <c r="I461" t="s">
        <v>43</v>
      </c>
      <c r="J461">
        <v>1032.8</v>
      </c>
      <c r="K461">
        <v>874.6</v>
      </c>
      <c r="L461">
        <v>14898000</v>
      </c>
      <c r="M461" t="b">
        <v>0</v>
      </c>
      <c r="N461" t="b">
        <v>0</v>
      </c>
      <c r="O461">
        <v>5000</v>
      </c>
      <c r="P461" t="b">
        <v>0</v>
      </c>
      <c r="Q461" t="b">
        <v>0</v>
      </c>
      <c r="R461" t="b">
        <v>0</v>
      </c>
      <c r="S461" t="s">
        <v>96</v>
      </c>
      <c r="T461" t="s">
        <v>1658</v>
      </c>
      <c r="U461">
        <v>17.492000000000001</v>
      </c>
      <c r="V461">
        <v>0</v>
      </c>
      <c r="W461">
        <v>0</v>
      </c>
      <c r="X461">
        <v>4</v>
      </c>
      <c r="Y461" s="6">
        <v>46143</v>
      </c>
    </row>
    <row r="462" spans="1:26" x14ac:dyDescent="0.3">
      <c r="A462" t="s">
        <v>567</v>
      </c>
      <c r="B462" s="5">
        <v>46074</v>
      </c>
      <c r="C462" s="5">
        <v>46075</v>
      </c>
      <c r="D462" s="5">
        <v>46079</v>
      </c>
      <c r="E462" s="5">
        <v>46079</v>
      </c>
      <c r="F462" t="s">
        <v>32</v>
      </c>
      <c r="G462" t="s">
        <v>62</v>
      </c>
      <c r="H462" t="s">
        <v>23</v>
      </c>
      <c r="I462" t="s">
        <v>45</v>
      </c>
      <c r="J462">
        <v>605.79999999999995</v>
      </c>
      <c r="K462">
        <v>275.5</v>
      </c>
      <c r="L462">
        <v>5590000</v>
      </c>
      <c r="M462" t="b">
        <v>0</v>
      </c>
      <c r="N462" t="b">
        <v>0</v>
      </c>
      <c r="O462">
        <v>1000</v>
      </c>
      <c r="P462" t="b">
        <v>0</v>
      </c>
      <c r="Q462" t="b">
        <v>0</v>
      </c>
      <c r="R462" t="b">
        <v>0</v>
      </c>
      <c r="S462" t="s">
        <v>96</v>
      </c>
      <c r="T462" t="s">
        <v>1641</v>
      </c>
      <c r="U462">
        <v>27.55</v>
      </c>
      <c r="V462">
        <v>0</v>
      </c>
      <c r="W462">
        <v>0</v>
      </c>
      <c r="X462">
        <v>4</v>
      </c>
      <c r="Y462" s="6">
        <v>46054</v>
      </c>
    </row>
    <row r="463" spans="1:26" x14ac:dyDescent="0.3">
      <c r="A463" t="s">
        <v>568</v>
      </c>
      <c r="B463" s="5">
        <v>46092</v>
      </c>
      <c r="C463" s="5">
        <v>46092</v>
      </c>
      <c r="D463" s="5">
        <v>46095</v>
      </c>
      <c r="E463" s="5">
        <v>46096</v>
      </c>
      <c r="F463" t="s">
        <v>31</v>
      </c>
      <c r="G463" t="s">
        <v>59</v>
      </c>
      <c r="H463" t="s">
        <v>22</v>
      </c>
      <c r="I463" t="s">
        <v>43</v>
      </c>
      <c r="J463">
        <v>332.3</v>
      </c>
      <c r="K463">
        <v>601</v>
      </c>
      <c r="L463">
        <v>5057000</v>
      </c>
      <c r="M463" t="b">
        <v>0</v>
      </c>
      <c r="N463" t="b">
        <v>0</v>
      </c>
      <c r="O463">
        <v>5000</v>
      </c>
      <c r="P463" t="b">
        <v>0</v>
      </c>
      <c r="Q463" t="b">
        <v>0</v>
      </c>
      <c r="R463" t="b">
        <v>0</v>
      </c>
      <c r="S463" t="s">
        <v>101</v>
      </c>
      <c r="T463" t="s">
        <v>1628</v>
      </c>
      <c r="U463">
        <v>12.02</v>
      </c>
      <c r="V463">
        <v>0</v>
      </c>
      <c r="W463">
        <v>0</v>
      </c>
      <c r="X463">
        <v>4</v>
      </c>
      <c r="Y463" s="6">
        <v>46082</v>
      </c>
      <c r="Z463">
        <v>1</v>
      </c>
    </row>
    <row r="464" spans="1:26" x14ac:dyDescent="0.3">
      <c r="A464" t="s">
        <v>569</v>
      </c>
      <c r="B464" s="5">
        <v>46071</v>
      </c>
      <c r="C464" s="5">
        <v>46072</v>
      </c>
      <c r="D464" s="5">
        <v>46074</v>
      </c>
      <c r="E464" s="5">
        <v>46074</v>
      </c>
      <c r="F464" t="s">
        <v>32</v>
      </c>
      <c r="G464" t="s">
        <v>61</v>
      </c>
      <c r="H464" t="s">
        <v>20</v>
      </c>
      <c r="I464" t="s">
        <v>43</v>
      </c>
      <c r="J464">
        <v>148.80000000000001</v>
      </c>
      <c r="K464">
        <v>1083.3</v>
      </c>
      <c r="L464">
        <v>2668000</v>
      </c>
      <c r="M464" t="b">
        <v>0</v>
      </c>
      <c r="N464" t="b">
        <v>0</v>
      </c>
      <c r="O464">
        <v>5000</v>
      </c>
      <c r="P464" t="b">
        <v>0</v>
      </c>
      <c r="Q464" t="b">
        <v>0</v>
      </c>
      <c r="R464" t="b">
        <v>0</v>
      </c>
      <c r="S464" t="s">
        <v>96</v>
      </c>
      <c r="T464" t="s">
        <v>1653</v>
      </c>
      <c r="U464">
        <v>21.666</v>
      </c>
      <c r="V464">
        <v>0</v>
      </c>
      <c r="W464">
        <v>0</v>
      </c>
      <c r="X464">
        <v>2</v>
      </c>
      <c r="Y464" s="6">
        <v>46054</v>
      </c>
    </row>
    <row r="465" spans="1:26" x14ac:dyDescent="0.3">
      <c r="A465" t="s">
        <v>570</v>
      </c>
      <c r="B465" s="5">
        <v>46176</v>
      </c>
      <c r="C465" s="5">
        <v>46176</v>
      </c>
      <c r="D465" s="5">
        <v>46180</v>
      </c>
      <c r="E465" s="5">
        <v>46179</v>
      </c>
      <c r="F465" t="s">
        <v>32</v>
      </c>
      <c r="G465" t="s">
        <v>52</v>
      </c>
      <c r="H465" t="s">
        <v>23</v>
      </c>
      <c r="I465" t="s">
        <v>45</v>
      </c>
      <c r="J465">
        <v>346.4</v>
      </c>
      <c r="K465">
        <v>168.6</v>
      </c>
      <c r="L465">
        <v>3838000</v>
      </c>
      <c r="M465" t="b">
        <v>0</v>
      </c>
      <c r="N465" t="b">
        <v>0</v>
      </c>
      <c r="O465">
        <v>1000</v>
      </c>
      <c r="P465" t="b">
        <v>0</v>
      </c>
      <c r="Q465" t="b">
        <v>0</v>
      </c>
      <c r="R465" t="b">
        <v>0</v>
      </c>
      <c r="S465" t="s">
        <v>96</v>
      </c>
      <c r="T465" t="s">
        <v>1611</v>
      </c>
      <c r="U465">
        <v>16.86</v>
      </c>
      <c r="V465">
        <v>0</v>
      </c>
      <c r="W465">
        <v>0</v>
      </c>
      <c r="X465">
        <v>3</v>
      </c>
      <c r="Y465" s="6">
        <v>46174</v>
      </c>
    </row>
    <row r="466" spans="1:26" x14ac:dyDescent="0.3">
      <c r="A466" t="s">
        <v>571</v>
      </c>
      <c r="B466" s="5">
        <v>46136</v>
      </c>
      <c r="C466" s="5">
        <v>46137</v>
      </c>
      <c r="D466" s="5">
        <v>46139</v>
      </c>
      <c r="E466" s="5">
        <v>46139</v>
      </c>
      <c r="F466" t="s">
        <v>32</v>
      </c>
      <c r="G466" t="s">
        <v>53</v>
      </c>
      <c r="H466" t="s">
        <v>20</v>
      </c>
      <c r="I466" t="s">
        <v>43</v>
      </c>
      <c r="J466">
        <v>286.60000000000002</v>
      </c>
      <c r="K466">
        <v>2670.8</v>
      </c>
      <c r="L466">
        <v>5072000</v>
      </c>
      <c r="M466" t="b">
        <v>0</v>
      </c>
      <c r="N466" t="b">
        <v>0</v>
      </c>
      <c r="O466">
        <v>5000</v>
      </c>
      <c r="P466" t="b">
        <v>0</v>
      </c>
      <c r="Q466" t="b">
        <v>0</v>
      </c>
      <c r="R466" t="b">
        <v>0</v>
      </c>
      <c r="S466" t="s">
        <v>96</v>
      </c>
      <c r="T466" t="s">
        <v>1612</v>
      </c>
      <c r="U466">
        <v>53.416000000000011</v>
      </c>
      <c r="V466">
        <v>0</v>
      </c>
      <c r="W466">
        <v>0</v>
      </c>
      <c r="X466">
        <v>2</v>
      </c>
      <c r="Y466" s="6">
        <v>46113</v>
      </c>
    </row>
    <row r="467" spans="1:26" x14ac:dyDescent="0.3">
      <c r="A467" t="s">
        <v>572</v>
      </c>
      <c r="B467" s="5">
        <v>46090</v>
      </c>
      <c r="C467" s="5">
        <v>46091</v>
      </c>
      <c r="D467" s="5">
        <v>46095</v>
      </c>
      <c r="E467" s="5">
        <v>46095</v>
      </c>
      <c r="F467" t="s">
        <v>34</v>
      </c>
      <c r="G467" t="s">
        <v>62</v>
      </c>
      <c r="H467" t="s">
        <v>23</v>
      </c>
      <c r="I467" t="s">
        <v>45</v>
      </c>
      <c r="J467">
        <v>775.5</v>
      </c>
      <c r="K467">
        <v>493.1</v>
      </c>
      <c r="L467">
        <v>6630000</v>
      </c>
      <c r="M467" t="b">
        <v>0</v>
      </c>
      <c r="N467" t="b">
        <v>0</v>
      </c>
      <c r="O467">
        <v>1000</v>
      </c>
      <c r="P467" t="b">
        <v>0</v>
      </c>
      <c r="Q467" t="b">
        <v>0</v>
      </c>
      <c r="R467" t="b">
        <v>0</v>
      </c>
      <c r="S467" t="s">
        <v>96</v>
      </c>
      <c r="T467" t="s">
        <v>1649</v>
      </c>
      <c r="U467">
        <v>49.31</v>
      </c>
      <c r="V467">
        <v>0</v>
      </c>
      <c r="W467">
        <v>0</v>
      </c>
      <c r="X467">
        <v>4</v>
      </c>
      <c r="Y467" s="6">
        <v>46082</v>
      </c>
    </row>
    <row r="468" spans="1:26" x14ac:dyDescent="0.3">
      <c r="A468" t="s">
        <v>573</v>
      </c>
      <c r="B468" s="5">
        <v>46172</v>
      </c>
      <c r="C468" s="5">
        <v>46172</v>
      </c>
      <c r="D468" s="5">
        <v>46176</v>
      </c>
      <c r="E468" s="5">
        <v>46176</v>
      </c>
      <c r="F468" t="s">
        <v>34</v>
      </c>
      <c r="G468" t="s">
        <v>56</v>
      </c>
      <c r="H468" t="s">
        <v>24</v>
      </c>
      <c r="I468" t="s">
        <v>43</v>
      </c>
      <c r="J468">
        <v>885.5</v>
      </c>
      <c r="K468">
        <v>3159</v>
      </c>
      <c r="L468">
        <v>13214000</v>
      </c>
      <c r="M468" t="b">
        <v>0</v>
      </c>
      <c r="N468" t="b">
        <v>0</v>
      </c>
      <c r="O468">
        <v>5000</v>
      </c>
      <c r="P468" t="b">
        <v>0</v>
      </c>
      <c r="Q468" t="b">
        <v>0</v>
      </c>
      <c r="R468" t="b">
        <v>0</v>
      </c>
      <c r="S468" t="s">
        <v>96</v>
      </c>
      <c r="T468" t="s">
        <v>1646</v>
      </c>
      <c r="U468">
        <v>63.18</v>
      </c>
      <c r="V468">
        <v>0</v>
      </c>
      <c r="W468">
        <v>0</v>
      </c>
      <c r="X468">
        <v>4</v>
      </c>
      <c r="Y468" s="6">
        <v>46143</v>
      </c>
    </row>
    <row r="469" spans="1:26" x14ac:dyDescent="0.3">
      <c r="A469" t="s">
        <v>574</v>
      </c>
      <c r="B469" s="5">
        <v>46119</v>
      </c>
      <c r="C469" s="5">
        <v>46121</v>
      </c>
      <c r="D469" s="5">
        <v>46123</v>
      </c>
      <c r="E469" s="5">
        <v>46123</v>
      </c>
      <c r="F469" t="s">
        <v>31</v>
      </c>
      <c r="G469" t="s">
        <v>58</v>
      </c>
      <c r="H469" t="s">
        <v>22</v>
      </c>
      <c r="I469" t="s">
        <v>45</v>
      </c>
      <c r="J469">
        <v>193.8</v>
      </c>
      <c r="K469">
        <v>87</v>
      </c>
      <c r="L469">
        <v>2087000</v>
      </c>
      <c r="M469" t="b">
        <v>0</v>
      </c>
      <c r="N469" t="b">
        <v>0</v>
      </c>
      <c r="O469">
        <v>1000</v>
      </c>
      <c r="P469" t="b">
        <v>0</v>
      </c>
      <c r="Q469" t="b">
        <v>0</v>
      </c>
      <c r="R469" t="b">
        <v>0</v>
      </c>
      <c r="S469" t="s">
        <v>96</v>
      </c>
      <c r="T469" t="s">
        <v>1621</v>
      </c>
      <c r="U469">
        <v>8.6999999999999993</v>
      </c>
      <c r="V469">
        <v>0</v>
      </c>
      <c r="W469">
        <v>0</v>
      </c>
      <c r="X469">
        <v>2</v>
      </c>
      <c r="Y469" s="6">
        <v>46113</v>
      </c>
    </row>
    <row r="470" spans="1:26" x14ac:dyDescent="0.3">
      <c r="A470" t="s">
        <v>575</v>
      </c>
      <c r="B470" s="5">
        <v>46137</v>
      </c>
      <c r="C470" s="5">
        <v>46139</v>
      </c>
      <c r="D470" s="5">
        <v>46142</v>
      </c>
      <c r="E470" s="5">
        <v>46143</v>
      </c>
      <c r="F470" t="s">
        <v>34</v>
      </c>
      <c r="G470" t="s">
        <v>54</v>
      </c>
      <c r="H470" t="s">
        <v>22</v>
      </c>
      <c r="I470" t="s">
        <v>44</v>
      </c>
      <c r="J470">
        <v>436.5</v>
      </c>
      <c r="K470">
        <v>1298.5999999999999</v>
      </c>
      <c r="L470">
        <v>5317000</v>
      </c>
      <c r="M470" t="b">
        <v>0</v>
      </c>
      <c r="N470" t="b">
        <v>0</v>
      </c>
      <c r="O470">
        <v>1500</v>
      </c>
      <c r="P470" t="b">
        <v>0</v>
      </c>
      <c r="Q470" t="b">
        <v>0</v>
      </c>
      <c r="R470" t="b">
        <v>0</v>
      </c>
      <c r="S470" t="s">
        <v>101</v>
      </c>
      <c r="T470" t="s">
        <v>1635</v>
      </c>
      <c r="U470">
        <v>86.573333333333323</v>
      </c>
      <c r="V470">
        <v>0</v>
      </c>
      <c r="W470">
        <v>0</v>
      </c>
      <c r="X470">
        <v>4</v>
      </c>
      <c r="Y470" s="6">
        <v>46113</v>
      </c>
      <c r="Z470">
        <v>1</v>
      </c>
    </row>
    <row r="471" spans="1:26" x14ac:dyDescent="0.3">
      <c r="A471" t="s">
        <v>576</v>
      </c>
      <c r="B471" s="5">
        <v>46147</v>
      </c>
      <c r="C471" s="5">
        <v>46148</v>
      </c>
      <c r="D471" s="5">
        <v>46151</v>
      </c>
      <c r="E471" s="5">
        <v>46151</v>
      </c>
      <c r="F471" t="s">
        <v>31</v>
      </c>
      <c r="G471" t="s">
        <v>59</v>
      </c>
      <c r="H471" t="s">
        <v>23</v>
      </c>
      <c r="I471" t="s">
        <v>45</v>
      </c>
      <c r="J471">
        <v>301.2</v>
      </c>
      <c r="K471">
        <v>784.4</v>
      </c>
      <c r="L471">
        <v>3347000</v>
      </c>
      <c r="M471" t="b">
        <v>0</v>
      </c>
      <c r="N471" t="b">
        <v>0</v>
      </c>
      <c r="O471">
        <v>1000</v>
      </c>
      <c r="P471" t="b">
        <v>0</v>
      </c>
      <c r="Q471" t="b">
        <v>0</v>
      </c>
      <c r="R471" t="b">
        <v>0</v>
      </c>
      <c r="S471" t="s">
        <v>96</v>
      </c>
      <c r="T471" t="s">
        <v>1628</v>
      </c>
      <c r="U471">
        <v>78.44</v>
      </c>
      <c r="V471">
        <v>0</v>
      </c>
      <c r="W471">
        <v>0</v>
      </c>
      <c r="X471">
        <v>3</v>
      </c>
      <c r="Y471" s="6">
        <v>46143</v>
      </c>
    </row>
    <row r="472" spans="1:26" x14ac:dyDescent="0.3">
      <c r="A472" t="s">
        <v>577</v>
      </c>
      <c r="B472" s="5">
        <v>46090</v>
      </c>
      <c r="C472" s="5">
        <v>46091</v>
      </c>
      <c r="D472" s="5">
        <v>46093</v>
      </c>
      <c r="E472" s="5">
        <v>46093</v>
      </c>
      <c r="F472" t="s">
        <v>31</v>
      </c>
      <c r="G472" t="s">
        <v>59</v>
      </c>
      <c r="H472" t="s">
        <v>22</v>
      </c>
      <c r="I472" t="s">
        <v>44</v>
      </c>
      <c r="J472">
        <v>299.2</v>
      </c>
      <c r="K472">
        <v>195.2</v>
      </c>
      <c r="L472">
        <v>3002000</v>
      </c>
      <c r="M472" t="b">
        <v>0</v>
      </c>
      <c r="N472" t="b">
        <v>0</v>
      </c>
      <c r="O472">
        <v>1500</v>
      </c>
      <c r="P472" t="b">
        <v>0</v>
      </c>
      <c r="Q472" t="b">
        <v>0</v>
      </c>
      <c r="R472" t="b">
        <v>0</v>
      </c>
      <c r="S472" t="s">
        <v>96</v>
      </c>
      <c r="T472" t="s">
        <v>1628</v>
      </c>
      <c r="U472">
        <v>13.01333333333333</v>
      </c>
      <c r="V472">
        <v>0</v>
      </c>
      <c r="W472">
        <v>0</v>
      </c>
      <c r="X472">
        <v>2</v>
      </c>
      <c r="Y472" s="6">
        <v>46082</v>
      </c>
    </row>
    <row r="473" spans="1:26" x14ac:dyDescent="0.3">
      <c r="A473" t="s">
        <v>578</v>
      </c>
      <c r="B473" s="5">
        <v>46188</v>
      </c>
      <c r="C473" s="5">
        <v>46189</v>
      </c>
      <c r="D473" s="5">
        <v>46193</v>
      </c>
      <c r="E473" s="5">
        <v>46193</v>
      </c>
      <c r="F473" t="s">
        <v>31</v>
      </c>
      <c r="G473" t="s">
        <v>60</v>
      </c>
      <c r="H473" t="s">
        <v>22</v>
      </c>
      <c r="I473" t="s">
        <v>44</v>
      </c>
      <c r="J473">
        <v>634.5</v>
      </c>
      <c r="K473">
        <v>996.4</v>
      </c>
      <c r="L473">
        <v>8393000</v>
      </c>
      <c r="M473" t="b">
        <v>0</v>
      </c>
      <c r="N473" t="b">
        <v>0</v>
      </c>
      <c r="O473">
        <v>1500</v>
      </c>
      <c r="P473" t="b">
        <v>0</v>
      </c>
      <c r="Q473" t="b">
        <v>0</v>
      </c>
      <c r="R473" t="b">
        <v>0</v>
      </c>
      <c r="S473" t="s">
        <v>96</v>
      </c>
      <c r="T473" t="s">
        <v>1652</v>
      </c>
      <c r="U473">
        <v>66.426666666666662</v>
      </c>
      <c r="V473">
        <v>0</v>
      </c>
      <c r="W473">
        <v>0</v>
      </c>
      <c r="X473">
        <v>4</v>
      </c>
      <c r="Y473" s="6">
        <v>46174</v>
      </c>
    </row>
    <row r="474" spans="1:26" x14ac:dyDescent="0.3">
      <c r="A474" t="s">
        <v>579</v>
      </c>
      <c r="B474" s="5">
        <v>46153</v>
      </c>
      <c r="C474" s="5">
        <v>46154</v>
      </c>
      <c r="D474" s="5">
        <v>46158</v>
      </c>
      <c r="E474" s="5">
        <v>46158</v>
      </c>
      <c r="F474" t="s">
        <v>33</v>
      </c>
      <c r="G474" t="s">
        <v>54</v>
      </c>
      <c r="H474" t="s">
        <v>22</v>
      </c>
      <c r="I474" t="s">
        <v>43</v>
      </c>
      <c r="J474">
        <v>995.3</v>
      </c>
      <c r="K474">
        <v>3763.4</v>
      </c>
      <c r="L474">
        <v>13747000</v>
      </c>
      <c r="M474" t="b">
        <v>0</v>
      </c>
      <c r="N474" t="b">
        <v>0</v>
      </c>
      <c r="O474">
        <v>5000</v>
      </c>
      <c r="P474" t="b">
        <v>0</v>
      </c>
      <c r="Q474" t="b">
        <v>0</v>
      </c>
      <c r="R474" t="b">
        <v>0</v>
      </c>
      <c r="S474" t="s">
        <v>96</v>
      </c>
      <c r="T474" t="s">
        <v>1642</v>
      </c>
      <c r="U474">
        <v>75.268000000000001</v>
      </c>
      <c r="V474">
        <v>0</v>
      </c>
      <c r="W474">
        <v>0</v>
      </c>
      <c r="X474">
        <v>4</v>
      </c>
      <c r="Y474" s="6">
        <v>46143</v>
      </c>
    </row>
    <row r="475" spans="1:26" x14ac:dyDescent="0.3">
      <c r="A475" t="s">
        <v>580</v>
      </c>
      <c r="B475" s="5">
        <v>46143</v>
      </c>
      <c r="C475" s="5">
        <v>46144</v>
      </c>
      <c r="D475" s="5">
        <v>46146</v>
      </c>
      <c r="E475" s="5">
        <v>46146</v>
      </c>
      <c r="F475" t="s">
        <v>31</v>
      </c>
      <c r="G475" t="s">
        <v>63</v>
      </c>
      <c r="H475" t="s">
        <v>20</v>
      </c>
      <c r="I475" t="s">
        <v>44</v>
      </c>
      <c r="J475">
        <v>250.7</v>
      </c>
      <c r="K475">
        <v>800.7</v>
      </c>
      <c r="L475">
        <v>3674000</v>
      </c>
      <c r="M475" t="b">
        <v>0</v>
      </c>
      <c r="N475" t="b">
        <v>0</v>
      </c>
      <c r="O475">
        <v>1500</v>
      </c>
      <c r="P475" t="b">
        <v>0</v>
      </c>
      <c r="Q475" t="b">
        <v>0</v>
      </c>
      <c r="R475" t="b">
        <v>0</v>
      </c>
      <c r="S475" t="s">
        <v>96</v>
      </c>
      <c r="T475" t="s">
        <v>1640</v>
      </c>
      <c r="U475">
        <v>53.38</v>
      </c>
      <c r="V475">
        <v>0</v>
      </c>
      <c r="W475">
        <v>0</v>
      </c>
      <c r="X475">
        <v>2</v>
      </c>
      <c r="Y475" s="6">
        <v>46143</v>
      </c>
    </row>
    <row r="476" spans="1:26" x14ac:dyDescent="0.3">
      <c r="A476" t="s">
        <v>581</v>
      </c>
      <c r="B476" s="5">
        <v>46030</v>
      </c>
      <c r="C476" s="5">
        <v>46032</v>
      </c>
      <c r="D476" s="5">
        <v>46035</v>
      </c>
      <c r="E476" s="5">
        <v>46035</v>
      </c>
      <c r="F476" t="s">
        <v>34</v>
      </c>
      <c r="G476" t="s">
        <v>63</v>
      </c>
      <c r="H476" t="s">
        <v>22</v>
      </c>
      <c r="I476" t="s">
        <v>45</v>
      </c>
      <c r="J476">
        <v>314</v>
      </c>
      <c r="K476">
        <v>609.70000000000005</v>
      </c>
      <c r="L476">
        <v>3228000</v>
      </c>
      <c r="M476" t="b">
        <v>0</v>
      </c>
      <c r="N476" t="b">
        <v>0</v>
      </c>
      <c r="O476">
        <v>1000</v>
      </c>
      <c r="P476" t="b">
        <v>0</v>
      </c>
      <c r="Q476" t="b">
        <v>0</v>
      </c>
      <c r="R476" t="b">
        <v>0</v>
      </c>
      <c r="S476" t="s">
        <v>96</v>
      </c>
      <c r="T476" t="s">
        <v>1613</v>
      </c>
      <c r="U476">
        <v>60.97</v>
      </c>
      <c r="V476">
        <v>0</v>
      </c>
      <c r="W476">
        <v>0</v>
      </c>
      <c r="X476">
        <v>3</v>
      </c>
      <c r="Y476" s="6">
        <v>46023</v>
      </c>
    </row>
    <row r="477" spans="1:26" x14ac:dyDescent="0.3">
      <c r="A477" t="s">
        <v>582</v>
      </c>
      <c r="B477" s="5">
        <v>46078</v>
      </c>
      <c r="C477" s="5">
        <v>46078</v>
      </c>
      <c r="D477" s="5">
        <v>46080</v>
      </c>
      <c r="E477" s="5"/>
      <c r="F477" t="s">
        <v>33</v>
      </c>
      <c r="G477" t="s">
        <v>62</v>
      </c>
      <c r="H477" t="s">
        <v>24</v>
      </c>
      <c r="I477" t="s">
        <v>44</v>
      </c>
      <c r="J477">
        <v>136.4</v>
      </c>
      <c r="K477">
        <v>1183.2</v>
      </c>
      <c r="L477">
        <v>2031000</v>
      </c>
      <c r="M477" t="b">
        <v>0</v>
      </c>
      <c r="N477" t="b">
        <v>0</v>
      </c>
      <c r="O477">
        <v>1500</v>
      </c>
      <c r="P477" t="b">
        <v>0</v>
      </c>
      <c r="Q477" t="b">
        <v>0</v>
      </c>
      <c r="R477" t="b">
        <v>0</v>
      </c>
      <c r="S477" t="s">
        <v>203</v>
      </c>
      <c r="T477" t="s">
        <v>1657</v>
      </c>
      <c r="U477">
        <v>78.88000000000001</v>
      </c>
      <c r="V477">
        <v>0</v>
      </c>
      <c r="W477">
        <v>0</v>
      </c>
      <c r="Y477" s="6">
        <v>46054</v>
      </c>
    </row>
    <row r="478" spans="1:26" x14ac:dyDescent="0.3">
      <c r="A478" t="s">
        <v>583</v>
      </c>
      <c r="B478" s="5">
        <v>46119</v>
      </c>
      <c r="C478" s="5">
        <v>46120</v>
      </c>
      <c r="D478" s="5">
        <v>46121</v>
      </c>
      <c r="E478" s="5">
        <v>46121</v>
      </c>
      <c r="F478" t="s">
        <v>34</v>
      </c>
      <c r="G478" t="s">
        <v>55</v>
      </c>
      <c r="H478" t="s">
        <v>107</v>
      </c>
      <c r="I478" t="s">
        <v>43</v>
      </c>
      <c r="J478">
        <v>53</v>
      </c>
      <c r="K478">
        <v>3244.3</v>
      </c>
      <c r="L478">
        <v>2513000</v>
      </c>
      <c r="M478" t="b">
        <v>0</v>
      </c>
      <c r="N478" t="b">
        <v>0</v>
      </c>
      <c r="O478">
        <v>5000</v>
      </c>
      <c r="P478" t="b">
        <v>0</v>
      </c>
      <c r="Q478" t="b">
        <v>0</v>
      </c>
      <c r="R478" t="b">
        <v>0</v>
      </c>
      <c r="S478" t="s">
        <v>96</v>
      </c>
      <c r="T478" t="s">
        <v>1639</v>
      </c>
      <c r="U478">
        <v>64.885999999999996</v>
      </c>
      <c r="V478">
        <v>0</v>
      </c>
      <c r="W478">
        <v>0</v>
      </c>
      <c r="X478">
        <v>1</v>
      </c>
      <c r="Y478" s="6">
        <v>46113</v>
      </c>
    </row>
    <row r="479" spans="1:26" x14ac:dyDescent="0.3">
      <c r="A479" t="s">
        <v>584</v>
      </c>
      <c r="B479" s="5">
        <v>46170</v>
      </c>
      <c r="C479" s="5">
        <v>46170</v>
      </c>
      <c r="D479" s="5">
        <v>46172</v>
      </c>
      <c r="E479" s="5">
        <v>46172</v>
      </c>
      <c r="F479" t="s">
        <v>32</v>
      </c>
      <c r="G479" t="s">
        <v>53</v>
      </c>
      <c r="H479" t="s">
        <v>20</v>
      </c>
      <c r="I479" t="s">
        <v>42</v>
      </c>
      <c r="J479">
        <v>249.5</v>
      </c>
      <c r="K479">
        <v>8087.2</v>
      </c>
      <c r="L479">
        <v>7928000</v>
      </c>
      <c r="M479" t="b">
        <v>0</v>
      </c>
      <c r="N479" t="b">
        <v>0</v>
      </c>
      <c r="O479">
        <v>16000</v>
      </c>
      <c r="P479" t="b">
        <v>0</v>
      </c>
      <c r="Q479" t="b">
        <v>0</v>
      </c>
      <c r="R479" t="b">
        <v>0</v>
      </c>
      <c r="S479" t="s">
        <v>96</v>
      </c>
      <c r="T479" t="s">
        <v>1612</v>
      </c>
      <c r="U479">
        <v>50.544999999999987</v>
      </c>
      <c r="V479">
        <v>0</v>
      </c>
      <c r="W479">
        <v>0</v>
      </c>
      <c r="X479">
        <v>2</v>
      </c>
      <c r="Y479" s="6">
        <v>46143</v>
      </c>
    </row>
    <row r="480" spans="1:26" x14ac:dyDescent="0.3">
      <c r="A480" t="s">
        <v>585</v>
      </c>
      <c r="B480" s="5">
        <v>46085</v>
      </c>
      <c r="C480" s="5">
        <v>46086</v>
      </c>
      <c r="D480" s="5">
        <v>46090</v>
      </c>
      <c r="E480" s="5">
        <v>46089</v>
      </c>
      <c r="F480" t="s">
        <v>33</v>
      </c>
      <c r="G480" t="s">
        <v>55</v>
      </c>
      <c r="H480" t="s">
        <v>21</v>
      </c>
      <c r="I480" t="s">
        <v>42</v>
      </c>
      <c r="J480">
        <v>618</v>
      </c>
      <c r="K480">
        <v>11230.8</v>
      </c>
      <c r="L480">
        <v>15964000</v>
      </c>
      <c r="M480" t="b">
        <v>0</v>
      </c>
      <c r="N480" t="b">
        <v>0</v>
      </c>
      <c r="O480">
        <v>16000</v>
      </c>
      <c r="P480" t="b">
        <v>0</v>
      </c>
      <c r="Q480" t="b">
        <v>0</v>
      </c>
      <c r="R480" t="b">
        <v>0</v>
      </c>
      <c r="S480" t="s">
        <v>96</v>
      </c>
      <c r="T480" t="s">
        <v>1626</v>
      </c>
      <c r="U480">
        <v>70.192499999999995</v>
      </c>
      <c r="V480">
        <v>0</v>
      </c>
      <c r="W480">
        <v>0</v>
      </c>
      <c r="X480">
        <v>3</v>
      </c>
      <c r="Y480" s="6">
        <v>46082</v>
      </c>
    </row>
    <row r="481" spans="1:26" x14ac:dyDescent="0.3">
      <c r="A481" t="s">
        <v>586</v>
      </c>
      <c r="B481" s="5">
        <v>46045</v>
      </c>
      <c r="C481" s="5">
        <v>46046</v>
      </c>
      <c r="D481" s="5">
        <v>46050</v>
      </c>
      <c r="E481" s="5">
        <v>46051</v>
      </c>
      <c r="F481" t="s">
        <v>31</v>
      </c>
      <c r="G481" t="s">
        <v>62</v>
      </c>
      <c r="H481" t="s">
        <v>23</v>
      </c>
      <c r="I481" t="s">
        <v>44</v>
      </c>
      <c r="J481">
        <v>678</v>
      </c>
      <c r="K481">
        <v>371.8</v>
      </c>
      <c r="L481">
        <v>7387000</v>
      </c>
      <c r="M481" t="b">
        <v>0</v>
      </c>
      <c r="N481" t="b">
        <v>0</v>
      </c>
      <c r="O481">
        <v>1500</v>
      </c>
      <c r="P481" t="b">
        <v>0</v>
      </c>
      <c r="Q481" t="b">
        <v>0</v>
      </c>
      <c r="R481" t="b">
        <v>0</v>
      </c>
      <c r="S481" t="s">
        <v>101</v>
      </c>
      <c r="T481" t="s">
        <v>1615</v>
      </c>
      <c r="U481">
        <v>24.786666666666669</v>
      </c>
      <c r="V481">
        <v>0</v>
      </c>
      <c r="W481">
        <v>0</v>
      </c>
      <c r="X481">
        <v>5</v>
      </c>
      <c r="Y481" s="6">
        <v>46023</v>
      </c>
      <c r="Z481">
        <v>1</v>
      </c>
    </row>
    <row r="482" spans="1:26" x14ac:dyDescent="0.3">
      <c r="A482" t="s">
        <v>587</v>
      </c>
      <c r="B482" s="5">
        <v>46045</v>
      </c>
      <c r="C482" s="5">
        <v>46047</v>
      </c>
      <c r="D482" s="5">
        <v>46051</v>
      </c>
      <c r="E482" s="5">
        <v>46051</v>
      </c>
      <c r="F482" t="s">
        <v>31</v>
      </c>
      <c r="G482" t="s">
        <v>62</v>
      </c>
      <c r="H482" t="s">
        <v>20</v>
      </c>
      <c r="I482" t="s">
        <v>44</v>
      </c>
      <c r="J482">
        <v>733.1</v>
      </c>
      <c r="K482">
        <v>1385.2</v>
      </c>
      <c r="L482">
        <v>9072000</v>
      </c>
      <c r="M482" t="b">
        <v>0</v>
      </c>
      <c r="N482" t="b">
        <v>0</v>
      </c>
      <c r="O482">
        <v>1500</v>
      </c>
      <c r="P482" t="b">
        <v>0</v>
      </c>
      <c r="Q482" t="b">
        <v>0</v>
      </c>
      <c r="R482" t="b">
        <v>0</v>
      </c>
      <c r="S482" t="s">
        <v>96</v>
      </c>
      <c r="T482" t="s">
        <v>1615</v>
      </c>
      <c r="U482">
        <v>92.346666666666664</v>
      </c>
      <c r="V482">
        <v>0</v>
      </c>
      <c r="W482">
        <v>0</v>
      </c>
      <c r="X482">
        <v>4</v>
      </c>
      <c r="Y482" s="6">
        <v>46023</v>
      </c>
    </row>
    <row r="483" spans="1:26" x14ac:dyDescent="0.3">
      <c r="A483" t="s">
        <v>588</v>
      </c>
      <c r="B483" s="5">
        <v>46031</v>
      </c>
      <c r="C483" s="5">
        <v>46033</v>
      </c>
      <c r="D483" s="5">
        <v>46036</v>
      </c>
      <c r="E483" s="5">
        <v>46037</v>
      </c>
      <c r="F483" t="s">
        <v>31</v>
      </c>
      <c r="G483" t="s">
        <v>53</v>
      </c>
      <c r="H483" t="s">
        <v>20</v>
      </c>
      <c r="I483" t="s">
        <v>45</v>
      </c>
      <c r="J483">
        <v>304.7</v>
      </c>
      <c r="K483">
        <v>101.8</v>
      </c>
      <c r="L483">
        <v>3196000</v>
      </c>
      <c r="M483" t="b">
        <v>0</v>
      </c>
      <c r="N483" t="b">
        <v>0</v>
      </c>
      <c r="O483">
        <v>1000</v>
      </c>
      <c r="P483" t="b">
        <v>0</v>
      </c>
      <c r="Q483" t="b">
        <v>0</v>
      </c>
      <c r="R483" t="b">
        <v>0</v>
      </c>
      <c r="S483" t="s">
        <v>101</v>
      </c>
      <c r="T483" t="s">
        <v>1627</v>
      </c>
      <c r="U483">
        <v>10.18</v>
      </c>
      <c r="V483">
        <v>0</v>
      </c>
      <c r="W483">
        <v>0</v>
      </c>
      <c r="X483">
        <v>4</v>
      </c>
      <c r="Y483" s="6">
        <v>46023</v>
      </c>
      <c r="Z483">
        <v>1</v>
      </c>
    </row>
    <row r="484" spans="1:26" x14ac:dyDescent="0.3">
      <c r="A484" t="s">
        <v>589</v>
      </c>
      <c r="B484" s="5">
        <v>46038</v>
      </c>
      <c r="C484" s="5">
        <v>46040</v>
      </c>
      <c r="D484" s="5">
        <v>46044</v>
      </c>
      <c r="E484" s="5">
        <v>46044</v>
      </c>
      <c r="F484" t="s">
        <v>31</v>
      </c>
      <c r="G484" t="s">
        <v>60</v>
      </c>
      <c r="H484" t="s">
        <v>20</v>
      </c>
      <c r="I484" t="s">
        <v>45</v>
      </c>
      <c r="J484">
        <v>579.6</v>
      </c>
      <c r="K484">
        <v>514</v>
      </c>
      <c r="L484">
        <v>6151000</v>
      </c>
      <c r="M484" t="b">
        <v>0</v>
      </c>
      <c r="N484" t="b">
        <v>0</v>
      </c>
      <c r="O484">
        <v>1000</v>
      </c>
      <c r="P484" t="b">
        <v>0</v>
      </c>
      <c r="Q484" t="b">
        <v>0</v>
      </c>
      <c r="R484" t="b">
        <v>0</v>
      </c>
      <c r="S484" t="s">
        <v>96</v>
      </c>
      <c r="T484" t="s">
        <v>1652</v>
      </c>
      <c r="U484">
        <v>51.4</v>
      </c>
      <c r="V484">
        <v>0</v>
      </c>
      <c r="W484">
        <v>0</v>
      </c>
      <c r="X484">
        <v>4</v>
      </c>
      <c r="Y484" s="6">
        <v>46023</v>
      </c>
    </row>
    <row r="485" spans="1:26" x14ac:dyDescent="0.3">
      <c r="A485" t="s">
        <v>590</v>
      </c>
      <c r="B485" s="5">
        <v>46148</v>
      </c>
      <c r="C485" s="5">
        <v>46149</v>
      </c>
      <c r="D485" s="5">
        <v>46152</v>
      </c>
      <c r="E485" s="5">
        <v>46152</v>
      </c>
      <c r="F485" t="s">
        <v>31</v>
      </c>
      <c r="G485" t="s">
        <v>63</v>
      </c>
      <c r="H485" t="s">
        <v>20</v>
      </c>
      <c r="I485" t="s">
        <v>44</v>
      </c>
      <c r="J485">
        <v>313.5</v>
      </c>
      <c r="K485">
        <v>1159.2</v>
      </c>
      <c r="L485">
        <v>4269000</v>
      </c>
      <c r="M485" t="b">
        <v>0</v>
      </c>
      <c r="N485" t="b">
        <v>0</v>
      </c>
      <c r="O485">
        <v>1500</v>
      </c>
      <c r="P485" t="b">
        <v>0</v>
      </c>
      <c r="Q485" t="b">
        <v>0</v>
      </c>
      <c r="R485" t="b">
        <v>0</v>
      </c>
      <c r="S485" t="s">
        <v>96</v>
      </c>
      <c r="T485" t="s">
        <v>1640</v>
      </c>
      <c r="U485">
        <v>77.28</v>
      </c>
      <c r="V485">
        <v>0</v>
      </c>
      <c r="W485">
        <v>0</v>
      </c>
      <c r="X485">
        <v>3</v>
      </c>
      <c r="Y485" s="6">
        <v>46143</v>
      </c>
    </row>
    <row r="486" spans="1:26" x14ac:dyDescent="0.3">
      <c r="A486" t="s">
        <v>591</v>
      </c>
      <c r="B486" s="5">
        <v>46114</v>
      </c>
      <c r="C486" s="5">
        <v>46115</v>
      </c>
      <c r="D486" s="5">
        <v>46119</v>
      </c>
      <c r="E486" s="5">
        <v>46119</v>
      </c>
      <c r="F486" t="s">
        <v>34</v>
      </c>
      <c r="G486" t="s">
        <v>60</v>
      </c>
      <c r="H486" t="s">
        <v>23</v>
      </c>
      <c r="I486" t="s">
        <v>43</v>
      </c>
      <c r="J486">
        <v>632</v>
      </c>
      <c r="K486">
        <v>973.2</v>
      </c>
      <c r="L486">
        <v>7674000</v>
      </c>
      <c r="M486" t="b">
        <v>0</v>
      </c>
      <c r="N486" t="b">
        <v>0</v>
      </c>
      <c r="O486">
        <v>5000</v>
      </c>
      <c r="P486" t="b">
        <v>0</v>
      </c>
      <c r="Q486" t="b">
        <v>0</v>
      </c>
      <c r="R486" t="b">
        <v>0</v>
      </c>
      <c r="S486" t="s">
        <v>96</v>
      </c>
      <c r="T486" t="s">
        <v>1644</v>
      </c>
      <c r="U486">
        <v>19.463999999999999</v>
      </c>
      <c r="V486">
        <v>0</v>
      </c>
      <c r="W486">
        <v>0</v>
      </c>
      <c r="X486">
        <v>4</v>
      </c>
      <c r="Y486" s="6">
        <v>46113</v>
      </c>
    </row>
    <row r="487" spans="1:26" x14ac:dyDescent="0.3">
      <c r="A487" t="s">
        <v>592</v>
      </c>
      <c r="B487" s="5">
        <v>46166</v>
      </c>
      <c r="C487" s="5">
        <v>46167</v>
      </c>
      <c r="D487" s="5">
        <v>46170</v>
      </c>
      <c r="E487" s="5">
        <v>46170</v>
      </c>
      <c r="F487" t="s">
        <v>32</v>
      </c>
      <c r="G487" t="s">
        <v>59</v>
      </c>
      <c r="H487" t="s">
        <v>24</v>
      </c>
      <c r="I487" t="s">
        <v>45</v>
      </c>
      <c r="J487">
        <v>179.6</v>
      </c>
      <c r="K487">
        <v>712.2</v>
      </c>
      <c r="L487">
        <v>2140000</v>
      </c>
      <c r="M487" t="b">
        <v>0</v>
      </c>
      <c r="N487" t="b">
        <v>0</v>
      </c>
      <c r="O487">
        <v>1000</v>
      </c>
      <c r="P487" t="b">
        <v>0</v>
      </c>
      <c r="Q487" t="b">
        <v>0</v>
      </c>
      <c r="R487" t="b">
        <v>0</v>
      </c>
      <c r="S487" t="s">
        <v>96</v>
      </c>
      <c r="T487" t="s">
        <v>1619</v>
      </c>
      <c r="U487">
        <v>71.22</v>
      </c>
      <c r="V487">
        <v>0</v>
      </c>
      <c r="W487">
        <v>0</v>
      </c>
      <c r="X487">
        <v>3</v>
      </c>
      <c r="Y487" s="6">
        <v>46143</v>
      </c>
    </row>
    <row r="488" spans="1:26" x14ac:dyDescent="0.3">
      <c r="A488" t="s">
        <v>593</v>
      </c>
      <c r="B488" s="5">
        <v>46103</v>
      </c>
      <c r="C488" s="5">
        <v>46104</v>
      </c>
      <c r="D488" s="5">
        <v>46108</v>
      </c>
      <c r="E488" s="5">
        <v>46108</v>
      </c>
      <c r="F488" t="s">
        <v>34</v>
      </c>
      <c r="G488" t="s">
        <v>60</v>
      </c>
      <c r="H488" t="s">
        <v>21</v>
      </c>
      <c r="I488" t="s">
        <v>45</v>
      </c>
      <c r="J488">
        <v>652.5</v>
      </c>
      <c r="K488">
        <v>86.4</v>
      </c>
      <c r="L488">
        <v>5847000</v>
      </c>
      <c r="M488" t="b">
        <v>0</v>
      </c>
      <c r="N488" t="b">
        <v>0</v>
      </c>
      <c r="O488">
        <v>1000</v>
      </c>
      <c r="P488" t="b">
        <v>0</v>
      </c>
      <c r="Q488" t="b">
        <v>0</v>
      </c>
      <c r="R488" t="b">
        <v>0</v>
      </c>
      <c r="S488" t="s">
        <v>96</v>
      </c>
      <c r="T488" t="s">
        <v>1644</v>
      </c>
      <c r="U488">
        <v>8.64</v>
      </c>
      <c r="V488">
        <v>0</v>
      </c>
      <c r="W488">
        <v>0</v>
      </c>
      <c r="X488">
        <v>4</v>
      </c>
      <c r="Y488" s="6">
        <v>46082</v>
      </c>
    </row>
    <row r="489" spans="1:26" x14ac:dyDescent="0.3">
      <c r="A489" t="s">
        <v>594</v>
      </c>
      <c r="B489" s="5">
        <v>46090</v>
      </c>
      <c r="C489" s="5">
        <v>46091</v>
      </c>
      <c r="D489" s="5">
        <v>46092</v>
      </c>
      <c r="E489" s="5">
        <v>46092</v>
      </c>
      <c r="F489" t="s">
        <v>31</v>
      </c>
      <c r="G489" t="s">
        <v>61</v>
      </c>
      <c r="H489" t="s">
        <v>21</v>
      </c>
      <c r="I489" t="s">
        <v>44</v>
      </c>
      <c r="J489">
        <v>58.1</v>
      </c>
      <c r="K489">
        <v>404.1</v>
      </c>
      <c r="L489">
        <v>976000</v>
      </c>
      <c r="M489" t="b">
        <v>0</v>
      </c>
      <c r="N489" t="b">
        <v>0</v>
      </c>
      <c r="O489">
        <v>1500</v>
      </c>
      <c r="P489" t="b">
        <v>0</v>
      </c>
      <c r="Q489" t="b">
        <v>0</v>
      </c>
      <c r="R489" t="b">
        <v>0</v>
      </c>
      <c r="S489" t="s">
        <v>96</v>
      </c>
      <c r="T489" t="s">
        <v>1645</v>
      </c>
      <c r="U489">
        <v>26.94</v>
      </c>
      <c r="V489">
        <v>0</v>
      </c>
      <c r="W489">
        <v>0</v>
      </c>
      <c r="X489">
        <v>1</v>
      </c>
      <c r="Y489" s="6">
        <v>46082</v>
      </c>
    </row>
    <row r="490" spans="1:26" x14ac:dyDescent="0.3">
      <c r="A490" t="s">
        <v>595</v>
      </c>
      <c r="B490" s="5">
        <v>46077</v>
      </c>
      <c r="C490" s="5">
        <v>46078</v>
      </c>
      <c r="D490" s="5">
        <v>46081</v>
      </c>
      <c r="E490" s="5">
        <v>46081</v>
      </c>
      <c r="F490" t="s">
        <v>33</v>
      </c>
      <c r="G490" t="s">
        <v>55</v>
      </c>
      <c r="H490" t="s">
        <v>22</v>
      </c>
      <c r="I490" t="s">
        <v>42</v>
      </c>
      <c r="J490">
        <v>574.5</v>
      </c>
      <c r="K490">
        <v>4531.6000000000004</v>
      </c>
      <c r="L490">
        <v>14573000</v>
      </c>
      <c r="M490" t="b">
        <v>0</v>
      </c>
      <c r="N490" t="b">
        <v>0</v>
      </c>
      <c r="O490">
        <v>16000</v>
      </c>
      <c r="P490" t="b">
        <v>0</v>
      </c>
      <c r="Q490" t="b">
        <v>0</v>
      </c>
      <c r="R490" t="b">
        <v>0</v>
      </c>
      <c r="S490" t="s">
        <v>96</v>
      </c>
      <c r="T490" t="s">
        <v>1626</v>
      </c>
      <c r="U490">
        <v>28.322500000000002</v>
      </c>
      <c r="V490">
        <v>0</v>
      </c>
      <c r="W490">
        <v>0</v>
      </c>
      <c r="X490">
        <v>3</v>
      </c>
      <c r="Y490" s="6">
        <v>46054</v>
      </c>
    </row>
    <row r="491" spans="1:26" x14ac:dyDescent="0.3">
      <c r="A491" t="s">
        <v>596</v>
      </c>
      <c r="B491" s="5">
        <v>46116</v>
      </c>
      <c r="C491" s="5">
        <v>46116</v>
      </c>
      <c r="D491" s="5">
        <v>46120</v>
      </c>
      <c r="E491" s="5">
        <v>46120</v>
      </c>
      <c r="F491" t="s">
        <v>34</v>
      </c>
      <c r="G491" t="s">
        <v>62</v>
      </c>
      <c r="H491" t="s">
        <v>20</v>
      </c>
      <c r="I491" t="s">
        <v>43</v>
      </c>
      <c r="J491">
        <v>715.6</v>
      </c>
      <c r="K491">
        <v>1051.0999999999999</v>
      </c>
      <c r="L491">
        <v>10420000</v>
      </c>
      <c r="M491" t="b">
        <v>0</v>
      </c>
      <c r="N491" t="b">
        <v>0</v>
      </c>
      <c r="O491">
        <v>5000</v>
      </c>
      <c r="P491" t="b">
        <v>0</v>
      </c>
      <c r="Q491" t="b">
        <v>0</v>
      </c>
      <c r="R491" t="b">
        <v>0</v>
      </c>
      <c r="S491" t="s">
        <v>96</v>
      </c>
      <c r="T491" t="s">
        <v>1649</v>
      </c>
      <c r="U491">
        <v>21.021999999999998</v>
      </c>
      <c r="V491">
        <v>0</v>
      </c>
      <c r="W491">
        <v>0</v>
      </c>
      <c r="X491">
        <v>4</v>
      </c>
      <c r="Y491" s="6">
        <v>46113</v>
      </c>
    </row>
    <row r="492" spans="1:26" x14ac:dyDescent="0.3">
      <c r="A492" t="s">
        <v>597</v>
      </c>
      <c r="B492" s="5">
        <v>46201</v>
      </c>
      <c r="C492" s="5">
        <v>46201</v>
      </c>
      <c r="D492" s="5">
        <v>46204</v>
      </c>
      <c r="E492" s="5">
        <v>46204</v>
      </c>
      <c r="F492" t="s">
        <v>34</v>
      </c>
      <c r="G492" t="s">
        <v>59</v>
      </c>
      <c r="H492" t="s">
        <v>20</v>
      </c>
      <c r="I492" t="s">
        <v>43</v>
      </c>
      <c r="J492">
        <v>305.39999999999998</v>
      </c>
      <c r="K492">
        <v>1698</v>
      </c>
      <c r="L492">
        <v>5122000</v>
      </c>
      <c r="M492" t="b">
        <v>0</v>
      </c>
      <c r="N492" t="b">
        <v>0</v>
      </c>
      <c r="O492">
        <v>5000</v>
      </c>
      <c r="P492" t="b">
        <v>0</v>
      </c>
      <c r="Q492" t="b">
        <v>0</v>
      </c>
      <c r="R492" t="b">
        <v>0</v>
      </c>
      <c r="S492" t="s">
        <v>96</v>
      </c>
      <c r="T492" t="s">
        <v>1616</v>
      </c>
      <c r="U492">
        <v>33.96</v>
      </c>
      <c r="V492">
        <v>0</v>
      </c>
      <c r="W492">
        <v>0</v>
      </c>
      <c r="X492">
        <v>3</v>
      </c>
      <c r="Y492" s="6">
        <v>46174</v>
      </c>
    </row>
    <row r="493" spans="1:26" x14ac:dyDescent="0.3">
      <c r="A493" t="s">
        <v>598</v>
      </c>
      <c r="B493" s="5">
        <v>46160</v>
      </c>
      <c r="C493" s="5">
        <v>46161</v>
      </c>
      <c r="D493" s="5">
        <v>46162</v>
      </c>
      <c r="E493" s="5"/>
      <c r="F493" t="s">
        <v>33</v>
      </c>
      <c r="G493" t="s">
        <v>60</v>
      </c>
      <c r="H493" t="s">
        <v>21</v>
      </c>
      <c r="I493" t="s">
        <v>43</v>
      </c>
      <c r="J493">
        <v>26.5</v>
      </c>
      <c r="K493">
        <v>2168.1999999999998</v>
      </c>
      <c r="L493">
        <v>2146000</v>
      </c>
      <c r="M493" t="b">
        <v>0</v>
      </c>
      <c r="N493" t="b">
        <v>0</v>
      </c>
      <c r="O493">
        <v>5000</v>
      </c>
      <c r="P493" t="b">
        <v>0</v>
      </c>
      <c r="Q493" t="b">
        <v>0</v>
      </c>
      <c r="R493" t="b">
        <v>0</v>
      </c>
      <c r="S493" t="s">
        <v>203</v>
      </c>
      <c r="T493" t="s">
        <v>1650</v>
      </c>
      <c r="U493">
        <v>43.363999999999997</v>
      </c>
      <c r="V493">
        <v>0</v>
      </c>
      <c r="W493">
        <v>0</v>
      </c>
      <c r="Y493" s="6">
        <v>46143</v>
      </c>
    </row>
    <row r="494" spans="1:26" x14ac:dyDescent="0.3">
      <c r="A494" t="s">
        <v>599</v>
      </c>
      <c r="B494" s="5">
        <v>46186</v>
      </c>
      <c r="C494" s="5">
        <v>46187</v>
      </c>
      <c r="D494" s="5">
        <v>46189</v>
      </c>
      <c r="E494" s="5">
        <v>46189</v>
      </c>
      <c r="F494" t="s">
        <v>34</v>
      </c>
      <c r="G494" t="s">
        <v>61</v>
      </c>
      <c r="H494" t="s">
        <v>20</v>
      </c>
      <c r="I494" t="s">
        <v>43</v>
      </c>
      <c r="J494">
        <v>27.4</v>
      </c>
      <c r="K494">
        <v>1210.2</v>
      </c>
      <c r="L494">
        <v>1555000</v>
      </c>
      <c r="M494" t="b">
        <v>0</v>
      </c>
      <c r="N494" t="b">
        <v>0</v>
      </c>
      <c r="O494">
        <v>5000</v>
      </c>
      <c r="P494" t="b">
        <v>0</v>
      </c>
      <c r="Q494" t="b">
        <v>0</v>
      </c>
      <c r="R494" t="b">
        <v>0</v>
      </c>
      <c r="S494" t="s">
        <v>96</v>
      </c>
      <c r="T494" t="s">
        <v>1638</v>
      </c>
      <c r="U494">
        <v>24.204000000000001</v>
      </c>
      <c r="V494">
        <v>0</v>
      </c>
      <c r="W494">
        <v>0</v>
      </c>
      <c r="X494">
        <v>2</v>
      </c>
      <c r="Y494" s="6">
        <v>46174</v>
      </c>
    </row>
    <row r="495" spans="1:26" x14ac:dyDescent="0.3">
      <c r="A495" t="s">
        <v>600</v>
      </c>
      <c r="B495" s="5">
        <v>46131</v>
      </c>
      <c r="C495" s="5">
        <v>46132</v>
      </c>
      <c r="D495" s="5">
        <v>46133</v>
      </c>
      <c r="E495" s="5">
        <v>46134</v>
      </c>
      <c r="F495" t="s">
        <v>31</v>
      </c>
      <c r="G495" t="s">
        <v>55</v>
      </c>
      <c r="H495" t="s">
        <v>24</v>
      </c>
      <c r="I495" t="s">
        <v>42</v>
      </c>
      <c r="J495">
        <v>13.4</v>
      </c>
      <c r="K495">
        <v>5628.6</v>
      </c>
      <c r="L495">
        <v>2700000</v>
      </c>
      <c r="M495" t="b">
        <v>0</v>
      </c>
      <c r="N495" t="b">
        <v>0</v>
      </c>
      <c r="O495">
        <v>16000</v>
      </c>
      <c r="P495" t="b">
        <v>0</v>
      </c>
      <c r="Q495" t="b">
        <v>0</v>
      </c>
      <c r="R495" t="b">
        <v>0</v>
      </c>
      <c r="S495" t="s">
        <v>101</v>
      </c>
      <c r="T495" t="s">
        <v>1629</v>
      </c>
      <c r="U495">
        <v>35.178750000000001</v>
      </c>
      <c r="V495">
        <v>0</v>
      </c>
      <c r="W495">
        <v>0</v>
      </c>
      <c r="X495">
        <v>2</v>
      </c>
      <c r="Y495" s="6">
        <v>46113</v>
      </c>
      <c r="Z495">
        <v>1</v>
      </c>
    </row>
    <row r="496" spans="1:26" x14ac:dyDescent="0.3">
      <c r="A496" t="s">
        <v>601</v>
      </c>
      <c r="B496" s="5">
        <v>46038</v>
      </c>
      <c r="C496" s="5">
        <v>46039</v>
      </c>
      <c r="D496" s="5">
        <v>46042</v>
      </c>
      <c r="E496" s="5">
        <v>46042</v>
      </c>
      <c r="F496" t="s">
        <v>34</v>
      </c>
      <c r="G496" t="s">
        <v>59</v>
      </c>
      <c r="H496" t="s">
        <v>21</v>
      </c>
      <c r="I496" t="s">
        <v>44</v>
      </c>
      <c r="J496">
        <v>332.5</v>
      </c>
      <c r="K496">
        <v>909.2</v>
      </c>
      <c r="L496">
        <v>4413000</v>
      </c>
      <c r="M496" t="b">
        <v>0</v>
      </c>
      <c r="N496" t="b">
        <v>0</v>
      </c>
      <c r="O496">
        <v>1500</v>
      </c>
      <c r="P496" t="b">
        <v>0</v>
      </c>
      <c r="Q496" t="b">
        <v>0</v>
      </c>
      <c r="R496" t="b">
        <v>0</v>
      </c>
      <c r="S496" t="s">
        <v>96</v>
      </c>
      <c r="T496" t="s">
        <v>1616</v>
      </c>
      <c r="U496">
        <v>60.613333333333337</v>
      </c>
      <c r="V496">
        <v>0</v>
      </c>
      <c r="W496">
        <v>0</v>
      </c>
      <c r="X496">
        <v>3</v>
      </c>
      <c r="Y496" s="6">
        <v>46023</v>
      </c>
    </row>
    <row r="497" spans="1:26" x14ac:dyDescent="0.3">
      <c r="A497" t="s">
        <v>602</v>
      </c>
      <c r="B497" s="5">
        <v>46114</v>
      </c>
      <c r="C497" s="5">
        <v>46115</v>
      </c>
      <c r="D497" s="5">
        <v>46119</v>
      </c>
      <c r="E497" s="5"/>
      <c r="F497" t="s">
        <v>34</v>
      </c>
      <c r="G497" t="s">
        <v>56</v>
      </c>
      <c r="H497" t="s">
        <v>21</v>
      </c>
      <c r="I497" t="s">
        <v>42</v>
      </c>
      <c r="J497">
        <v>865.2</v>
      </c>
      <c r="K497">
        <v>4531.1000000000004</v>
      </c>
      <c r="L497">
        <v>17094000</v>
      </c>
      <c r="M497" t="b">
        <v>0</v>
      </c>
      <c r="N497" t="b">
        <v>0</v>
      </c>
      <c r="O497">
        <v>16000</v>
      </c>
      <c r="P497" t="b">
        <v>0</v>
      </c>
      <c r="Q497" t="b">
        <v>0</v>
      </c>
      <c r="R497" t="b">
        <v>0</v>
      </c>
      <c r="S497" t="s">
        <v>203</v>
      </c>
      <c r="T497" t="s">
        <v>1646</v>
      </c>
      <c r="U497">
        <v>28.319375000000001</v>
      </c>
      <c r="V497">
        <v>0</v>
      </c>
      <c r="W497">
        <v>0</v>
      </c>
      <c r="Y497" s="6">
        <v>46113</v>
      </c>
    </row>
    <row r="498" spans="1:26" x14ac:dyDescent="0.3">
      <c r="A498" t="s">
        <v>603</v>
      </c>
      <c r="B498" s="5">
        <v>46143</v>
      </c>
      <c r="C498" s="5">
        <v>46144</v>
      </c>
      <c r="D498" s="5">
        <v>46146</v>
      </c>
      <c r="E498" s="5">
        <v>46148</v>
      </c>
      <c r="F498" t="s">
        <v>34</v>
      </c>
      <c r="G498" t="s">
        <v>58</v>
      </c>
      <c r="H498" t="s">
        <v>24</v>
      </c>
      <c r="I498" t="s">
        <v>44</v>
      </c>
      <c r="J498">
        <v>140.6</v>
      </c>
      <c r="K498">
        <v>969.4</v>
      </c>
      <c r="L498">
        <v>2250000</v>
      </c>
      <c r="M498" t="b">
        <v>0</v>
      </c>
      <c r="N498" t="b">
        <v>0</v>
      </c>
      <c r="O498">
        <v>1500</v>
      </c>
      <c r="P498" t="b">
        <v>0</v>
      </c>
      <c r="Q498" t="b">
        <v>0</v>
      </c>
      <c r="R498" t="b">
        <v>0</v>
      </c>
      <c r="S498" t="s">
        <v>101</v>
      </c>
      <c r="T498" t="s">
        <v>1637</v>
      </c>
      <c r="U498">
        <v>64.626666666666665</v>
      </c>
      <c r="V498">
        <v>0</v>
      </c>
      <c r="W498">
        <v>0</v>
      </c>
      <c r="X498">
        <v>4</v>
      </c>
      <c r="Y498" s="6">
        <v>46143</v>
      </c>
      <c r="Z498">
        <v>2</v>
      </c>
    </row>
    <row r="499" spans="1:26" x14ac:dyDescent="0.3">
      <c r="A499" t="s">
        <v>604</v>
      </c>
      <c r="B499" s="5">
        <v>46037</v>
      </c>
      <c r="C499" s="5">
        <v>46038</v>
      </c>
      <c r="D499" s="5">
        <v>46041</v>
      </c>
      <c r="E499" s="5">
        <v>46040</v>
      </c>
      <c r="F499" t="s">
        <v>33</v>
      </c>
      <c r="G499" t="s">
        <v>55</v>
      </c>
      <c r="H499" t="s">
        <v>22</v>
      </c>
      <c r="I499" t="s">
        <v>45</v>
      </c>
      <c r="J499">
        <v>587.6</v>
      </c>
      <c r="K499">
        <v>795.5</v>
      </c>
      <c r="L499">
        <v>6217000</v>
      </c>
      <c r="M499" t="b">
        <v>0</v>
      </c>
      <c r="N499" t="b">
        <v>0</v>
      </c>
      <c r="O499">
        <v>1000</v>
      </c>
      <c r="P499" t="b">
        <v>0</v>
      </c>
      <c r="Q499" t="b">
        <v>0</v>
      </c>
      <c r="R499" t="b">
        <v>0</v>
      </c>
      <c r="S499" t="s">
        <v>96</v>
      </c>
      <c r="T499" t="s">
        <v>1626</v>
      </c>
      <c r="U499">
        <v>79.55</v>
      </c>
      <c r="V499">
        <v>0</v>
      </c>
      <c r="W499">
        <v>0</v>
      </c>
      <c r="X499">
        <v>2</v>
      </c>
      <c r="Y499" s="6">
        <v>46023</v>
      </c>
    </row>
    <row r="500" spans="1:26" x14ac:dyDescent="0.3">
      <c r="A500" t="s">
        <v>605</v>
      </c>
      <c r="B500" s="5">
        <v>46041</v>
      </c>
      <c r="C500" s="5">
        <v>46041</v>
      </c>
      <c r="D500" s="5">
        <v>46042</v>
      </c>
      <c r="E500" s="5">
        <v>46042</v>
      </c>
      <c r="F500" t="s">
        <v>31</v>
      </c>
      <c r="G500" t="s">
        <v>55</v>
      </c>
      <c r="H500" t="s">
        <v>20</v>
      </c>
      <c r="I500" t="s">
        <v>42</v>
      </c>
      <c r="J500">
        <v>13.3</v>
      </c>
      <c r="K500">
        <v>14443</v>
      </c>
      <c r="L500">
        <v>5388000</v>
      </c>
      <c r="M500" t="b">
        <v>0</v>
      </c>
      <c r="N500" t="b">
        <v>0</v>
      </c>
      <c r="O500">
        <v>16000</v>
      </c>
      <c r="P500" t="b">
        <v>0</v>
      </c>
      <c r="Q500" t="b">
        <v>0</v>
      </c>
      <c r="R500" t="b">
        <v>0</v>
      </c>
      <c r="S500" t="s">
        <v>96</v>
      </c>
      <c r="T500" t="s">
        <v>1629</v>
      </c>
      <c r="U500">
        <v>90.268749999999997</v>
      </c>
      <c r="V500">
        <v>0</v>
      </c>
      <c r="W500">
        <v>0</v>
      </c>
      <c r="X500">
        <v>1</v>
      </c>
      <c r="Y500" s="6">
        <v>46023</v>
      </c>
    </row>
    <row r="501" spans="1:26" x14ac:dyDescent="0.3">
      <c r="A501" t="s">
        <v>606</v>
      </c>
      <c r="B501" s="5">
        <v>46110</v>
      </c>
      <c r="C501" s="5">
        <v>46111</v>
      </c>
      <c r="D501" s="5">
        <v>46115</v>
      </c>
      <c r="E501" s="5">
        <v>46116</v>
      </c>
      <c r="F501" t="s">
        <v>33</v>
      </c>
      <c r="G501" t="s">
        <v>54</v>
      </c>
      <c r="H501" t="s">
        <v>21</v>
      </c>
      <c r="I501" t="s">
        <v>45</v>
      </c>
      <c r="J501">
        <v>776.2</v>
      </c>
      <c r="K501">
        <v>856.4</v>
      </c>
      <c r="L501">
        <v>8598000</v>
      </c>
      <c r="M501" t="b">
        <v>0</v>
      </c>
      <c r="N501" t="b">
        <v>0</v>
      </c>
      <c r="O501">
        <v>1000</v>
      </c>
      <c r="P501" t="b">
        <v>0</v>
      </c>
      <c r="Q501" t="b">
        <v>0</v>
      </c>
      <c r="R501" t="b">
        <v>0</v>
      </c>
      <c r="S501" t="s">
        <v>101</v>
      </c>
      <c r="T501" t="s">
        <v>1642</v>
      </c>
      <c r="U501">
        <v>85.64</v>
      </c>
      <c r="V501">
        <v>0</v>
      </c>
      <c r="W501">
        <v>0</v>
      </c>
      <c r="X501">
        <v>5</v>
      </c>
      <c r="Y501" s="6">
        <v>46082</v>
      </c>
      <c r="Z501">
        <v>1</v>
      </c>
    </row>
    <row r="502" spans="1:26" x14ac:dyDescent="0.3">
      <c r="A502" t="s">
        <v>607</v>
      </c>
      <c r="B502" s="5">
        <v>46066</v>
      </c>
      <c r="C502" s="5">
        <v>46067</v>
      </c>
      <c r="D502" s="5">
        <v>46071</v>
      </c>
      <c r="E502" s="5">
        <v>46071</v>
      </c>
      <c r="F502" t="s">
        <v>31</v>
      </c>
      <c r="G502" t="s">
        <v>60</v>
      </c>
      <c r="H502" t="s">
        <v>22</v>
      </c>
      <c r="I502" t="s">
        <v>43</v>
      </c>
      <c r="J502">
        <v>644.9</v>
      </c>
      <c r="K502">
        <v>3643.7</v>
      </c>
      <c r="L502">
        <v>11398000</v>
      </c>
      <c r="M502" t="b">
        <v>0</v>
      </c>
      <c r="N502" t="b">
        <v>0</v>
      </c>
      <c r="O502">
        <v>5000</v>
      </c>
      <c r="P502" t="b">
        <v>0</v>
      </c>
      <c r="Q502" t="b">
        <v>0</v>
      </c>
      <c r="R502" t="b">
        <v>0</v>
      </c>
      <c r="S502" t="s">
        <v>96</v>
      </c>
      <c r="T502" t="s">
        <v>1652</v>
      </c>
      <c r="U502">
        <v>72.873999999999995</v>
      </c>
      <c r="V502">
        <v>0</v>
      </c>
      <c r="W502">
        <v>0</v>
      </c>
      <c r="X502">
        <v>4</v>
      </c>
      <c r="Y502" s="6">
        <v>46054</v>
      </c>
    </row>
    <row r="503" spans="1:26" x14ac:dyDescent="0.3">
      <c r="A503" t="s">
        <v>608</v>
      </c>
      <c r="B503" s="5">
        <v>46096</v>
      </c>
      <c r="C503" s="5">
        <v>46097</v>
      </c>
      <c r="D503" s="5">
        <v>46100</v>
      </c>
      <c r="E503" s="5">
        <v>46100</v>
      </c>
      <c r="F503" t="s">
        <v>32</v>
      </c>
      <c r="G503" t="s">
        <v>52</v>
      </c>
      <c r="H503" t="s">
        <v>22</v>
      </c>
      <c r="I503" t="s">
        <v>43</v>
      </c>
      <c r="J503">
        <v>338.7</v>
      </c>
      <c r="K503">
        <v>2843.2</v>
      </c>
      <c r="L503">
        <v>5792000</v>
      </c>
      <c r="M503" t="b">
        <v>0</v>
      </c>
      <c r="N503" t="b">
        <v>0</v>
      </c>
      <c r="O503">
        <v>5000</v>
      </c>
      <c r="P503" t="b">
        <v>0</v>
      </c>
      <c r="Q503" t="b">
        <v>0</v>
      </c>
      <c r="R503" t="b">
        <v>0</v>
      </c>
      <c r="S503" t="s">
        <v>96</v>
      </c>
      <c r="T503" t="s">
        <v>1611</v>
      </c>
      <c r="U503">
        <v>56.86399999999999</v>
      </c>
      <c r="V503">
        <v>0</v>
      </c>
      <c r="W503">
        <v>0</v>
      </c>
      <c r="X503">
        <v>3</v>
      </c>
      <c r="Y503" s="6">
        <v>46082</v>
      </c>
    </row>
    <row r="504" spans="1:26" x14ac:dyDescent="0.3">
      <c r="A504" t="s">
        <v>609</v>
      </c>
      <c r="B504" s="5">
        <v>46036</v>
      </c>
      <c r="C504" s="5">
        <v>46037</v>
      </c>
      <c r="D504" s="5">
        <v>46038</v>
      </c>
      <c r="E504" s="5">
        <v>46039</v>
      </c>
      <c r="F504" t="s">
        <v>32</v>
      </c>
      <c r="G504" t="s">
        <v>57</v>
      </c>
      <c r="H504" t="s">
        <v>22</v>
      </c>
      <c r="I504" t="s">
        <v>45</v>
      </c>
      <c r="J504">
        <v>20.9</v>
      </c>
      <c r="K504">
        <v>746.5</v>
      </c>
      <c r="L504">
        <v>928000</v>
      </c>
      <c r="M504" t="b">
        <v>0</v>
      </c>
      <c r="N504" t="b">
        <v>0</v>
      </c>
      <c r="O504">
        <v>1000</v>
      </c>
      <c r="P504" t="b">
        <v>0</v>
      </c>
      <c r="Q504" t="b">
        <v>0</v>
      </c>
      <c r="R504" t="b">
        <v>0</v>
      </c>
      <c r="S504" t="s">
        <v>101</v>
      </c>
      <c r="T504" t="s">
        <v>1630</v>
      </c>
      <c r="U504">
        <v>74.650000000000006</v>
      </c>
      <c r="V504">
        <v>0</v>
      </c>
      <c r="W504">
        <v>0</v>
      </c>
      <c r="X504">
        <v>2</v>
      </c>
      <c r="Y504" s="6">
        <v>46023</v>
      </c>
      <c r="Z504">
        <v>1</v>
      </c>
    </row>
    <row r="505" spans="1:26" x14ac:dyDescent="0.3">
      <c r="A505" t="s">
        <v>610</v>
      </c>
      <c r="B505" s="5">
        <v>46045</v>
      </c>
      <c r="C505" s="5">
        <v>46047</v>
      </c>
      <c r="D505" s="5">
        <v>46049</v>
      </c>
      <c r="E505" s="5">
        <v>46049</v>
      </c>
      <c r="F505" t="s">
        <v>32</v>
      </c>
      <c r="G505" t="s">
        <v>53</v>
      </c>
      <c r="H505" t="s">
        <v>20</v>
      </c>
      <c r="I505" t="s">
        <v>43</v>
      </c>
      <c r="J505">
        <v>256</v>
      </c>
      <c r="K505">
        <v>535.5</v>
      </c>
      <c r="L505">
        <v>4170000</v>
      </c>
      <c r="M505" t="b">
        <v>0</v>
      </c>
      <c r="N505" t="b">
        <v>0</v>
      </c>
      <c r="O505">
        <v>5000</v>
      </c>
      <c r="P505" t="b">
        <v>0</v>
      </c>
      <c r="Q505" t="b">
        <v>0</v>
      </c>
      <c r="R505" t="b">
        <v>0</v>
      </c>
      <c r="S505" t="s">
        <v>96</v>
      </c>
      <c r="T505" t="s">
        <v>1612</v>
      </c>
      <c r="U505">
        <v>10.71</v>
      </c>
      <c r="V505">
        <v>0</v>
      </c>
      <c r="W505">
        <v>0</v>
      </c>
      <c r="X505">
        <v>2</v>
      </c>
      <c r="Y505" s="6">
        <v>46023</v>
      </c>
    </row>
    <row r="506" spans="1:26" x14ac:dyDescent="0.3">
      <c r="A506" t="s">
        <v>611</v>
      </c>
      <c r="B506" s="5">
        <v>46114</v>
      </c>
      <c r="C506" s="5">
        <v>46116</v>
      </c>
      <c r="D506" s="5">
        <v>46119</v>
      </c>
      <c r="E506" s="5">
        <v>46119</v>
      </c>
      <c r="F506" t="s">
        <v>31</v>
      </c>
      <c r="G506" t="s">
        <v>59</v>
      </c>
      <c r="H506" t="s">
        <v>21</v>
      </c>
      <c r="I506" t="s">
        <v>42</v>
      </c>
      <c r="J506">
        <v>317.2</v>
      </c>
      <c r="K506">
        <v>13161.1</v>
      </c>
      <c r="L506">
        <v>8577000</v>
      </c>
      <c r="M506" t="b">
        <v>0</v>
      </c>
      <c r="N506" t="b">
        <v>0</v>
      </c>
      <c r="O506">
        <v>16000</v>
      </c>
      <c r="P506" t="b">
        <v>0</v>
      </c>
      <c r="Q506" t="b">
        <v>0</v>
      </c>
      <c r="R506" t="b">
        <v>0</v>
      </c>
      <c r="S506" t="s">
        <v>96</v>
      </c>
      <c r="T506" t="s">
        <v>1628</v>
      </c>
      <c r="U506">
        <v>82.256875000000008</v>
      </c>
      <c r="V506">
        <v>0</v>
      </c>
      <c r="W506">
        <v>0</v>
      </c>
      <c r="X506">
        <v>3</v>
      </c>
      <c r="Y506" s="6">
        <v>46113</v>
      </c>
    </row>
    <row r="507" spans="1:26" x14ac:dyDescent="0.3">
      <c r="A507" t="s">
        <v>612</v>
      </c>
      <c r="B507" s="5">
        <v>46054</v>
      </c>
      <c r="C507" s="5">
        <v>46055</v>
      </c>
      <c r="D507" s="5">
        <v>46057</v>
      </c>
      <c r="E507" s="5">
        <v>46057</v>
      </c>
      <c r="F507" t="s">
        <v>34</v>
      </c>
      <c r="G507" t="s">
        <v>58</v>
      </c>
      <c r="H507" t="s">
        <v>20</v>
      </c>
      <c r="I507" t="s">
        <v>43</v>
      </c>
      <c r="J507">
        <v>155</v>
      </c>
      <c r="K507">
        <v>2067.8000000000002</v>
      </c>
      <c r="L507">
        <v>4056000</v>
      </c>
      <c r="M507" t="b">
        <v>0</v>
      </c>
      <c r="N507" t="b">
        <v>0</v>
      </c>
      <c r="O507">
        <v>5000</v>
      </c>
      <c r="P507" t="b">
        <v>0</v>
      </c>
      <c r="Q507" t="b">
        <v>0</v>
      </c>
      <c r="R507" t="b">
        <v>0</v>
      </c>
      <c r="S507" t="s">
        <v>96</v>
      </c>
      <c r="T507" t="s">
        <v>1637</v>
      </c>
      <c r="U507">
        <v>41.356000000000002</v>
      </c>
      <c r="V507">
        <v>0</v>
      </c>
      <c r="W507">
        <v>0</v>
      </c>
      <c r="X507">
        <v>2</v>
      </c>
      <c r="Y507" s="6">
        <v>46054</v>
      </c>
    </row>
    <row r="508" spans="1:26" x14ac:dyDescent="0.3">
      <c r="A508" t="s">
        <v>613</v>
      </c>
      <c r="B508" s="5">
        <v>46197</v>
      </c>
      <c r="C508" s="5">
        <v>46198</v>
      </c>
      <c r="D508" s="5">
        <v>46200</v>
      </c>
      <c r="E508" s="5">
        <v>46200</v>
      </c>
      <c r="F508" t="s">
        <v>34</v>
      </c>
      <c r="G508" t="s">
        <v>58</v>
      </c>
      <c r="H508" t="s">
        <v>24</v>
      </c>
      <c r="I508" t="s">
        <v>43</v>
      </c>
      <c r="J508">
        <v>153.6</v>
      </c>
      <c r="K508">
        <v>2599</v>
      </c>
      <c r="L508">
        <v>3352000</v>
      </c>
      <c r="M508" t="b">
        <v>0</v>
      </c>
      <c r="N508" t="b">
        <v>0</v>
      </c>
      <c r="O508">
        <v>5000</v>
      </c>
      <c r="P508" t="b">
        <v>0</v>
      </c>
      <c r="Q508" t="b">
        <v>0</v>
      </c>
      <c r="R508" t="b">
        <v>0</v>
      </c>
      <c r="S508" t="s">
        <v>96</v>
      </c>
      <c r="T508" t="s">
        <v>1637</v>
      </c>
      <c r="U508">
        <v>51.98</v>
      </c>
      <c r="V508">
        <v>0</v>
      </c>
      <c r="W508">
        <v>0</v>
      </c>
      <c r="X508">
        <v>2</v>
      </c>
      <c r="Y508" s="6">
        <v>46174</v>
      </c>
    </row>
    <row r="509" spans="1:26" x14ac:dyDescent="0.3">
      <c r="A509" t="s">
        <v>614</v>
      </c>
      <c r="B509" s="5">
        <v>46026</v>
      </c>
      <c r="C509" s="5">
        <v>46028</v>
      </c>
      <c r="D509" s="5">
        <v>46030</v>
      </c>
      <c r="E509" s="5">
        <v>46030</v>
      </c>
      <c r="F509" t="s">
        <v>31</v>
      </c>
      <c r="G509" t="s">
        <v>58</v>
      </c>
      <c r="H509" t="s">
        <v>21</v>
      </c>
      <c r="I509" t="s">
        <v>43</v>
      </c>
      <c r="J509">
        <v>172.1</v>
      </c>
      <c r="K509">
        <v>2620.6</v>
      </c>
      <c r="L509">
        <v>3780000</v>
      </c>
      <c r="M509" t="b">
        <v>0</v>
      </c>
      <c r="N509" t="b">
        <v>0</v>
      </c>
      <c r="O509">
        <v>5000</v>
      </c>
      <c r="P509" t="b">
        <v>0</v>
      </c>
      <c r="Q509" t="b">
        <v>0</v>
      </c>
      <c r="R509" t="b">
        <v>0</v>
      </c>
      <c r="S509" t="s">
        <v>96</v>
      </c>
      <c r="T509" t="s">
        <v>1621</v>
      </c>
      <c r="U509">
        <v>52.412000000000013</v>
      </c>
      <c r="V509">
        <v>0</v>
      </c>
      <c r="W509">
        <v>0</v>
      </c>
      <c r="X509">
        <v>2</v>
      </c>
      <c r="Y509" s="6">
        <v>46023</v>
      </c>
    </row>
    <row r="510" spans="1:26" x14ac:dyDescent="0.3">
      <c r="A510" t="s">
        <v>615</v>
      </c>
      <c r="B510" s="5">
        <v>46196</v>
      </c>
      <c r="C510" s="5">
        <v>46197</v>
      </c>
      <c r="D510" s="5">
        <v>46200</v>
      </c>
      <c r="E510" s="5">
        <v>46202</v>
      </c>
      <c r="F510" t="s">
        <v>32</v>
      </c>
      <c r="G510" t="s">
        <v>60</v>
      </c>
      <c r="H510" t="s">
        <v>24</v>
      </c>
      <c r="I510" t="s">
        <v>43</v>
      </c>
      <c r="J510">
        <v>475.7</v>
      </c>
      <c r="K510">
        <v>3022.5</v>
      </c>
      <c r="L510">
        <v>7803000</v>
      </c>
      <c r="M510" t="b">
        <v>0</v>
      </c>
      <c r="N510" t="b">
        <v>0</v>
      </c>
      <c r="O510">
        <v>5000</v>
      </c>
      <c r="P510" t="b">
        <v>0</v>
      </c>
      <c r="Q510" t="b">
        <v>0</v>
      </c>
      <c r="R510" t="b">
        <v>0</v>
      </c>
      <c r="S510" t="s">
        <v>101</v>
      </c>
      <c r="T510" t="s">
        <v>1647</v>
      </c>
      <c r="U510">
        <v>60.45</v>
      </c>
      <c r="V510">
        <v>0</v>
      </c>
      <c r="W510">
        <v>0</v>
      </c>
      <c r="X510">
        <v>5</v>
      </c>
      <c r="Y510" s="6">
        <v>46174</v>
      </c>
      <c r="Z510">
        <v>2</v>
      </c>
    </row>
    <row r="511" spans="1:26" x14ac:dyDescent="0.3">
      <c r="A511" t="s">
        <v>616</v>
      </c>
      <c r="B511" s="5">
        <v>46031</v>
      </c>
      <c r="C511" s="5">
        <v>46032</v>
      </c>
      <c r="D511" s="5">
        <v>46037</v>
      </c>
      <c r="E511" s="5">
        <v>46037</v>
      </c>
      <c r="F511" t="s">
        <v>33</v>
      </c>
      <c r="G511" t="s">
        <v>61</v>
      </c>
      <c r="H511" t="s">
        <v>24</v>
      </c>
      <c r="I511" t="s">
        <v>44</v>
      </c>
      <c r="J511">
        <v>612.20000000000005</v>
      </c>
      <c r="K511">
        <v>1206</v>
      </c>
      <c r="L511">
        <v>7164000</v>
      </c>
      <c r="M511" t="b">
        <v>0</v>
      </c>
      <c r="N511" t="b">
        <v>0</v>
      </c>
      <c r="O511">
        <v>1500</v>
      </c>
      <c r="P511" t="b">
        <v>0</v>
      </c>
      <c r="Q511" t="b">
        <v>0</v>
      </c>
      <c r="R511" t="b">
        <v>0</v>
      </c>
      <c r="S511" t="s">
        <v>96</v>
      </c>
      <c r="T511" t="s">
        <v>1643</v>
      </c>
      <c r="U511">
        <v>80.400000000000006</v>
      </c>
      <c r="V511">
        <v>0</v>
      </c>
      <c r="W511">
        <v>0</v>
      </c>
      <c r="X511">
        <v>5</v>
      </c>
      <c r="Y511" s="6">
        <v>46023</v>
      </c>
    </row>
    <row r="512" spans="1:26" x14ac:dyDescent="0.3">
      <c r="A512" t="s">
        <v>617</v>
      </c>
      <c r="B512" s="5">
        <v>46067</v>
      </c>
      <c r="C512" s="5">
        <v>46068</v>
      </c>
      <c r="D512" s="5">
        <v>46070</v>
      </c>
      <c r="E512" s="5">
        <v>46070</v>
      </c>
      <c r="F512" t="s">
        <v>34</v>
      </c>
      <c r="G512" t="s">
        <v>57</v>
      </c>
      <c r="H512" t="s">
        <v>21</v>
      </c>
      <c r="I512" t="s">
        <v>43</v>
      </c>
      <c r="J512">
        <v>160.9</v>
      </c>
      <c r="K512">
        <v>2791.9</v>
      </c>
      <c r="L512">
        <v>3919000</v>
      </c>
      <c r="M512" t="b">
        <v>0</v>
      </c>
      <c r="N512" t="b">
        <v>0</v>
      </c>
      <c r="O512">
        <v>5000</v>
      </c>
      <c r="P512" t="b">
        <v>0</v>
      </c>
      <c r="Q512" t="b">
        <v>0</v>
      </c>
      <c r="R512" t="b">
        <v>0</v>
      </c>
      <c r="S512" t="s">
        <v>96</v>
      </c>
      <c r="T512" t="s">
        <v>1620</v>
      </c>
      <c r="U512">
        <v>55.838000000000001</v>
      </c>
      <c r="V512">
        <v>0</v>
      </c>
      <c r="W512">
        <v>0</v>
      </c>
      <c r="X512">
        <v>2</v>
      </c>
      <c r="Y512" s="6">
        <v>46054</v>
      </c>
    </row>
    <row r="513" spans="1:26" x14ac:dyDescent="0.3">
      <c r="A513" t="s">
        <v>618</v>
      </c>
      <c r="B513" s="5">
        <v>46153</v>
      </c>
      <c r="C513" s="5">
        <v>46155</v>
      </c>
      <c r="D513" s="5">
        <v>46159</v>
      </c>
      <c r="E513" s="5">
        <v>46160</v>
      </c>
      <c r="F513" t="s">
        <v>33</v>
      </c>
      <c r="G513" t="s">
        <v>61</v>
      </c>
      <c r="H513" t="s">
        <v>23</v>
      </c>
      <c r="I513" t="s">
        <v>42</v>
      </c>
      <c r="J513">
        <v>624</v>
      </c>
      <c r="K513">
        <v>7168</v>
      </c>
      <c r="L513">
        <v>12156000</v>
      </c>
      <c r="M513" t="b">
        <v>0</v>
      </c>
      <c r="N513" t="b">
        <v>0</v>
      </c>
      <c r="O513">
        <v>16000</v>
      </c>
      <c r="P513" t="b">
        <v>0</v>
      </c>
      <c r="Q513" t="b">
        <v>0</v>
      </c>
      <c r="R513" t="b">
        <v>0</v>
      </c>
      <c r="S513" t="s">
        <v>101</v>
      </c>
      <c r="T513" t="s">
        <v>1643</v>
      </c>
      <c r="U513">
        <v>44.8</v>
      </c>
      <c r="V513">
        <v>0</v>
      </c>
      <c r="W513">
        <v>0</v>
      </c>
      <c r="X513">
        <v>5</v>
      </c>
      <c r="Y513" s="6">
        <v>46143</v>
      </c>
      <c r="Z513">
        <v>1</v>
      </c>
    </row>
    <row r="514" spans="1:26" x14ac:dyDescent="0.3">
      <c r="A514" t="s">
        <v>619</v>
      </c>
      <c r="B514" s="5">
        <v>46195</v>
      </c>
      <c r="C514" s="5">
        <v>46196</v>
      </c>
      <c r="D514" s="5">
        <v>46198</v>
      </c>
      <c r="E514" s="5">
        <v>46200</v>
      </c>
      <c r="F514" t="s">
        <v>34</v>
      </c>
      <c r="G514" t="s">
        <v>52</v>
      </c>
      <c r="H514" t="s">
        <v>24</v>
      </c>
      <c r="I514" t="s">
        <v>43</v>
      </c>
      <c r="J514">
        <v>299.2</v>
      </c>
      <c r="K514">
        <v>2069.1999999999998</v>
      </c>
      <c r="L514">
        <v>5347000</v>
      </c>
      <c r="M514" t="b">
        <v>0</v>
      </c>
      <c r="N514" t="b">
        <v>0</v>
      </c>
      <c r="O514">
        <v>5000</v>
      </c>
      <c r="P514" t="b">
        <v>0</v>
      </c>
      <c r="Q514" t="b">
        <v>0</v>
      </c>
      <c r="R514" t="b">
        <v>0</v>
      </c>
      <c r="S514" t="s">
        <v>101</v>
      </c>
      <c r="T514" t="s">
        <v>1623</v>
      </c>
      <c r="U514">
        <v>41.384</v>
      </c>
      <c r="V514">
        <v>0</v>
      </c>
      <c r="W514">
        <v>0</v>
      </c>
      <c r="X514">
        <v>4</v>
      </c>
      <c r="Y514" s="6">
        <v>46174</v>
      </c>
      <c r="Z514">
        <v>2</v>
      </c>
    </row>
    <row r="515" spans="1:26" x14ac:dyDescent="0.3">
      <c r="A515" t="s">
        <v>620</v>
      </c>
      <c r="B515" s="5">
        <v>46186</v>
      </c>
      <c r="C515" s="5">
        <v>46187</v>
      </c>
      <c r="D515" s="5">
        <v>46190</v>
      </c>
      <c r="E515" s="5">
        <v>46191</v>
      </c>
      <c r="F515" t="s">
        <v>32</v>
      </c>
      <c r="G515" t="s">
        <v>52</v>
      </c>
      <c r="H515" t="s">
        <v>23</v>
      </c>
      <c r="I515" t="s">
        <v>43</v>
      </c>
      <c r="J515">
        <v>352.6</v>
      </c>
      <c r="K515">
        <v>3543.7</v>
      </c>
      <c r="L515">
        <v>5940000</v>
      </c>
      <c r="M515" t="b">
        <v>0</v>
      </c>
      <c r="N515" t="b">
        <v>0</v>
      </c>
      <c r="O515">
        <v>5000</v>
      </c>
      <c r="P515" t="b">
        <v>0</v>
      </c>
      <c r="Q515" t="b">
        <v>0</v>
      </c>
      <c r="R515" t="b">
        <v>0</v>
      </c>
      <c r="S515" t="s">
        <v>101</v>
      </c>
      <c r="T515" t="s">
        <v>1611</v>
      </c>
      <c r="U515">
        <v>70.873999999999995</v>
      </c>
      <c r="V515">
        <v>0</v>
      </c>
      <c r="W515">
        <v>0</v>
      </c>
      <c r="X515">
        <v>4</v>
      </c>
      <c r="Y515" s="6">
        <v>46174</v>
      </c>
      <c r="Z515">
        <v>1</v>
      </c>
    </row>
    <row r="516" spans="1:26" x14ac:dyDescent="0.3">
      <c r="A516" t="s">
        <v>621</v>
      </c>
      <c r="B516" s="5">
        <v>46158</v>
      </c>
      <c r="C516" s="5">
        <v>46159</v>
      </c>
      <c r="D516" s="5">
        <v>46161</v>
      </c>
      <c r="E516" s="5">
        <v>46161</v>
      </c>
      <c r="F516" t="s">
        <v>31</v>
      </c>
      <c r="G516" t="s">
        <v>52</v>
      </c>
      <c r="H516" t="s">
        <v>24</v>
      </c>
      <c r="I516" t="s">
        <v>43</v>
      </c>
      <c r="J516">
        <v>287.89999999999998</v>
      </c>
      <c r="K516">
        <v>3651</v>
      </c>
      <c r="L516">
        <v>5499000</v>
      </c>
      <c r="M516" t="b">
        <v>0</v>
      </c>
      <c r="N516" t="b">
        <v>0</v>
      </c>
      <c r="O516">
        <v>5000</v>
      </c>
      <c r="P516" t="b">
        <v>0</v>
      </c>
      <c r="Q516" t="b">
        <v>0</v>
      </c>
      <c r="R516" t="b">
        <v>0</v>
      </c>
      <c r="S516" t="s">
        <v>96</v>
      </c>
      <c r="T516" t="s">
        <v>1618</v>
      </c>
      <c r="U516">
        <v>73.02</v>
      </c>
      <c r="V516">
        <v>0</v>
      </c>
      <c r="W516">
        <v>0</v>
      </c>
      <c r="X516">
        <v>2</v>
      </c>
      <c r="Y516" s="6">
        <v>46143</v>
      </c>
    </row>
    <row r="517" spans="1:26" x14ac:dyDescent="0.3">
      <c r="A517" t="s">
        <v>622</v>
      </c>
      <c r="B517" s="5">
        <v>46135</v>
      </c>
      <c r="C517" s="5">
        <v>46135</v>
      </c>
      <c r="D517" s="5">
        <v>46137</v>
      </c>
      <c r="E517" s="5">
        <v>46138</v>
      </c>
      <c r="F517" t="s">
        <v>31</v>
      </c>
      <c r="G517" t="s">
        <v>63</v>
      </c>
      <c r="H517" t="s">
        <v>22</v>
      </c>
      <c r="I517" t="s">
        <v>45</v>
      </c>
      <c r="J517">
        <v>297.2</v>
      </c>
      <c r="K517">
        <v>638.70000000000005</v>
      </c>
      <c r="L517">
        <v>3062000</v>
      </c>
      <c r="M517" t="b">
        <v>0</v>
      </c>
      <c r="N517" t="b">
        <v>0</v>
      </c>
      <c r="O517">
        <v>1000</v>
      </c>
      <c r="P517" t="b">
        <v>0</v>
      </c>
      <c r="Q517" t="b">
        <v>0</v>
      </c>
      <c r="R517" t="b">
        <v>0</v>
      </c>
      <c r="S517" t="s">
        <v>101</v>
      </c>
      <c r="T517" t="s">
        <v>1640</v>
      </c>
      <c r="U517">
        <v>63.87</v>
      </c>
      <c r="V517">
        <v>0</v>
      </c>
      <c r="W517">
        <v>0</v>
      </c>
      <c r="X517">
        <v>3</v>
      </c>
      <c r="Y517" s="6">
        <v>46113</v>
      </c>
      <c r="Z517">
        <v>1</v>
      </c>
    </row>
    <row r="518" spans="1:26" x14ac:dyDescent="0.3">
      <c r="A518" t="s">
        <v>623</v>
      </c>
      <c r="B518" s="5">
        <v>46066</v>
      </c>
      <c r="C518" s="5">
        <v>46067</v>
      </c>
      <c r="D518" s="5">
        <v>46070</v>
      </c>
      <c r="E518" s="5">
        <v>46070</v>
      </c>
      <c r="F518" t="s">
        <v>33</v>
      </c>
      <c r="G518" t="s">
        <v>53</v>
      </c>
      <c r="H518" t="s">
        <v>20</v>
      </c>
      <c r="I518" t="s">
        <v>42</v>
      </c>
      <c r="J518">
        <v>560.79999999999995</v>
      </c>
      <c r="K518">
        <v>6751.6</v>
      </c>
      <c r="L518">
        <v>12373000</v>
      </c>
      <c r="M518" t="b">
        <v>0</v>
      </c>
      <c r="N518" t="b">
        <v>0</v>
      </c>
      <c r="O518">
        <v>16000</v>
      </c>
      <c r="P518" t="b">
        <v>0</v>
      </c>
      <c r="Q518" t="b">
        <v>0</v>
      </c>
      <c r="R518" t="b">
        <v>0</v>
      </c>
      <c r="S518" t="s">
        <v>96</v>
      </c>
      <c r="T518" t="s">
        <v>1632</v>
      </c>
      <c r="U518">
        <v>42.197500000000012</v>
      </c>
      <c r="V518">
        <v>0</v>
      </c>
      <c r="W518">
        <v>0</v>
      </c>
      <c r="X518">
        <v>3</v>
      </c>
      <c r="Y518" s="6">
        <v>46054</v>
      </c>
    </row>
    <row r="519" spans="1:26" x14ac:dyDescent="0.3">
      <c r="A519" t="s">
        <v>624</v>
      </c>
      <c r="B519" s="5">
        <v>46077</v>
      </c>
      <c r="C519" s="5">
        <v>46079</v>
      </c>
      <c r="D519" s="5">
        <v>46082</v>
      </c>
      <c r="E519" s="5">
        <v>46084</v>
      </c>
      <c r="F519" t="s">
        <v>34</v>
      </c>
      <c r="G519" t="s">
        <v>63</v>
      </c>
      <c r="H519" t="s">
        <v>22</v>
      </c>
      <c r="I519" t="s">
        <v>43</v>
      </c>
      <c r="J519">
        <v>350</v>
      </c>
      <c r="K519">
        <v>3316.1</v>
      </c>
      <c r="L519">
        <v>6304000</v>
      </c>
      <c r="M519" t="b">
        <v>0</v>
      </c>
      <c r="N519" t="b">
        <v>0</v>
      </c>
      <c r="O519">
        <v>5000</v>
      </c>
      <c r="P519" t="b">
        <v>0</v>
      </c>
      <c r="Q519" t="b">
        <v>0</v>
      </c>
      <c r="R519" t="b">
        <v>0</v>
      </c>
      <c r="S519" t="s">
        <v>101</v>
      </c>
      <c r="T519" t="s">
        <v>1613</v>
      </c>
      <c r="U519">
        <v>66.322000000000003</v>
      </c>
      <c r="V519">
        <v>0</v>
      </c>
      <c r="W519">
        <v>0</v>
      </c>
      <c r="X519">
        <v>5</v>
      </c>
      <c r="Y519" s="6">
        <v>46054</v>
      </c>
      <c r="Z519">
        <v>2</v>
      </c>
    </row>
    <row r="520" spans="1:26" x14ac:dyDescent="0.3">
      <c r="A520" t="s">
        <v>625</v>
      </c>
      <c r="B520" s="5">
        <v>46131</v>
      </c>
      <c r="C520" s="5">
        <v>46133</v>
      </c>
      <c r="D520" s="5">
        <v>46137</v>
      </c>
      <c r="E520" s="5">
        <v>46137</v>
      </c>
      <c r="F520" t="s">
        <v>34</v>
      </c>
      <c r="G520" t="s">
        <v>63</v>
      </c>
      <c r="H520" t="s">
        <v>22</v>
      </c>
      <c r="I520" t="s">
        <v>43</v>
      </c>
      <c r="J520">
        <v>338.7</v>
      </c>
      <c r="K520">
        <v>3800.6</v>
      </c>
      <c r="L520">
        <v>6558000</v>
      </c>
      <c r="M520" t="b">
        <v>0</v>
      </c>
      <c r="N520" t="b">
        <v>0</v>
      </c>
      <c r="O520">
        <v>5000</v>
      </c>
      <c r="P520" t="b">
        <v>0</v>
      </c>
      <c r="Q520" t="b">
        <v>0</v>
      </c>
      <c r="R520" t="b">
        <v>0</v>
      </c>
      <c r="S520" t="s">
        <v>96</v>
      </c>
      <c r="T520" t="s">
        <v>1613</v>
      </c>
      <c r="U520">
        <v>76.012</v>
      </c>
      <c r="V520">
        <v>0</v>
      </c>
      <c r="W520">
        <v>0</v>
      </c>
      <c r="X520">
        <v>4</v>
      </c>
      <c r="Y520" s="6">
        <v>46113</v>
      </c>
    </row>
    <row r="521" spans="1:26" x14ac:dyDescent="0.3">
      <c r="A521" t="s">
        <v>626</v>
      </c>
      <c r="B521" s="5">
        <v>46191</v>
      </c>
      <c r="C521" s="5">
        <v>46192</v>
      </c>
      <c r="D521" s="5">
        <v>46194</v>
      </c>
      <c r="E521" s="5">
        <v>46194</v>
      </c>
      <c r="F521" t="s">
        <v>34</v>
      </c>
      <c r="G521" t="s">
        <v>52</v>
      </c>
      <c r="H521" t="s">
        <v>21</v>
      </c>
      <c r="I521" t="s">
        <v>44</v>
      </c>
      <c r="J521">
        <v>271.5</v>
      </c>
      <c r="K521">
        <v>514.70000000000005</v>
      </c>
      <c r="L521">
        <v>3172000</v>
      </c>
      <c r="M521" t="b">
        <v>0</v>
      </c>
      <c r="N521" t="b">
        <v>0</v>
      </c>
      <c r="O521">
        <v>1500</v>
      </c>
      <c r="P521" t="b">
        <v>0</v>
      </c>
      <c r="Q521" t="b">
        <v>0</v>
      </c>
      <c r="R521" t="b">
        <v>0</v>
      </c>
      <c r="S521" t="s">
        <v>96</v>
      </c>
      <c r="T521" t="s">
        <v>1623</v>
      </c>
      <c r="U521">
        <v>34.313333333333333</v>
      </c>
      <c r="V521">
        <v>0</v>
      </c>
      <c r="W521">
        <v>0</v>
      </c>
      <c r="X521">
        <v>2</v>
      </c>
      <c r="Y521" s="6">
        <v>46174</v>
      </c>
    </row>
    <row r="522" spans="1:26" x14ac:dyDescent="0.3">
      <c r="A522" t="s">
        <v>627</v>
      </c>
      <c r="B522" s="5">
        <v>46056</v>
      </c>
      <c r="C522" s="5">
        <v>46056</v>
      </c>
      <c r="D522" s="5">
        <v>46060</v>
      </c>
      <c r="E522" s="5">
        <v>46060</v>
      </c>
      <c r="F522" t="s">
        <v>34</v>
      </c>
      <c r="G522" t="s">
        <v>62</v>
      </c>
      <c r="H522" t="s">
        <v>23</v>
      </c>
      <c r="I522" t="s">
        <v>44</v>
      </c>
      <c r="J522">
        <v>712.1</v>
      </c>
      <c r="K522">
        <v>1398.8</v>
      </c>
      <c r="L522">
        <v>6708000</v>
      </c>
      <c r="M522" t="b">
        <v>0</v>
      </c>
      <c r="N522" t="b">
        <v>0</v>
      </c>
      <c r="O522">
        <v>1500</v>
      </c>
      <c r="P522" t="b">
        <v>0</v>
      </c>
      <c r="Q522" t="b">
        <v>0</v>
      </c>
      <c r="R522" t="b">
        <v>0</v>
      </c>
      <c r="S522" t="s">
        <v>96</v>
      </c>
      <c r="T522" t="s">
        <v>1649</v>
      </c>
      <c r="U522">
        <v>93.253333333333316</v>
      </c>
      <c r="V522">
        <v>0</v>
      </c>
      <c r="W522">
        <v>0</v>
      </c>
      <c r="X522">
        <v>4</v>
      </c>
      <c r="Y522" s="6">
        <v>46054</v>
      </c>
    </row>
    <row r="523" spans="1:26" x14ac:dyDescent="0.3">
      <c r="A523" t="s">
        <v>628</v>
      </c>
      <c r="B523" s="5">
        <v>46149</v>
      </c>
      <c r="C523" s="5">
        <v>46149</v>
      </c>
      <c r="D523" s="5">
        <v>46150</v>
      </c>
      <c r="E523" s="5">
        <v>46150</v>
      </c>
      <c r="F523" t="s">
        <v>32</v>
      </c>
      <c r="G523" t="s">
        <v>57</v>
      </c>
      <c r="H523" t="s">
        <v>20</v>
      </c>
      <c r="I523" t="s">
        <v>43</v>
      </c>
      <c r="J523">
        <v>13.1</v>
      </c>
      <c r="K523">
        <v>3694.1</v>
      </c>
      <c r="L523">
        <v>2135000</v>
      </c>
      <c r="M523" t="b">
        <v>0</v>
      </c>
      <c r="N523" t="b">
        <v>0</v>
      </c>
      <c r="O523">
        <v>5000</v>
      </c>
      <c r="P523" t="b">
        <v>0</v>
      </c>
      <c r="Q523" t="b">
        <v>0</v>
      </c>
      <c r="R523" t="b">
        <v>0</v>
      </c>
      <c r="S523" t="s">
        <v>96</v>
      </c>
      <c r="T523" t="s">
        <v>1630</v>
      </c>
      <c r="U523">
        <v>73.882000000000005</v>
      </c>
      <c r="V523">
        <v>0</v>
      </c>
      <c r="W523">
        <v>0</v>
      </c>
      <c r="X523">
        <v>1</v>
      </c>
      <c r="Y523" s="6">
        <v>46143</v>
      </c>
    </row>
    <row r="524" spans="1:26" x14ac:dyDescent="0.3">
      <c r="A524" t="s">
        <v>629</v>
      </c>
      <c r="B524" s="5">
        <v>46147</v>
      </c>
      <c r="C524" s="5">
        <v>46148</v>
      </c>
      <c r="D524" s="5">
        <v>46152</v>
      </c>
      <c r="E524" s="5">
        <v>46152</v>
      </c>
      <c r="F524" t="s">
        <v>32</v>
      </c>
      <c r="G524" t="s">
        <v>56</v>
      </c>
      <c r="H524" t="s">
        <v>23</v>
      </c>
      <c r="I524" t="s">
        <v>44</v>
      </c>
      <c r="J524">
        <v>1039.5999999999999</v>
      </c>
      <c r="K524">
        <v>180.4</v>
      </c>
      <c r="L524">
        <v>9664000</v>
      </c>
      <c r="M524" t="b">
        <v>0</v>
      </c>
      <c r="N524" t="b">
        <v>0</v>
      </c>
      <c r="O524">
        <v>1500</v>
      </c>
      <c r="P524" t="b">
        <v>0</v>
      </c>
      <c r="Q524" t="b">
        <v>0</v>
      </c>
      <c r="R524" t="b">
        <v>0</v>
      </c>
      <c r="S524" t="s">
        <v>96</v>
      </c>
      <c r="T524" t="s">
        <v>1658</v>
      </c>
      <c r="U524">
        <v>12.026666666666671</v>
      </c>
      <c r="V524">
        <v>0</v>
      </c>
      <c r="W524">
        <v>0</v>
      </c>
      <c r="X524">
        <v>4</v>
      </c>
      <c r="Y524" s="6">
        <v>46143</v>
      </c>
    </row>
    <row r="525" spans="1:26" x14ac:dyDescent="0.3">
      <c r="A525" t="s">
        <v>630</v>
      </c>
      <c r="B525" s="5">
        <v>46166</v>
      </c>
      <c r="C525" s="5">
        <v>46166</v>
      </c>
      <c r="D525" s="5">
        <v>46170</v>
      </c>
      <c r="E525" s="5">
        <v>46170</v>
      </c>
      <c r="F525" t="s">
        <v>31</v>
      </c>
      <c r="G525" t="s">
        <v>62</v>
      </c>
      <c r="H525" t="s">
        <v>20</v>
      </c>
      <c r="I525" t="s">
        <v>45</v>
      </c>
      <c r="J525">
        <v>695.8</v>
      </c>
      <c r="K525">
        <v>828.9</v>
      </c>
      <c r="L525">
        <v>7712000</v>
      </c>
      <c r="M525" t="b">
        <v>0</v>
      </c>
      <c r="N525" t="b">
        <v>0</v>
      </c>
      <c r="O525">
        <v>1000</v>
      </c>
      <c r="P525" t="b">
        <v>0</v>
      </c>
      <c r="Q525" t="b">
        <v>0</v>
      </c>
      <c r="R525" t="b">
        <v>0</v>
      </c>
      <c r="S525" t="s">
        <v>96</v>
      </c>
      <c r="T525" t="s">
        <v>1615</v>
      </c>
      <c r="U525">
        <v>82.89</v>
      </c>
      <c r="V525">
        <v>0</v>
      </c>
      <c r="W525">
        <v>0</v>
      </c>
      <c r="X525">
        <v>4</v>
      </c>
      <c r="Y525" s="6">
        <v>46143</v>
      </c>
    </row>
    <row r="526" spans="1:26" x14ac:dyDescent="0.3">
      <c r="A526" t="s">
        <v>631</v>
      </c>
      <c r="B526" s="5">
        <v>46167</v>
      </c>
      <c r="C526" s="5">
        <v>46168</v>
      </c>
      <c r="D526" s="5">
        <v>46171</v>
      </c>
      <c r="E526" s="5">
        <v>46171</v>
      </c>
      <c r="F526" t="s">
        <v>32</v>
      </c>
      <c r="G526" t="s">
        <v>58</v>
      </c>
      <c r="H526" t="s">
        <v>23</v>
      </c>
      <c r="I526" t="s">
        <v>43</v>
      </c>
      <c r="J526">
        <v>304.60000000000002</v>
      </c>
      <c r="K526">
        <v>4196.6000000000004</v>
      </c>
      <c r="L526">
        <v>6559000</v>
      </c>
      <c r="M526" t="b">
        <v>0</v>
      </c>
      <c r="N526" t="b">
        <v>0</v>
      </c>
      <c r="O526">
        <v>5000</v>
      </c>
      <c r="P526" t="b">
        <v>0</v>
      </c>
      <c r="Q526" t="b">
        <v>0</v>
      </c>
      <c r="R526" t="b">
        <v>0</v>
      </c>
      <c r="S526" t="s">
        <v>96</v>
      </c>
      <c r="T526" t="s">
        <v>1656</v>
      </c>
      <c r="U526">
        <v>83.932000000000002</v>
      </c>
      <c r="V526">
        <v>0</v>
      </c>
      <c r="W526">
        <v>0</v>
      </c>
      <c r="X526">
        <v>3</v>
      </c>
      <c r="Y526" s="6">
        <v>46143</v>
      </c>
    </row>
    <row r="527" spans="1:26" x14ac:dyDescent="0.3">
      <c r="A527" t="s">
        <v>632</v>
      </c>
      <c r="B527" s="5">
        <v>46173</v>
      </c>
      <c r="C527" s="5">
        <v>46173</v>
      </c>
      <c r="D527" s="5">
        <v>46176</v>
      </c>
      <c r="E527" s="5">
        <v>46176</v>
      </c>
      <c r="F527" t="s">
        <v>31</v>
      </c>
      <c r="G527" t="s">
        <v>63</v>
      </c>
      <c r="H527" t="s">
        <v>21</v>
      </c>
      <c r="I527" t="s">
        <v>44</v>
      </c>
      <c r="J527">
        <v>314.3</v>
      </c>
      <c r="K527">
        <v>841.1</v>
      </c>
      <c r="L527">
        <v>3752000</v>
      </c>
      <c r="M527" t="b">
        <v>0</v>
      </c>
      <c r="N527" t="b">
        <v>0</v>
      </c>
      <c r="O527">
        <v>1500</v>
      </c>
      <c r="P527" t="b">
        <v>0</v>
      </c>
      <c r="Q527" t="b">
        <v>0</v>
      </c>
      <c r="R527" t="b">
        <v>0</v>
      </c>
      <c r="S527" t="s">
        <v>96</v>
      </c>
      <c r="T527" t="s">
        <v>1640</v>
      </c>
      <c r="U527">
        <v>56.073333333333331</v>
      </c>
      <c r="V527">
        <v>0</v>
      </c>
      <c r="W527">
        <v>0</v>
      </c>
      <c r="X527">
        <v>3</v>
      </c>
      <c r="Y527" s="6">
        <v>46143</v>
      </c>
    </row>
    <row r="528" spans="1:26" x14ac:dyDescent="0.3">
      <c r="A528" t="s">
        <v>633</v>
      </c>
      <c r="B528" s="5">
        <v>46086</v>
      </c>
      <c r="C528" s="5">
        <v>46087</v>
      </c>
      <c r="D528" s="5">
        <v>46089</v>
      </c>
      <c r="E528" s="5">
        <v>46090</v>
      </c>
      <c r="F528" t="s">
        <v>31</v>
      </c>
      <c r="G528" t="s">
        <v>63</v>
      </c>
      <c r="H528" t="s">
        <v>24</v>
      </c>
      <c r="I528" t="s">
        <v>44</v>
      </c>
      <c r="J528">
        <v>296.5</v>
      </c>
      <c r="K528">
        <v>161.6</v>
      </c>
      <c r="L528">
        <v>3441000</v>
      </c>
      <c r="M528" t="b">
        <v>0</v>
      </c>
      <c r="N528" t="b">
        <v>0</v>
      </c>
      <c r="O528">
        <v>1500</v>
      </c>
      <c r="P528" t="b">
        <v>0</v>
      </c>
      <c r="Q528" t="b">
        <v>0</v>
      </c>
      <c r="R528" t="b">
        <v>0</v>
      </c>
      <c r="S528" t="s">
        <v>101</v>
      </c>
      <c r="T528" t="s">
        <v>1640</v>
      </c>
      <c r="U528">
        <v>10.77333333333333</v>
      </c>
      <c r="V528">
        <v>0</v>
      </c>
      <c r="W528">
        <v>0</v>
      </c>
      <c r="X528">
        <v>3</v>
      </c>
      <c r="Y528" s="6">
        <v>46082</v>
      </c>
      <c r="Z528">
        <v>1</v>
      </c>
    </row>
    <row r="529" spans="1:26" x14ac:dyDescent="0.3">
      <c r="A529" t="s">
        <v>634</v>
      </c>
      <c r="B529" s="5">
        <v>46161</v>
      </c>
      <c r="C529" s="5">
        <v>46162</v>
      </c>
      <c r="D529" s="5">
        <v>46165</v>
      </c>
      <c r="E529" s="5">
        <v>46166</v>
      </c>
      <c r="F529" t="s">
        <v>33</v>
      </c>
      <c r="G529" t="s">
        <v>57</v>
      </c>
      <c r="H529" t="s">
        <v>22</v>
      </c>
      <c r="I529" t="s">
        <v>42</v>
      </c>
      <c r="J529">
        <v>471.7</v>
      </c>
      <c r="K529">
        <v>5222.8999999999996</v>
      </c>
      <c r="L529">
        <v>10645000</v>
      </c>
      <c r="M529" t="b">
        <v>0</v>
      </c>
      <c r="N529" t="b">
        <v>0</v>
      </c>
      <c r="O529">
        <v>16000</v>
      </c>
      <c r="P529" t="b">
        <v>0</v>
      </c>
      <c r="Q529" t="b">
        <v>0</v>
      </c>
      <c r="R529" t="b">
        <v>0</v>
      </c>
      <c r="S529" t="s">
        <v>101</v>
      </c>
      <c r="T529" t="s">
        <v>1624</v>
      </c>
      <c r="U529">
        <v>32.643124999999998</v>
      </c>
      <c r="V529">
        <v>0</v>
      </c>
      <c r="W529">
        <v>0</v>
      </c>
      <c r="X529">
        <v>4</v>
      </c>
      <c r="Y529" s="6">
        <v>46143</v>
      </c>
      <c r="Z529">
        <v>1</v>
      </c>
    </row>
    <row r="530" spans="1:26" x14ac:dyDescent="0.3">
      <c r="A530" t="s">
        <v>635</v>
      </c>
      <c r="B530" s="5">
        <v>46054</v>
      </c>
      <c r="C530" s="5">
        <v>46055</v>
      </c>
      <c r="D530" s="5">
        <v>46058</v>
      </c>
      <c r="E530" s="5">
        <v>46058</v>
      </c>
      <c r="F530" t="s">
        <v>32</v>
      </c>
      <c r="G530" t="s">
        <v>58</v>
      </c>
      <c r="H530" t="s">
        <v>20</v>
      </c>
      <c r="I530" t="s">
        <v>42</v>
      </c>
      <c r="J530">
        <v>287.7</v>
      </c>
      <c r="K530">
        <v>6918.1</v>
      </c>
      <c r="L530">
        <v>8953000</v>
      </c>
      <c r="M530" t="b">
        <v>0</v>
      </c>
      <c r="N530" t="b">
        <v>0</v>
      </c>
      <c r="O530">
        <v>16000</v>
      </c>
      <c r="P530" t="b">
        <v>0</v>
      </c>
      <c r="Q530" t="b">
        <v>0</v>
      </c>
      <c r="R530" t="b">
        <v>0</v>
      </c>
      <c r="S530" t="s">
        <v>96</v>
      </c>
      <c r="T530" t="s">
        <v>1656</v>
      </c>
      <c r="U530">
        <v>43.238124999999997</v>
      </c>
      <c r="V530">
        <v>0</v>
      </c>
      <c r="W530">
        <v>0</v>
      </c>
      <c r="X530">
        <v>3</v>
      </c>
      <c r="Y530" s="6">
        <v>46054</v>
      </c>
    </row>
    <row r="531" spans="1:26" x14ac:dyDescent="0.3">
      <c r="A531" t="s">
        <v>636</v>
      </c>
      <c r="B531" s="5">
        <v>46120</v>
      </c>
      <c r="C531" s="5">
        <v>46120</v>
      </c>
      <c r="D531" s="5">
        <v>46124</v>
      </c>
      <c r="E531" s="5">
        <v>46124</v>
      </c>
      <c r="F531" t="s">
        <v>34</v>
      </c>
      <c r="G531" t="s">
        <v>56</v>
      </c>
      <c r="H531" t="s">
        <v>23</v>
      </c>
      <c r="I531" t="s">
        <v>43</v>
      </c>
      <c r="J531">
        <v>911.1</v>
      </c>
      <c r="K531">
        <v>796.1</v>
      </c>
      <c r="L531">
        <v>12285000</v>
      </c>
      <c r="M531" t="b">
        <v>0</v>
      </c>
      <c r="N531" t="b">
        <v>0</v>
      </c>
      <c r="O531">
        <v>5000</v>
      </c>
      <c r="P531" t="b">
        <v>0</v>
      </c>
      <c r="Q531" t="b">
        <v>0</v>
      </c>
      <c r="R531" t="b">
        <v>0</v>
      </c>
      <c r="S531" t="s">
        <v>96</v>
      </c>
      <c r="T531" t="s">
        <v>1646</v>
      </c>
      <c r="U531">
        <v>15.922000000000001</v>
      </c>
      <c r="V531">
        <v>0</v>
      </c>
      <c r="W531">
        <v>0</v>
      </c>
      <c r="X531">
        <v>4</v>
      </c>
      <c r="Y531" s="6">
        <v>46113</v>
      </c>
    </row>
    <row r="532" spans="1:26" x14ac:dyDescent="0.3">
      <c r="A532" t="s">
        <v>637</v>
      </c>
      <c r="B532" s="5">
        <v>46190</v>
      </c>
      <c r="C532" s="5">
        <v>46191</v>
      </c>
      <c r="D532" s="5">
        <v>46195</v>
      </c>
      <c r="E532" s="5">
        <v>46198</v>
      </c>
      <c r="F532" t="s">
        <v>32</v>
      </c>
      <c r="G532" t="s">
        <v>56</v>
      </c>
      <c r="H532" t="s">
        <v>22</v>
      </c>
      <c r="I532" t="s">
        <v>43</v>
      </c>
      <c r="J532">
        <v>981.8</v>
      </c>
      <c r="K532">
        <v>2917.2</v>
      </c>
      <c r="L532">
        <v>14020000</v>
      </c>
      <c r="M532" t="b">
        <v>0</v>
      </c>
      <c r="N532" t="b">
        <v>0</v>
      </c>
      <c r="O532">
        <v>5000</v>
      </c>
      <c r="P532" t="b">
        <v>0</v>
      </c>
      <c r="Q532" t="b">
        <v>0</v>
      </c>
      <c r="R532" t="b">
        <v>0</v>
      </c>
      <c r="S532" t="s">
        <v>101</v>
      </c>
      <c r="T532" t="s">
        <v>1658</v>
      </c>
      <c r="U532">
        <v>58.343999999999987</v>
      </c>
      <c r="V532">
        <v>0</v>
      </c>
      <c r="W532">
        <v>0</v>
      </c>
      <c r="X532">
        <v>7</v>
      </c>
      <c r="Y532" s="6">
        <v>46174</v>
      </c>
      <c r="Z532">
        <v>3</v>
      </c>
    </row>
    <row r="533" spans="1:26" x14ac:dyDescent="0.3">
      <c r="A533" t="s">
        <v>638</v>
      </c>
      <c r="B533" s="5">
        <v>46097</v>
      </c>
      <c r="C533" s="5">
        <v>46098</v>
      </c>
      <c r="D533" s="5">
        <v>46100</v>
      </c>
      <c r="E533" s="5">
        <v>46100</v>
      </c>
      <c r="F533" t="s">
        <v>34</v>
      </c>
      <c r="G533" t="s">
        <v>58</v>
      </c>
      <c r="H533" t="s">
        <v>21</v>
      </c>
      <c r="I533" t="s">
        <v>45</v>
      </c>
      <c r="J533">
        <v>154.6</v>
      </c>
      <c r="K533">
        <v>575.29999999999995</v>
      </c>
      <c r="L533">
        <v>2059000</v>
      </c>
      <c r="M533" t="b">
        <v>0</v>
      </c>
      <c r="N533" t="b">
        <v>0</v>
      </c>
      <c r="O533">
        <v>1000</v>
      </c>
      <c r="P533" t="b">
        <v>0</v>
      </c>
      <c r="Q533" t="b">
        <v>0</v>
      </c>
      <c r="R533" t="b">
        <v>0</v>
      </c>
      <c r="S533" t="s">
        <v>96</v>
      </c>
      <c r="T533" t="s">
        <v>1637</v>
      </c>
      <c r="U533">
        <v>57.529999999999987</v>
      </c>
      <c r="V533">
        <v>0</v>
      </c>
      <c r="W533">
        <v>0</v>
      </c>
      <c r="X533">
        <v>2</v>
      </c>
      <c r="Y533" s="6">
        <v>46082</v>
      </c>
    </row>
    <row r="534" spans="1:26" x14ac:dyDescent="0.3">
      <c r="A534" t="s">
        <v>639</v>
      </c>
      <c r="B534" s="5">
        <v>46081</v>
      </c>
      <c r="C534" s="5">
        <v>46082</v>
      </c>
      <c r="D534" s="5">
        <v>46084</v>
      </c>
      <c r="E534" s="5">
        <v>46084</v>
      </c>
      <c r="F534" t="s">
        <v>34</v>
      </c>
      <c r="G534" t="s">
        <v>52</v>
      </c>
      <c r="H534" t="s">
        <v>21</v>
      </c>
      <c r="I534" t="s">
        <v>42</v>
      </c>
      <c r="J534">
        <v>273.10000000000002</v>
      </c>
      <c r="K534">
        <v>5616.7</v>
      </c>
      <c r="L534">
        <v>8171000</v>
      </c>
      <c r="M534" t="b">
        <v>0</v>
      </c>
      <c r="N534" t="b">
        <v>0</v>
      </c>
      <c r="O534">
        <v>16000</v>
      </c>
      <c r="P534" t="b">
        <v>0</v>
      </c>
      <c r="Q534" t="b">
        <v>0</v>
      </c>
      <c r="R534" t="b">
        <v>0</v>
      </c>
      <c r="S534" t="s">
        <v>96</v>
      </c>
      <c r="T534" t="s">
        <v>1623</v>
      </c>
      <c r="U534">
        <v>35.104374999999997</v>
      </c>
      <c r="V534">
        <v>0</v>
      </c>
      <c r="W534">
        <v>0</v>
      </c>
      <c r="X534">
        <v>2</v>
      </c>
      <c r="Y534" s="6">
        <v>46082</v>
      </c>
    </row>
    <row r="535" spans="1:26" x14ac:dyDescent="0.3">
      <c r="A535" t="s">
        <v>640</v>
      </c>
      <c r="B535" s="5">
        <v>46104</v>
      </c>
      <c r="C535" s="5">
        <v>46105</v>
      </c>
      <c r="D535" s="5">
        <v>46107</v>
      </c>
      <c r="E535" s="5">
        <v>46107</v>
      </c>
      <c r="F535" t="s">
        <v>31</v>
      </c>
      <c r="G535" t="s">
        <v>57</v>
      </c>
      <c r="H535" t="s">
        <v>23</v>
      </c>
      <c r="I535" t="s">
        <v>43</v>
      </c>
      <c r="J535">
        <v>130.80000000000001</v>
      </c>
      <c r="K535">
        <v>3324.5</v>
      </c>
      <c r="L535">
        <v>3204000</v>
      </c>
      <c r="M535" t="b">
        <v>0</v>
      </c>
      <c r="N535" t="b">
        <v>0</v>
      </c>
      <c r="O535">
        <v>5000</v>
      </c>
      <c r="P535" t="b">
        <v>0</v>
      </c>
      <c r="Q535" t="b">
        <v>0</v>
      </c>
      <c r="R535" t="b">
        <v>0</v>
      </c>
      <c r="S535" t="s">
        <v>96</v>
      </c>
      <c r="T535" t="s">
        <v>1617</v>
      </c>
      <c r="U535">
        <v>66.490000000000009</v>
      </c>
      <c r="V535">
        <v>0</v>
      </c>
      <c r="W535">
        <v>0</v>
      </c>
      <c r="X535">
        <v>2</v>
      </c>
      <c r="Y535" s="6">
        <v>46082</v>
      </c>
    </row>
    <row r="536" spans="1:26" x14ac:dyDescent="0.3">
      <c r="A536" t="s">
        <v>641</v>
      </c>
      <c r="B536" s="5">
        <v>46108</v>
      </c>
      <c r="C536" s="5">
        <v>46108</v>
      </c>
      <c r="D536" s="5">
        <v>46110</v>
      </c>
      <c r="E536" s="5">
        <v>46110</v>
      </c>
      <c r="F536" t="s">
        <v>32</v>
      </c>
      <c r="G536" t="s">
        <v>59</v>
      </c>
      <c r="H536" t="s">
        <v>22</v>
      </c>
      <c r="I536" t="s">
        <v>43</v>
      </c>
      <c r="J536">
        <v>170.9</v>
      </c>
      <c r="K536">
        <v>983.3</v>
      </c>
      <c r="L536">
        <v>3043000</v>
      </c>
      <c r="M536" t="b">
        <v>0</v>
      </c>
      <c r="N536" t="b">
        <v>0</v>
      </c>
      <c r="O536">
        <v>5000</v>
      </c>
      <c r="P536" t="b">
        <v>0</v>
      </c>
      <c r="Q536" t="b">
        <v>0</v>
      </c>
      <c r="R536" t="b">
        <v>0</v>
      </c>
      <c r="S536" t="s">
        <v>96</v>
      </c>
      <c r="T536" t="s">
        <v>1619</v>
      </c>
      <c r="U536">
        <v>19.666</v>
      </c>
      <c r="V536">
        <v>0</v>
      </c>
      <c r="W536">
        <v>0</v>
      </c>
      <c r="X536">
        <v>2</v>
      </c>
      <c r="Y536" s="6">
        <v>46082</v>
      </c>
    </row>
    <row r="537" spans="1:26" x14ac:dyDescent="0.3">
      <c r="A537" t="s">
        <v>642</v>
      </c>
      <c r="B537" s="5">
        <v>46169</v>
      </c>
      <c r="C537" s="5">
        <v>46171</v>
      </c>
      <c r="D537" s="5">
        <v>46175</v>
      </c>
      <c r="E537" s="5">
        <v>46175</v>
      </c>
      <c r="F537" t="s">
        <v>34</v>
      </c>
      <c r="G537" t="s">
        <v>54</v>
      </c>
      <c r="H537" t="s">
        <v>22</v>
      </c>
      <c r="I537" t="s">
        <v>42</v>
      </c>
      <c r="J537">
        <v>473.6</v>
      </c>
      <c r="K537">
        <v>6445.8</v>
      </c>
      <c r="L537">
        <v>10931000</v>
      </c>
      <c r="M537" t="b">
        <v>0</v>
      </c>
      <c r="N537" t="b">
        <v>0</v>
      </c>
      <c r="O537">
        <v>16000</v>
      </c>
      <c r="P537" t="b">
        <v>0</v>
      </c>
      <c r="Q537" t="b">
        <v>0</v>
      </c>
      <c r="R537" t="b">
        <v>0</v>
      </c>
      <c r="S537" t="s">
        <v>96</v>
      </c>
      <c r="T537" t="s">
        <v>1635</v>
      </c>
      <c r="U537">
        <v>40.286250000000003</v>
      </c>
      <c r="V537">
        <v>0</v>
      </c>
      <c r="W537">
        <v>0</v>
      </c>
      <c r="X537">
        <v>4</v>
      </c>
      <c r="Y537" s="6">
        <v>46143</v>
      </c>
    </row>
    <row r="538" spans="1:26" x14ac:dyDescent="0.3">
      <c r="A538" t="s">
        <v>643</v>
      </c>
      <c r="B538" s="5">
        <v>46178</v>
      </c>
      <c r="C538" s="5">
        <v>46180</v>
      </c>
      <c r="D538" s="5">
        <v>46183</v>
      </c>
      <c r="E538" s="5">
        <v>46183</v>
      </c>
      <c r="F538" t="s">
        <v>33</v>
      </c>
      <c r="G538" t="s">
        <v>55</v>
      </c>
      <c r="H538" t="s">
        <v>22</v>
      </c>
      <c r="I538" t="s">
        <v>43</v>
      </c>
      <c r="J538">
        <v>567.79999999999995</v>
      </c>
      <c r="K538">
        <v>2392.5</v>
      </c>
      <c r="L538">
        <v>8684000</v>
      </c>
      <c r="M538" t="b">
        <v>0</v>
      </c>
      <c r="N538" t="b">
        <v>0</v>
      </c>
      <c r="O538">
        <v>5000</v>
      </c>
      <c r="P538" t="b">
        <v>0</v>
      </c>
      <c r="Q538" t="b">
        <v>0</v>
      </c>
      <c r="R538" t="b">
        <v>0</v>
      </c>
      <c r="S538" t="s">
        <v>96</v>
      </c>
      <c r="T538" t="s">
        <v>1626</v>
      </c>
      <c r="U538">
        <v>47.85</v>
      </c>
      <c r="V538">
        <v>0</v>
      </c>
      <c r="W538">
        <v>0</v>
      </c>
      <c r="X538">
        <v>3</v>
      </c>
      <c r="Y538" s="6">
        <v>46174</v>
      </c>
    </row>
    <row r="539" spans="1:26" x14ac:dyDescent="0.3">
      <c r="A539" t="s">
        <v>644</v>
      </c>
      <c r="B539" s="5">
        <v>46030</v>
      </c>
      <c r="C539" s="5">
        <v>46031</v>
      </c>
      <c r="D539" s="5">
        <v>46035</v>
      </c>
      <c r="E539" s="5">
        <v>46036</v>
      </c>
      <c r="F539" t="s">
        <v>33</v>
      </c>
      <c r="G539" t="s">
        <v>61</v>
      </c>
      <c r="H539" t="s">
        <v>20</v>
      </c>
      <c r="I539" t="s">
        <v>42</v>
      </c>
      <c r="J539">
        <v>648.9</v>
      </c>
      <c r="K539">
        <v>2507.1</v>
      </c>
      <c r="L539">
        <v>12468000</v>
      </c>
      <c r="M539" t="b">
        <v>0</v>
      </c>
      <c r="N539" t="b">
        <v>0</v>
      </c>
      <c r="O539">
        <v>16000</v>
      </c>
      <c r="P539" t="b">
        <v>0</v>
      </c>
      <c r="Q539" t="b">
        <v>0</v>
      </c>
      <c r="R539" t="b">
        <v>0</v>
      </c>
      <c r="S539" t="s">
        <v>101</v>
      </c>
      <c r="T539" t="s">
        <v>1643</v>
      </c>
      <c r="U539">
        <v>15.669375</v>
      </c>
      <c r="V539">
        <v>0</v>
      </c>
      <c r="W539">
        <v>0</v>
      </c>
      <c r="X539">
        <v>5</v>
      </c>
      <c r="Y539" s="6">
        <v>46023</v>
      </c>
      <c r="Z539">
        <v>1</v>
      </c>
    </row>
    <row r="540" spans="1:26" x14ac:dyDescent="0.3">
      <c r="A540" t="s">
        <v>645</v>
      </c>
      <c r="B540" s="5">
        <v>46055</v>
      </c>
      <c r="C540" s="5">
        <v>46056</v>
      </c>
      <c r="D540" s="5">
        <v>46058</v>
      </c>
      <c r="E540" s="5">
        <v>46058</v>
      </c>
      <c r="F540" t="s">
        <v>32</v>
      </c>
      <c r="G540" t="s">
        <v>59</v>
      </c>
      <c r="H540" t="s">
        <v>20</v>
      </c>
      <c r="I540" t="s">
        <v>45</v>
      </c>
      <c r="J540">
        <v>151.9</v>
      </c>
      <c r="K540">
        <v>543.6</v>
      </c>
      <c r="L540">
        <v>2074000</v>
      </c>
      <c r="M540" t="b">
        <v>0</v>
      </c>
      <c r="N540" t="b">
        <v>0</v>
      </c>
      <c r="O540">
        <v>1000</v>
      </c>
      <c r="P540" t="b">
        <v>0</v>
      </c>
      <c r="Q540" t="b">
        <v>0</v>
      </c>
      <c r="R540" t="b">
        <v>0</v>
      </c>
      <c r="S540" t="s">
        <v>96</v>
      </c>
      <c r="T540" t="s">
        <v>1619</v>
      </c>
      <c r="U540">
        <v>54.36</v>
      </c>
      <c r="V540">
        <v>0</v>
      </c>
      <c r="W540">
        <v>0</v>
      </c>
      <c r="X540">
        <v>2</v>
      </c>
      <c r="Y540" s="6">
        <v>46054</v>
      </c>
    </row>
    <row r="541" spans="1:26" x14ac:dyDescent="0.3">
      <c r="A541" t="s">
        <v>646</v>
      </c>
      <c r="B541" s="5">
        <v>46068</v>
      </c>
      <c r="C541" s="5">
        <v>46069</v>
      </c>
      <c r="D541" s="5">
        <v>46073</v>
      </c>
      <c r="E541" s="5">
        <v>46073</v>
      </c>
      <c r="F541" t="s">
        <v>33</v>
      </c>
      <c r="G541" t="s">
        <v>55</v>
      </c>
      <c r="H541" t="s">
        <v>21</v>
      </c>
      <c r="I541" t="s">
        <v>44</v>
      </c>
      <c r="J541">
        <v>606.6</v>
      </c>
      <c r="K541">
        <v>851.3</v>
      </c>
      <c r="L541">
        <v>5516000</v>
      </c>
      <c r="M541" t="b">
        <v>0</v>
      </c>
      <c r="N541" t="b">
        <v>0</v>
      </c>
      <c r="O541">
        <v>1500</v>
      </c>
      <c r="P541" t="b">
        <v>0</v>
      </c>
      <c r="Q541" t="b">
        <v>0</v>
      </c>
      <c r="R541" t="b">
        <v>0</v>
      </c>
      <c r="S541" t="s">
        <v>96</v>
      </c>
      <c r="T541" t="s">
        <v>1626</v>
      </c>
      <c r="U541">
        <v>56.75333333333333</v>
      </c>
      <c r="V541">
        <v>0</v>
      </c>
      <c r="W541">
        <v>0</v>
      </c>
      <c r="X541">
        <v>4</v>
      </c>
      <c r="Y541" s="6">
        <v>46054</v>
      </c>
    </row>
    <row r="542" spans="1:26" x14ac:dyDescent="0.3">
      <c r="A542" t="s">
        <v>647</v>
      </c>
      <c r="B542" s="5">
        <v>46068</v>
      </c>
      <c r="C542" s="5">
        <v>46069</v>
      </c>
      <c r="D542" s="5">
        <v>46072</v>
      </c>
      <c r="E542" s="5">
        <v>46072</v>
      </c>
      <c r="F542" t="s">
        <v>32</v>
      </c>
      <c r="G542" t="s">
        <v>54</v>
      </c>
      <c r="H542" t="s">
        <v>21</v>
      </c>
      <c r="I542" t="s">
        <v>43</v>
      </c>
      <c r="J542">
        <v>566.79999999999995</v>
      </c>
      <c r="K542">
        <v>3847</v>
      </c>
      <c r="L542">
        <v>9635000</v>
      </c>
      <c r="M542" t="b">
        <v>0</v>
      </c>
      <c r="N542" t="b">
        <v>0</v>
      </c>
      <c r="O542">
        <v>5000</v>
      </c>
      <c r="P542" t="b">
        <v>0</v>
      </c>
      <c r="Q542" t="b">
        <v>0</v>
      </c>
      <c r="R542" t="b">
        <v>0</v>
      </c>
      <c r="S542" t="s">
        <v>96</v>
      </c>
      <c r="T542" t="s">
        <v>1655</v>
      </c>
      <c r="U542">
        <v>76.94</v>
      </c>
      <c r="V542">
        <v>0</v>
      </c>
      <c r="W542">
        <v>0</v>
      </c>
      <c r="X542">
        <v>3</v>
      </c>
      <c r="Y542" s="6">
        <v>46054</v>
      </c>
    </row>
    <row r="543" spans="1:26" x14ac:dyDescent="0.3">
      <c r="A543" t="s">
        <v>648</v>
      </c>
      <c r="B543" s="5">
        <v>46099</v>
      </c>
      <c r="C543" s="5">
        <v>46099</v>
      </c>
      <c r="D543" s="5">
        <v>46104</v>
      </c>
      <c r="E543" s="5">
        <v>46104</v>
      </c>
      <c r="F543" t="s">
        <v>33</v>
      </c>
      <c r="G543" t="s">
        <v>58</v>
      </c>
      <c r="H543" t="s">
        <v>23</v>
      </c>
      <c r="I543" t="s">
        <v>43</v>
      </c>
      <c r="J543">
        <v>705.6</v>
      </c>
      <c r="K543">
        <v>2689.7</v>
      </c>
      <c r="L543">
        <v>10942000</v>
      </c>
      <c r="M543" t="b">
        <v>0</v>
      </c>
      <c r="N543" t="b">
        <v>0</v>
      </c>
      <c r="O543">
        <v>5000</v>
      </c>
      <c r="P543" t="b">
        <v>0</v>
      </c>
      <c r="Q543" t="b">
        <v>0</v>
      </c>
      <c r="R543" t="b">
        <v>0</v>
      </c>
      <c r="S543" t="s">
        <v>96</v>
      </c>
      <c r="T543" t="s">
        <v>1651</v>
      </c>
      <c r="U543">
        <v>53.793999999999997</v>
      </c>
      <c r="V543">
        <v>0</v>
      </c>
      <c r="W543">
        <v>0</v>
      </c>
      <c r="X543">
        <v>5</v>
      </c>
      <c r="Y543" s="6">
        <v>46082</v>
      </c>
    </row>
    <row r="544" spans="1:26" x14ac:dyDescent="0.3">
      <c r="A544" t="s">
        <v>649</v>
      </c>
      <c r="B544" s="5">
        <v>46139</v>
      </c>
      <c r="C544" s="5">
        <v>46140</v>
      </c>
      <c r="D544" s="5">
        <v>46143</v>
      </c>
      <c r="E544" s="5">
        <v>46143</v>
      </c>
      <c r="F544" t="s">
        <v>32</v>
      </c>
      <c r="G544" t="s">
        <v>60</v>
      </c>
      <c r="H544" t="s">
        <v>23</v>
      </c>
      <c r="I544" t="s">
        <v>43</v>
      </c>
      <c r="J544">
        <v>457.3</v>
      </c>
      <c r="K544">
        <v>2606.4</v>
      </c>
      <c r="L544">
        <v>7289000</v>
      </c>
      <c r="M544" t="b">
        <v>0</v>
      </c>
      <c r="N544" t="b">
        <v>0</v>
      </c>
      <c r="O544">
        <v>5000</v>
      </c>
      <c r="P544" t="b">
        <v>0</v>
      </c>
      <c r="Q544" t="b">
        <v>0</v>
      </c>
      <c r="R544" t="b">
        <v>0</v>
      </c>
      <c r="S544" t="s">
        <v>96</v>
      </c>
      <c r="T544" t="s">
        <v>1647</v>
      </c>
      <c r="U544">
        <v>52.128</v>
      </c>
      <c r="V544">
        <v>0</v>
      </c>
      <c r="W544">
        <v>0</v>
      </c>
      <c r="X544">
        <v>3</v>
      </c>
      <c r="Y544" s="6">
        <v>46113</v>
      </c>
    </row>
    <row r="545" spans="1:26" x14ac:dyDescent="0.3">
      <c r="A545" t="s">
        <v>650</v>
      </c>
      <c r="B545" s="5">
        <v>46175</v>
      </c>
      <c r="C545" s="5">
        <v>46175</v>
      </c>
      <c r="D545" s="5">
        <v>46180</v>
      </c>
      <c r="E545" s="5">
        <v>46180</v>
      </c>
      <c r="F545" t="s">
        <v>32</v>
      </c>
      <c r="G545" t="s">
        <v>56</v>
      </c>
      <c r="H545" t="s">
        <v>21</v>
      </c>
      <c r="I545" t="s">
        <v>43</v>
      </c>
      <c r="J545">
        <v>1104</v>
      </c>
      <c r="K545">
        <v>3875.2</v>
      </c>
      <c r="L545">
        <v>15945000</v>
      </c>
      <c r="M545" t="b">
        <v>0</v>
      </c>
      <c r="N545" t="b">
        <v>0</v>
      </c>
      <c r="O545">
        <v>5000</v>
      </c>
      <c r="P545" t="b">
        <v>0</v>
      </c>
      <c r="Q545" t="b">
        <v>0</v>
      </c>
      <c r="R545" t="b">
        <v>0</v>
      </c>
      <c r="S545" t="s">
        <v>96</v>
      </c>
      <c r="T545" t="s">
        <v>1658</v>
      </c>
      <c r="U545">
        <v>77.503999999999991</v>
      </c>
      <c r="V545">
        <v>0</v>
      </c>
      <c r="W545">
        <v>0</v>
      </c>
      <c r="X545">
        <v>5</v>
      </c>
      <c r="Y545" s="6">
        <v>46174</v>
      </c>
    </row>
    <row r="546" spans="1:26" x14ac:dyDescent="0.3">
      <c r="A546" t="s">
        <v>651</v>
      </c>
      <c r="B546" s="5">
        <v>46040</v>
      </c>
      <c r="C546" s="5">
        <v>46042</v>
      </c>
      <c r="D546" s="5">
        <v>46045</v>
      </c>
      <c r="E546" s="5">
        <v>46045</v>
      </c>
      <c r="F546" t="s">
        <v>34</v>
      </c>
      <c r="G546" t="s">
        <v>63</v>
      </c>
      <c r="H546" t="s">
        <v>20</v>
      </c>
      <c r="I546" t="s">
        <v>42</v>
      </c>
      <c r="J546">
        <v>326.3</v>
      </c>
      <c r="K546">
        <v>11091.7</v>
      </c>
      <c r="L546">
        <v>8472000</v>
      </c>
      <c r="M546" t="b">
        <v>0</v>
      </c>
      <c r="N546" t="b">
        <v>0</v>
      </c>
      <c r="O546">
        <v>16000</v>
      </c>
      <c r="P546" t="b">
        <v>0</v>
      </c>
      <c r="Q546" t="b">
        <v>0</v>
      </c>
      <c r="R546" t="b">
        <v>0</v>
      </c>
      <c r="S546" t="s">
        <v>96</v>
      </c>
      <c r="T546" t="s">
        <v>1613</v>
      </c>
      <c r="U546">
        <v>69.323125000000005</v>
      </c>
      <c r="V546">
        <v>0</v>
      </c>
      <c r="W546">
        <v>0</v>
      </c>
      <c r="X546">
        <v>3</v>
      </c>
      <c r="Y546" s="6">
        <v>46023</v>
      </c>
    </row>
    <row r="547" spans="1:26" x14ac:dyDescent="0.3">
      <c r="A547" t="s">
        <v>652</v>
      </c>
      <c r="B547" s="5">
        <v>46173</v>
      </c>
      <c r="C547" s="5">
        <v>46174</v>
      </c>
      <c r="D547" s="5">
        <v>46178</v>
      </c>
      <c r="E547" s="5">
        <v>46178</v>
      </c>
      <c r="F547" t="s">
        <v>34</v>
      </c>
      <c r="G547" t="s">
        <v>60</v>
      </c>
      <c r="H547" t="s">
        <v>21</v>
      </c>
      <c r="I547" t="s">
        <v>44</v>
      </c>
      <c r="J547">
        <v>607.1</v>
      </c>
      <c r="K547">
        <v>274.8</v>
      </c>
      <c r="L547">
        <v>6581000</v>
      </c>
      <c r="M547" t="b">
        <v>0</v>
      </c>
      <c r="N547" t="b">
        <v>0</v>
      </c>
      <c r="O547">
        <v>1500</v>
      </c>
      <c r="P547" t="b">
        <v>0</v>
      </c>
      <c r="Q547" t="b">
        <v>0</v>
      </c>
      <c r="R547" t="b">
        <v>0</v>
      </c>
      <c r="S547" t="s">
        <v>96</v>
      </c>
      <c r="T547" t="s">
        <v>1644</v>
      </c>
      <c r="U547">
        <v>18.32</v>
      </c>
      <c r="V547">
        <v>0</v>
      </c>
      <c r="W547">
        <v>0</v>
      </c>
      <c r="X547">
        <v>4</v>
      </c>
      <c r="Y547" s="6">
        <v>46174</v>
      </c>
    </row>
    <row r="548" spans="1:26" x14ac:dyDescent="0.3">
      <c r="A548" t="s">
        <v>653</v>
      </c>
      <c r="B548" s="5">
        <v>46156</v>
      </c>
      <c r="C548" s="5">
        <v>46156</v>
      </c>
      <c r="D548" s="5">
        <v>46159</v>
      </c>
      <c r="E548" s="5">
        <v>46159</v>
      </c>
      <c r="F548" t="s">
        <v>32</v>
      </c>
      <c r="G548" t="s">
        <v>53</v>
      </c>
      <c r="H548" t="s">
        <v>23</v>
      </c>
      <c r="I548" t="s">
        <v>44</v>
      </c>
      <c r="J548">
        <v>243.6</v>
      </c>
      <c r="K548">
        <v>378.4</v>
      </c>
      <c r="L548">
        <v>2780000</v>
      </c>
      <c r="M548" t="b">
        <v>0</v>
      </c>
      <c r="N548" t="b">
        <v>0</v>
      </c>
      <c r="O548">
        <v>1500</v>
      </c>
      <c r="P548" t="b">
        <v>0</v>
      </c>
      <c r="Q548" t="b">
        <v>0</v>
      </c>
      <c r="R548" t="b">
        <v>0</v>
      </c>
      <c r="S548" t="s">
        <v>96</v>
      </c>
      <c r="T548" t="s">
        <v>1612</v>
      </c>
      <c r="U548">
        <v>25.226666666666659</v>
      </c>
      <c r="V548">
        <v>0</v>
      </c>
      <c r="W548">
        <v>0</v>
      </c>
      <c r="X548">
        <v>3</v>
      </c>
      <c r="Y548" s="6">
        <v>46143</v>
      </c>
    </row>
    <row r="549" spans="1:26" x14ac:dyDescent="0.3">
      <c r="A549" t="s">
        <v>654</v>
      </c>
      <c r="B549" s="5">
        <v>46183</v>
      </c>
      <c r="C549" s="5">
        <v>46185</v>
      </c>
      <c r="D549" s="5">
        <v>46188</v>
      </c>
      <c r="E549" s="5">
        <v>46187</v>
      </c>
      <c r="F549" t="s">
        <v>34</v>
      </c>
      <c r="G549" t="s">
        <v>63</v>
      </c>
      <c r="H549" t="s">
        <v>21</v>
      </c>
      <c r="I549" t="s">
        <v>42</v>
      </c>
      <c r="J549">
        <v>326</v>
      </c>
      <c r="K549">
        <v>6473.9</v>
      </c>
      <c r="L549">
        <v>7036000</v>
      </c>
      <c r="M549" t="b">
        <v>0</v>
      </c>
      <c r="N549" t="b">
        <v>0</v>
      </c>
      <c r="O549">
        <v>16000</v>
      </c>
      <c r="P549" t="b">
        <v>0</v>
      </c>
      <c r="Q549" t="b">
        <v>0</v>
      </c>
      <c r="R549" t="b">
        <v>0</v>
      </c>
      <c r="S549" t="s">
        <v>96</v>
      </c>
      <c r="T549" t="s">
        <v>1613</v>
      </c>
      <c r="U549">
        <v>40.461874999999999</v>
      </c>
      <c r="V549">
        <v>0</v>
      </c>
      <c r="W549">
        <v>0</v>
      </c>
      <c r="X549">
        <v>2</v>
      </c>
      <c r="Y549" s="6">
        <v>46174</v>
      </c>
    </row>
    <row r="550" spans="1:26" x14ac:dyDescent="0.3">
      <c r="A550" t="s">
        <v>655</v>
      </c>
      <c r="B550" s="5">
        <v>46117</v>
      </c>
      <c r="C550" s="5">
        <v>46118</v>
      </c>
      <c r="D550" s="5">
        <v>46122</v>
      </c>
      <c r="E550" s="5">
        <v>46122</v>
      </c>
      <c r="F550" t="s">
        <v>32</v>
      </c>
      <c r="G550" t="s">
        <v>52</v>
      </c>
      <c r="H550" t="s">
        <v>20</v>
      </c>
      <c r="I550" t="s">
        <v>44</v>
      </c>
      <c r="J550">
        <v>355.1</v>
      </c>
      <c r="K550">
        <v>993.2</v>
      </c>
      <c r="L550">
        <v>4705000</v>
      </c>
      <c r="M550" t="b">
        <v>0</v>
      </c>
      <c r="N550" t="b">
        <v>0</v>
      </c>
      <c r="O550">
        <v>1500</v>
      </c>
      <c r="P550" t="b">
        <v>0</v>
      </c>
      <c r="Q550" t="b">
        <v>0</v>
      </c>
      <c r="R550" t="b">
        <v>0</v>
      </c>
      <c r="S550" t="s">
        <v>96</v>
      </c>
      <c r="T550" t="s">
        <v>1611</v>
      </c>
      <c r="U550">
        <v>66.213333333333338</v>
      </c>
      <c r="V550">
        <v>0</v>
      </c>
      <c r="W550">
        <v>0</v>
      </c>
      <c r="X550">
        <v>4</v>
      </c>
      <c r="Y550" s="6">
        <v>46113</v>
      </c>
    </row>
    <row r="551" spans="1:26" x14ac:dyDescent="0.3">
      <c r="A551" t="s">
        <v>656</v>
      </c>
      <c r="B551" s="5">
        <v>46187</v>
      </c>
      <c r="C551" s="5">
        <v>46188</v>
      </c>
      <c r="D551" s="5">
        <v>46191</v>
      </c>
      <c r="E551" s="5">
        <v>46191</v>
      </c>
      <c r="F551" t="s">
        <v>34</v>
      </c>
      <c r="G551" t="s">
        <v>59</v>
      </c>
      <c r="H551" t="s">
        <v>24</v>
      </c>
      <c r="I551" t="s">
        <v>44</v>
      </c>
      <c r="J551">
        <v>342.9</v>
      </c>
      <c r="K551">
        <v>371.4</v>
      </c>
      <c r="L551">
        <v>4347000</v>
      </c>
      <c r="M551" t="b">
        <v>0</v>
      </c>
      <c r="N551" t="b">
        <v>0</v>
      </c>
      <c r="O551">
        <v>1500</v>
      </c>
      <c r="P551" t="b">
        <v>0</v>
      </c>
      <c r="Q551" t="b">
        <v>0</v>
      </c>
      <c r="R551" t="b">
        <v>0</v>
      </c>
      <c r="S551" t="s">
        <v>96</v>
      </c>
      <c r="T551" t="s">
        <v>1616</v>
      </c>
      <c r="U551">
        <v>24.76</v>
      </c>
      <c r="V551">
        <v>0</v>
      </c>
      <c r="W551">
        <v>0</v>
      </c>
      <c r="X551">
        <v>3</v>
      </c>
      <c r="Y551" s="6">
        <v>46174</v>
      </c>
    </row>
    <row r="552" spans="1:26" x14ac:dyDescent="0.3">
      <c r="A552" t="s">
        <v>657</v>
      </c>
      <c r="B552" s="5">
        <v>46064</v>
      </c>
      <c r="C552" s="5">
        <v>46065</v>
      </c>
      <c r="D552" s="5">
        <v>46068</v>
      </c>
      <c r="E552" s="5">
        <v>46068</v>
      </c>
      <c r="F552" t="s">
        <v>31</v>
      </c>
      <c r="G552" t="s">
        <v>58</v>
      </c>
      <c r="H552" t="s">
        <v>22</v>
      </c>
      <c r="I552" t="s">
        <v>43</v>
      </c>
      <c r="J552">
        <v>189.8</v>
      </c>
      <c r="K552">
        <v>3940.8</v>
      </c>
      <c r="L552">
        <v>4778000</v>
      </c>
      <c r="M552" t="b">
        <v>0</v>
      </c>
      <c r="N552" t="b">
        <v>0</v>
      </c>
      <c r="O552">
        <v>5000</v>
      </c>
      <c r="P552" t="b">
        <v>0</v>
      </c>
      <c r="Q552" t="b">
        <v>0</v>
      </c>
      <c r="R552" t="b">
        <v>0</v>
      </c>
      <c r="S552" t="s">
        <v>96</v>
      </c>
      <c r="T552" t="s">
        <v>1621</v>
      </c>
      <c r="U552">
        <v>78.816000000000003</v>
      </c>
      <c r="V552">
        <v>0</v>
      </c>
      <c r="W552">
        <v>0</v>
      </c>
      <c r="X552">
        <v>3</v>
      </c>
      <c r="Y552" s="6">
        <v>46054</v>
      </c>
    </row>
    <row r="553" spans="1:26" x14ac:dyDescent="0.3">
      <c r="A553" t="s">
        <v>658</v>
      </c>
      <c r="B553" s="5">
        <v>46048</v>
      </c>
      <c r="C553" s="5">
        <v>46048</v>
      </c>
      <c r="D553" s="5">
        <v>46051</v>
      </c>
      <c r="E553" s="5">
        <v>46051</v>
      </c>
      <c r="F553" t="s">
        <v>33</v>
      </c>
      <c r="G553" t="s">
        <v>63</v>
      </c>
      <c r="H553" t="s">
        <v>24</v>
      </c>
      <c r="I553" t="s">
        <v>45</v>
      </c>
      <c r="J553">
        <v>314</v>
      </c>
      <c r="K553">
        <v>479.8</v>
      </c>
      <c r="L553">
        <v>3564000</v>
      </c>
      <c r="M553" t="b">
        <v>0</v>
      </c>
      <c r="N553" t="b">
        <v>0</v>
      </c>
      <c r="O553">
        <v>1000</v>
      </c>
      <c r="P553" t="b">
        <v>0</v>
      </c>
      <c r="Q553" t="b">
        <v>0</v>
      </c>
      <c r="R553" t="b">
        <v>0</v>
      </c>
      <c r="S553" t="s">
        <v>96</v>
      </c>
      <c r="T553" t="s">
        <v>1625</v>
      </c>
      <c r="U553">
        <v>47.98</v>
      </c>
      <c r="V553">
        <v>0</v>
      </c>
      <c r="W553">
        <v>0</v>
      </c>
      <c r="X553">
        <v>3</v>
      </c>
      <c r="Y553" s="6">
        <v>46023</v>
      </c>
    </row>
    <row r="554" spans="1:26" x14ac:dyDescent="0.3">
      <c r="A554" t="s">
        <v>659</v>
      </c>
      <c r="B554" s="5">
        <v>46192</v>
      </c>
      <c r="C554" s="5">
        <v>46193</v>
      </c>
      <c r="D554" s="5">
        <v>46195</v>
      </c>
      <c r="E554" s="5">
        <v>46196</v>
      </c>
      <c r="F554" t="s">
        <v>34</v>
      </c>
      <c r="G554" t="s">
        <v>55</v>
      </c>
      <c r="H554" t="s">
        <v>22</v>
      </c>
      <c r="I554" t="s">
        <v>43</v>
      </c>
      <c r="J554">
        <v>48.3</v>
      </c>
      <c r="K554">
        <v>2948.8</v>
      </c>
      <c r="L554">
        <v>2510000</v>
      </c>
      <c r="M554" t="b">
        <v>0</v>
      </c>
      <c r="N554" t="b">
        <v>0</v>
      </c>
      <c r="O554">
        <v>5000</v>
      </c>
      <c r="P554" t="b">
        <v>0</v>
      </c>
      <c r="Q554" t="b">
        <v>0</v>
      </c>
      <c r="R554" t="b">
        <v>0</v>
      </c>
      <c r="S554" t="s">
        <v>101</v>
      </c>
      <c r="T554" t="s">
        <v>1639</v>
      </c>
      <c r="U554">
        <v>58.976000000000013</v>
      </c>
      <c r="V554">
        <v>0</v>
      </c>
      <c r="W554">
        <v>0</v>
      </c>
      <c r="X554">
        <v>3</v>
      </c>
      <c r="Y554" s="6">
        <v>46174</v>
      </c>
      <c r="Z554">
        <v>1</v>
      </c>
    </row>
    <row r="555" spans="1:26" x14ac:dyDescent="0.3">
      <c r="A555" t="s">
        <v>660</v>
      </c>
      <c r="B555" s="5">
        <v>46149</v>
      </c>
      <c r="C555" s="5">
        <v>46150</v>
      </c>
      <c r="D555" s="5">
        <v>46153</v>
      </c>
      <c r="E555" s="5">
        <v>46153</v>
      </c>
      <c r="F555" t="s">
        <v>34</v>
      </c>
      <c r="G555" t="s">
        <v>59</v>
      </c>
      <c r="H555" t="s">
        <v>22</v>
      </c>
      <c r="I555" t="s">
        <v>42</v>
      </c>
      <c r="J555">
        <v>328.3</v>
      </c>
      <c r="K555">
        <v>8451.2999999999993</v>
      </c>
      <c r="L555">
        <v>8668000</v>
      </c>
      <c r="M555" t="b">
        <v>0</v>
      </c>
      <c r="N555" t="b">
        <v>0</v>
      </c>
      <c r="O555">
        <v>16000</v>
      </c>
      <c r="P555" t="b">
        <v>0</v>
      </c>
      <c r="Q555" t="b">
        <v>0</v>
      </c>
      <c r="R555" t="b">
        <v>0</v>
      </c>
      <c r="S555" t="s">
        <v>96</v>
      </c>
      <c r="T555" t="s">
        <v>1616</v>
      </c>
      <c r="U555">
        <v>52.820625</v>
      </c>
      <c r="V555">
        <v>0</v>
      </c>
      <c r="W555">
        <v>0</v>
      </c>
      <c r="X555">
        <v>3</v>
      </c>
      <c r="Y555" s="6">
        <v>46143</v>
      </c>
    </row>
    <row r="556" spans="1:26" x14ac:dyDescent="0.3">
      <c r="A556" t="s">
        <v>661</v>
      </c>
      <c r="B556" s="5">
        <v>46134</v>
      </c>
      <c r="C556" s="5">
        <v>46135</v>
      </c>
      <c r="D556" s="5">
        <v>46137</v>
      </c>
      <c r="E556" s="5">
        <v>46139</v>
      </c>
      <c r="F556" t="s">
        <v>31</v>
      </c>
      <c r="G556" t="s">
        <v>58</v>
      </c>
      <c r="H556" t="s">
        <v>22</v>
      </c>
      <c r="I556" t="s">
        <v>45</v>
      </c>
      <c r="J556">
        <v>202.9</v>
      </c>
      <c r="K556">
        <v>119.8</v>
      </c>
      <c r="L556">
        <v>2264000</v>
      </c>
      <c r="M556" t="b">
        <v>0</v>
      </c>
      <c r="N556" t="b">
        <v>0</v>
      </c>
      <c r="O556">
        <v>1000</v>
      </c>
      <c r="P556" t="b">
        <v>0</v>
      </c>
      <c r="Q556" t="b">
        <v>0</v>
      </c>
      <c r="R556" t="b">
        <v>0</v>
      </c>
      <c r="S556" t="s">
        <v>101</v>
      </c>
      <c r="T556" t="s">
        <v>1621</v>
      </c>
      <c r="U556">
        <v>11.98</v>
      </c>
      <c r="V556">
        <v>0</v>
      </c>
      <c r="W556">
        <v>0</v>
      </c>
      <c r="X556">
        <v>4</v>
      </c>
      <c r="Y556" s="6">
        <v>46113</v>
      </c>
      <c r="Z556">
        <v>2</v>
      </c>
    </row>
    <row r="557" spans="1:26" x14ac:dyDescent="0.3">
      <c r="A557" t="s">
        <v>662</v>
      </c>
      <c r="B557" s="5">
        <v>46156</v>
      </c>
      <c r="C557" s="5">
        <v>46157</v>
      </c>
      <c r="D557" s="5">
        <v>46161</v>
      </c>
      <c r="E557" s="5">
        <v>46162</v>
      </c>
      <c r="F557" t="s">
        <v>31</v>
      </c>
      <c r="G557" t="s">
        <v>62</v>
      </c>
      <c r="H557" t="s">
        <v>20</v>
      </c>
      <c r="I557" t="s">
        <v>43</v>
      </c>
      <c r="J557">
        <v>727.4</v>
      </c>
      <c r="K557">
        <v>1355.7</v>
      </c>
      <c r="L557">
        <v>10574000</v>
      </c>
      <c r="M557" t="b">
        <v>0</v>
      </c>
      <c r="N557" t="b">
        <v>0</v>
      </c>
      <c r="O557">
        <v>5000</v>
      </c>
      <c r="P557" t="b">
        <v>0</v>
      </c>
      <c r="Q557" t="b">
        <v>0</v>
      </c>
      <c r="R557" t="b">
        <v>0</v>
      </c>
      <c r="S557" t="s">
        <v>101</v>
      </c>
      <c r="T557" t="s">
        <v>1615</v>
      </c>
      <c r="U557">
        <v>27.114000000000001</v>
      </c>
      <c r="V557">
        <v>0</v>
      </c>
      <c r="W557">
        <v>0</v>
      </c>
      <c r="X557">
        <v>5</v>
      </c>
      <c r="Y557" s="6">
        <v>46143</v>
      </c>
      <c r="Z557">
        <v>1</v>
      </c>
    </row>
    <row r="558" spans="1:26" x14ac:dyDescent="0.3">
      <c r="A558" t="s">
        <v>663</v>
      </c>
      <c r="B558" s="5">
        <v>46039</v>
      </c>
      <c r="C558" s="5">
        <v>46040</v>
      </c>
      <c r="D558" s="5">
        <v>46044</v>
      </c>
      <c r="E558" s="5">
        <v>46044</v>
      </c>
      <c r="F558" t="s">
        <v>31</v>
      </c>
      <c r="G558" t="s">
        <v>56</v>
      </c>
      <c r="H558" t="s">
        <v>23</v>
      </c>
      <c r="I558" t="s">
        <v>42</v>
      </c>
      <c r="J558">
        <v>942.5</v>
      </c>
      <c r="K558">
        <v>12702.4</v>
      </c>
      <c r="L558">
        <v>21901000</v>
      </c>
      <c r="M558" t="b">
        <v>0</v>
      </c>
      <c r="N558" t="b">
        <v>0</v>
      </c>
      <c r="O558">
        <v>16000</v>
      </c>
      <c r="P558" t="b">
        <v>0</v>
      </c>
      <c r="Q558" t="b">
        <v>0</v>
      </c>
      <c r="R558" t="b">
        <v>0</v>
      </c>
      <c r="S558" t="s">
        <v>96</v>
      </c>
      <c r="T558" t="s">
        <v>1614</v>
      </c>
      <c r="U558">
        <v>79.39</v>
      </c>
      <c r="V558">
        <v>0</v>
      </c>
      <c r="W558">
        <v>0</v>
      </c>
      <c r="X558">
        <v>4</v>
      </c>
      <c r="Y558" s="6">
        <v>46023</v>
      </c>
    </row>
    <row r="559" spans="1:26" x14ac:dyDescent="0.3">
      <c r="A559" t="s">
        <v>664</v>
      </c>
      <c r="B559" s="5">
        <v>46166</v>
      </c>
      <c r="C559" s="5">
        <v>46167</v>
      </c>
      <c r="D559" s="5">
        <v>46168</v>
      </c>
      <c r="E559" s="5">
        <v>46168</v>
      </c>
      <c r="F559" t="s">
        <v>31</v>
      </c>
      <c r="G559" t="s">
        <v>55</v>
      </c>
      <c r="H559" t="s">
        <v>21</v>
      </c>
      <c r="I559" t="s">
        <v>45</v>
      </c>
      <c r="J559">
        <v>27.2</v>
      </c>
      <c r="K559">
        <v>745.2</v>
      </c>
      <c r="L559">
        <v>1046000</v>
      </c>
      <c r="M559" t="b">
        <v>0</v>
      </c>
      <c r="N559" t="b">
        <v>0</v>
      </c>
      <c r="O559">
        <v>1000</v>
      </c>
      <c r="P559" t="b">
        <v>0</v>
      </c>
      <c r="Q559" t="b">
        <v>0</v>
      </c>
      <c r="R559" t="b">
        <v>0</v>
      </c>
      <c r="S559" t="s">
        <v>96</v>
      </c>
      <c r="T559" t="s">
        <v>1629</v>
      </c>
      <c r="U559">
        <v>74.52000000000001</v>
      </c>
      <c r="V559">
        <v>0</v>
      </c>
      <c r="W559">
        <v>0</v>
      </c>
      <c r="X559">
        <v>1</v>
      </c>
      <c r="Y559" s="6">
        <v>46143</v>
      </c>
    </row>
    <row r="560" spans="1:26" x14ac:dyDescent="0.3">
      <c r="A560" t="s">
        <v>665</v>
      </c>
      <c r="B560" s="5">
        <v>46203</v>
      </c>
      <c r="C560" s="5">
        <v>46204</v>
      </c>
      <c r="D560" s="5">
        <v>46209</v>
      </c>
      <c r="E560" s="5">
        <v>46210</v>
      </c>
      <c r="F560" t="s">
        <v>34</v>
      </c>
      <c r="G560" t="s">
        <v>60</v>
      </c>
      <c r="H560" t="s">
        <v>20</v>
      </c>
      <c r="I560" t="s">
        <v>44</v>
      </c>
      <c r="J560">
        <v>609.70000000000005</v>
      </c>
      <c r="K560">
        <v>1394.7</v>
      </c>
      <c r="L560">
        <v>6877000</v>
      </c>
      <c r="M560" t="b">
        <v>0</v>
      </c>
      <c r="N560" t="b">
        <v>0</v>
      </c>
      <c r="O560">
        <v>1500</v>
      </c>
      <c r="P560" t="b">
        <v>0</v>
      </c>
      <c r="Q560" t="b">
        <v>0</v>
      </c>
      <c r="R560" t="b">
        <v>0</v>
      </c>
      <c r="S560" t="s">
        <v>101</v>
      </c>
      <c r="T560" t="s">
        <v>1644</v>
      </c>
      <c r="U560">
        <v>92.98</v>
      </c>
      <c r="V560">
        <v>0</v>
      </c>
      <c r="W560">
        <v>0</v>
      </c>
      <c r="X560">
        <v>6</v>
      </c>
      <c r="Y560" s="6">
        <v>46204</v>
      </c>
      <c r="Z560">
        <v>1</v>
      </c>
    </row>
    <row r="561" spans="1:26" x14ac:dyDescent="0.3">
      <c r="A561" t="s">
        <v>666</v>
      </c>
      <c r="B561" s="5">
        <v>46173</v>
      </c>
      <c r="C561" s="5">
        <v>46174</v>
      </c>
      <c r="D561" s="5">
        <v>46176</v>
      </c>
      <c r="E561" s="5">
        <v>46175</v>
      </c>
      <c r="F561" t="s">
        <v>32</v>
      </c>
      <c r="G561" t="s">
        <v>63</v>
      </c>
      <c r="H561" t="s">
        <v>23</v>
      </c>
      <c r="I561" t="s">
        <v>43</v>
      </c>
      <c r="J561">
        <v>190.6</v>
      </c>
      <c r="K561">
        <v>571.20000000000005</v>
      </c>
      <c r="L561">
        <v>3903000</v>
      </c>
      <c r="M561" t="b">
        <v>0</v>
      </c>
      <c r="N561" t="b">
        <v>0</v>
      </c>
      <c r="O561">
        <v>5000</v>
      </c>
      <c r="P561" t="b">
        <v>0</v>
      </c>
      <c r="Q561" t="b">
        <v>0</v>
      </c>
      <c r="R561" t="b">
        <v>0</v>
      </c>
      <c r="S561" t="s">
        <v>96</v>
      </c>
      <c r="T561" t="s">
        <v>1634</v>
      </c>
      <c r="U561">
        <v>11.423999999999999</v>
      </c>
      <c r="V561">
        <v>0</v>
      </c>
      <c r="W561">
        <v>0</v>
      </c>
      <c r="X561">
        <v>1</v>
      </c>
      <c r="Y561" s="6">
        <v>46174</v>
      </c>
    </row>
    <row r="562" spans="1:26" x14ac:dyDescent="0.3">
      <c r="A562" t="s">
        <v>667</v>
      </c>
      <c r="B562" s="5">
        <v>46198</v>
      </c>
      <c r="C562" s="5">
        <v>46199</v>
      </c>
      <c r="D562" s="5">
        <v>46202</v>
      </c>
      <c r="E562" s="5">
        <v>46202</v>
      </c>
      <c r="F562" t="s">
        <v>34</v>
      </c>
      <c r="G562" t="s">
        <v>53</v>
      </c>
      <c r="H562" t="s">
        <v>23</v>
      </c>
      <c r="I562" t="s">
        <v>45</v>
      </c>
      <c r="J562">
        <v>306.89999999999998</v>
      </c>
      <c r="K562">
        <v>788.1</v>
      </c>
      <c r="L562">
        <v>3729000</v>
      </c>
      <c r="M562" t="b">
        <v>0</v>
      </c>
      <c r="N562" t="b">
        <v>0</v>
      </c>
      <c r="O562">
        <v>1000</v>
      </c>
      <c r="P562" t="b">
        <v>0</v>
      </c>
      <c r="Q562" t="b">
        <v>0</v>
      </c>
      <c r="R562" t="b">
        <v>0</v>
      </c>
      <c r="S562" t="s">
        <v>96</v>
      </c>
      <c r="T562" t="s">
        <v>1636</v>
      </c>
      <c r="U562">
        <v>78.81</v>
      </c>
      <c r="V562">
        <v>0</v>
      </c>
      <c r="W562">
        <v>0</v>
      </c>
      <c r="X562">
        <v>3</v>
      </c>
      <c r="Y562" s="6">
        <v>46174</v>
      </c>
    </row>
    <row r="563" spans="1:26" x14ac:dyDescent="0.3">
      <c r="A563" t="s">
        <v>668</v>
      </c>
      <c r="B563" s="5">
        <v>46085</v>
      </c>
      <c r="C563" s="5">
        <v>46086</v>
      </c>
      <c r="D563" s="5">
        <v>46088</v>
      </c>
      <c r="E563" s="5">
        <v>46088</v>
      </c>
      <c r="F563" t="s">
        <v>34</v>
      </c>
      <c r="G563" t="s">
        <v>58</v>
      </c>
      <c r="H563" t="s">
        <v>22</v>
      </c>
      <c r="I563" t="s">
        <v>43</v>
      </c>
      <c r="J563">
        <v>143.6</v>
      </c>
      <c r="K563">
        <v>1623.9</v>
      </c>
      <c r="L563">
        <v>2725000</v>
      </c>
      <c r="M563" t="b">
        <v>0</v>
      </c>
      <c r="N563" t="b">
        <v>0</v>
      </c>
      <c r="O563">
        <v>5000</v>
      </c>
      <c r="P563" t="b">
        <v>0</v>
      </c>
      <c r="Q563" t="b">
        <v>0</v>
      </c>
      <c r="R563" t="b">
        <v>0</v>
      </c>
      <c r="S563" t="s">
        <v>96</v>
      </c>
      <c r="T563" t="s">
        <v>1637</v>
      </c>
      <c r="U563">
        <v>32.478000000000002</v>
      </c>
      <c r="V563">
        <v>0</v>
      </c>
      <c r="W563">
        <v>0</v>
      </c>
      <c r="X563">
        <v>2</v>
      </c>
      <c r="Y563" s="6">
        <v>46082</v>
      </c>
    </row>
    <row r="564" spans="1:26" x14ac:dyDescent="0.3">
      <c r="A564" t="s">
        <v>669</v>
      </c>
      <c r="B564" s="5">
        <v>46146</v>
      </c>
      <c r="C564" s="5">
        <v>46146</v>
      </c>
      <c r="D564" s="5">
        <v>46150</v>
      </c>
      <c r="E564" s="5">
        <v>46150</v>
      </c>
      <c r="F564" t="s">
        <v>32</v>
      </c>
      <c r="G564" t="s">
        <v>56</v>
      </c>
      <c r="H564" t="s">
        <v>22</v>
      </c>
      <c r="I564" t="s">
        <v>43</v>
      </c>
      <c r="J564">
        <v>1059</v>
      </c>
      <c r="K564">
        <v>3953.3</v>
      </c>
      <c r="L564">
        <v>16076000</v>
      </c>
      <c r="M564" t="b">
        <v>0</v>
      </c>
      <c r="N564" t="b">
        <v>0</v>
      </c>
      <c r="O564">
        <v>5000</v>
      </c>
      <c r="P564" t="b">
        <v>0</v>
      </c>
      <c r="Q564" t="b">
        <v>0</v>
      </c>
      <c r="R564" t="b">
        <v>0</v>
      </c>
      <c r="S564" t="s">
        <v>96</v>
      </c>
      <c r="T564" t="s">
        <v>1658</v>
      </c>
      <c r="U564">
        <v>79.066000000000003</v>
      </c>
      <c r="V564">
        <v>0</v>
      </c>
      <c r="W564">
        <v>0</v>
      </c>
      <c r="X564">
        <v>4</v>
      </c>
      <c r="Y564" s="6">
        <v>46143</v>
      </c>
    </row>
    <row r="565" spans="1:26" x14ac:dyDescent="0.3">
      <c r="A565" t="s">
        <v>670</v>
      </c>
      <c r="B565" s="5">
        <v>46138</v>
      </c>
      <c r="C565" s="5">
        <v>46138</v>
      </c>
      <c r="D565" s="5">
        <v>46142</v>
      </c>
      <c r="E565" s="5">
        <v>46142</v>
      </c>
      <c r="F565" t="s">
        <v>33</v>
      </c>
      <c r="G565" t="s">
        <v>55</v>
      </c>
      <c r="H565" t="s">
        <v>21</v>
      </c>
      <c r="I565" t="s">
        <v>43</v>
      </c>
      <c r="J565">
        <v>607.6</v>
      </c>
      <c r="K565">
        <v>1129</v>
      </c>
      <c r="L565">
        <v>9480000</v>
      </c>
      <c r="M565" t="b">
        <v>0</v>
      </c>
      <c r="N565" t="b">
        <v>0</v>
      </c>
      <c r="O565">
        <v>5000</v>
      </c>
      <c r="P565" t="b">
        <v>0</v>
      </c>
      <c r="Q565" t="b">
        <v>0</v>
      </c>
      <c r="R565" t="b">
        <v>0</v>
      </c>
      <c r="S565" t="s">
        <v>96</v>
      </c>
      <c r="T565" t="s">
        <v>1626</v>
      </c>
      <c r="U565">
        <v>22.58</v>
      </c>
      <c r="V565">
        <v>0</v>
      </c>
      <c r="W565">
        <v>0</v>
      </c>
      <c r="X565">
        <v>4</v>
      </c>
      <c r="Y565" s="6">
        <v>46113</v>
      </c>
    </row>
    <row r="566" spans="1:26" x14ac:dyDescent="0.3">
      <c r="A566" t="s">
        <v>671</v>
      </c>
      <c r="B566" s="5">
        <v>46023</v>
      </c>
      <c r="C566" s="5">
        <v>46024</v>
      </c>
      <c r="D566" s="5">
        <v>46027</v>
      </c>
      <c r="E566" s="5">
        <v>46027</v>
      </c>
      <c r="F566" t="s">
        <v>32</v>
      </c>
      <c r="G566" t="s">
        <v>63</v>
      </c>
      <c r="H566" t="s">
        <v>24</v>
      </c>
      <c r="I566" t="s">
        <v>42</v>
      </c>
      <c r="J566">
        <v>190.3</v>
      </c>
      <c r="K566">
        <v>3225.5</v>
      </c>
      <c r="L566">
        <v>6061000</v>
      </c>
      <c r="M566" t="b">
        <v>0</v>
      </c>
      <c r="N566" t="b">
        <v>0</v>
      </c>
      <c r="O566">
        <v>16000</v>
      </c>
      <c r="P566" t="b">
        <v>0</v>
      </c>
      <c r="Q566" t="b">
        <v>0</v>
      </c>
      <c r="R566" t="b">
        <v>0</v>
      </c>
      <c r="S566" t="s">
        <v>96</v>
      </c>
      <c r="T566" t="s">
        <v>1634</v>
      </c>
      <c r="U566">
        <v>20.159375000000001</v>
      </c>
      <c r="V566">
        <v>0</v>
      </c>
      <c r="W566">
        <v>0</v>
      </c>
      <c r="X566">
        <v>3</v>
      </c>
      <c r="Y566" s="6">
        <v>46023</v>
      </c>
    </row>
    <row r="567" spans="1:26" x14ac:dyDescent="0.3">
      <c r="A567" t="s">
        <v>672</v>
      </c>
      <c r="B567" s="5">
        <v>46044</v>
      </c>
      <c r="C567" s="5">
        <v>46046</v>
      </c>
      <c r="D567" s="5">
        <v>46050</v>
      </c>
      <c r="E567" s="5">
        <v>46050</v>
      </c>
      <c r="F567" t="s">
        <v>33</v>
      </c>
      <c r="G567" t="s">
        <v>55</v>
      </c>
      <c r="H567" t="s">
        <v>21</v>
      </c>
      <c r="I567" t="s">
        <v>43</v>
      </c>
      <c r="J567">
        <v>627.70000000000005</v>
      </c>
      <c r="K567">
        <v>3302.9</v>
      </c>
      <c r="L567">
        <v>9956000</v>
      </c>
      <c r="M567" t="b">
        <v>0</v>
      </c>
      <c r="N567" t="b">
        <v>0</v>
      </c>
      <c r="O567">
        <v>5000</v>
      </c>
      <c r="P567" t="b">
        <v>0</v>
      </c>
      <c r="Q567" t="b">
        <v>0</v>
      </c>
      <c r="R567" t="b">
        <v>0</v>
      </c>
      <c r="S567" t="s">
        <v>96</v>
      </c>
      <c r="T567" t="s">
        <v>1626</v>
      </c>
      <c r="U567">
        <v>66.058000000000007</v>
      </c>
      <c r="V567">
        <v>0</v>
      </c>
      <c r="W567">
        <v>0</v>
      </c>
      <c r="X567">
        <v>4</v>
      </c>
      <c r="Y567" s="6">
        <v>46023</v>
      </c>
    </row>
    <row r="568" spans="1:26" x14ac:dyDescent="0.3">
      <c r="A568" t="s">
        <v>673</v>
      </c>
      <c r="B568" s="5">
        <v>46166</v>
      </c>
      <c r="C568" s="5">
        <v>46168</v>
      </c>
      <c r="D568" s="5">
        <v>46169</v>
      </c>
      <c r="E568" s="5">
        <v>46169</v>
      </c>
      <c r="F568" t="s">
        <v>34</v>
      </c>
      <c r="G568" t="s">
        <v>61</v>
      </c>
      <c r="H568" t="s">
        <v>23</v>
      </c>
      <c r="I568" t="s">
        <v>45</v>
      </c>
      <c r="J568">
        <v>23.5</v>
      </c>
      <c r="K568">
        <v>481.8</v>
      </c>
      <c r="L568">
        <v>734000</v>
      </c>
      <c r="M568" t="b">
        <v>0</v>
      </c>
      <c r="N568" t="b">
        <v>0</v>
      </c>
      <c r="O568">
        <v>1000</v>
      </c>
      <c r="P568" t="b">
        <v>0</v>
      </c>
      <c r="Q568" t="b">
        <v>0</v>
      </c>
      <c r="R568" t="b">
        <v>0</v>
      </c>
      <c r="S568" t="s">
        <v>96</v>
      </c>
      <c r="T568" t="s">
        <v>1638</v>
      </c>
      <c r="U568">
        <v>48.18</v>
      </c>
      <c r="V568">
        <v>0</v>
      </c>
      <c r="W568">
        <v>0</v>
      </c>
      <c r="X568">
        <v>1</v>
      </c>
      <c r="Y568" s="6">
        <v>46143</v>
      </c>
    </row>
    <row r="569" spans="1:26" x14ac:dyDescent="0.3">
      <c r="A569" t="s">
        <v>674</v>
      </c>
      <c r="B569" s="5">
        <v>46102</v>
      </c>
      <c r="C569" s="5">
        <v>46104</v>
      </c>
      <c r="D569" s="5">
        <v>46108</v>
      </c>
      <c r="E569" s="5">
        <v>46109</v>
      </c>
      <c r="F569" t="s">
        <v>33</v>
      </c>
      <c r="G569" t="s">
        <v>54</v>
      </c>
      <c r="H569" t="s">
        <v>23</v>
      </c>
      <c r="I569" t="s">
        <v>44</v>
      </c>
      <c r="J569">
        <v>973.3</v>
      </c>
      <c r="K569">
        <v>1371</v>
      </c>
      <c r="L569">
        <v>10878000</v>
      </c>
      <c r="M569" t="b">
        <v>0</v>
      </c>
      <c r="N569" t="b">
        <v>0</v>
      </c>
      <c r="O569">
        <v>1500</v>
      </c>
      <c r="P569" t="b">
        <v>0</v>
      </c>
      <c r="Q569" t="b">
        <v>0</v>
      </c>
      <c r="R569" t="b">
        <v>0</v>
      </c>
      <c r="S569" t="s">
        <v>101</v>
      </c>
      <c r="T569" t="s">
        <v>1642</v>
      </c>
      <c r="U569">
        <v>91.4</v>
      </c>
      <c r="V569">
        <v>0</v>
      </c>
      <c r="W569">
        <v>0</v>
      </c>
      <c r="X569">
        <v>5</v>
      </c>
      <c r="Y569" s="6">
        <v>46082</v>
      </c>
      <c r="Z569">
        <v>1</v>
      </c>
    </row>
    <row r="570" spans="1:26" x14ac:dyDescent="0.3">
      <c r="A570" t="s">
        <v>675</v>
      </c>
      <c r="B570" s="5">
        <v>46177</v>
      </c>
      <c r="C570" s="5">
        <v>46178</v>
      </c>
      <c r="D570" s="5">
        <v>46181</v>
      </c>
      <c r="E570" s="5">
        <v>46181</v>
      </c>
      <c r="F570" t="s">
        <v>34</v>
      </c>
      <c r="G570" t="s">
        <v>59</v>
      </c>
      <c r="H570" t="s">
        <v>21</v>
      </c>
      <c r="I570" t="s">
        <v>45</v>
      </c>
      <c r="J570">
        <v>175.8</v>
      </c>
      <c r="K570">
        <v>728.3</v>
      </c>
      <c r="L570">
        <v>2097000</v>
      </c>
      <c r="M570" t="b">
        <v>0</v>
      </c>
      <c r="N570" t="b">
        <v>0</v>
      </c>
      <c r="O570">
        <v>1000</v>
      </c>
      <c r="P570" t="b">
        <v>0</v>
      </c>
      <c r="Q570" t="b">
        <v>0</v>
      </c>
      <c r="R570" t="b">
        <v>0</v>
      </c>
      <c r="S570" t="s">
        <v>96</v>
      </c>
      <c r="T570" t="s">
        <v>1616</v>
      </c>
      <c r="U570">
        <v>72.83</v>
      </c>
      <c r="V570">
        <v>0</v>
      </c>
      <c r="W570">
        <v>0</v>
      </c>
      <c r="X570">
        <v>3</v>
      </c>
      <c r="Y570" s="6">
        <v>46174</v>
      </c>
    </row>
    <row r="571" spans="1:26" x14ac:dyDescent="0.3">
      <c r="A571" t="s">
        <v>676</v>
      </c>
      <c r="B571" s="5">
        <v>46175</v>
      </c>
      <c r="C571" s="5">
        <v>46176</v>
      </c>
      <c r="D571" s="5">
        <v>46178</v>
      </c>
      <c r="E571" s="5">
        <v>46178</v>
      </c>
      <c r="F571" t="s">
        <v>32</v>
      </c>
      <c r="G571" t="s">
        <v>58</v>
      </c>
      <c r="H571" t="s">
        <v>23</v>
      </c>
      <c r="I571" t="s">
        <v>43</v>
      </c>
      <c r="J571">
        <v>290.5</v>
      </c>
      <c r="K571">
        <v>3783.1</v>
      </c>
      <c r="L571">
        <v>5632000</v>
      </c>
      <c r="M571" t="b">
        <v>0</v>
      </c>
      <c r="N571" t="b">
        <v>0</v>
      </c>
      <c r="O571">
        <v>5000</v>
      </c>
      <c r="P571" t="b">
        <v>0</v>
      </c>
      <c r="Q571" t="b">
        <v>0</v>
      </c>
      <c r="R571" t="b">
        <v>0</v>
      </c>
      <c r="S571" t="s">
        <v>96</v>
      </c>
      <c r="T571" t="s">
        <v>1656</v>
      </c>
      <c r="U571">
        <v>75.661999999999992</v>
      </c>
      <c r="V571">
        <v>0</v>
      </c>
      <c r="W571">
        <v>0</v>
      </c>
      <c r="X571">
        <v>2</v>
      </c>
      <c r="Y571" s="6">
        <v>46174</v>
      </c>
    </row>
    <row r="572" spans="1:26" x14ac:dyDescent="0.3">
      <c r="A572" t="s">
        <v>677</v>
      </c>
      <c r="B572" s="5">
        <v>46153</v>
      </c>
      <c r="C572" s="5">
        <v>46154</v>
      </c>
      <c r="D572" s="5">
        <v>46155</v>
      </c>
      <c r="E572" s="5">
        <v>46157</v>
      </c>
      <c r="F572" t="s">
        <v>31</v>
      </c>
      <c r="G572" t="s">
        <v>55</v>
      </c>
      <c r="H572" t="s">
        <v>22</v>
      </c>
      <c r="I572" t="s">
        <v>43</v>
      </c>
      <c r="J572">
        <v>22.9</v>
      </c>
      <c r="K572">
        <v>3155.8</v>
      </c>
      <c r="L572">
        <v>2567000</v>
      </c>
      <c r="M572" t="b">
        <v>0</v>
      </c>
      <c r="N572" t="b">
        <v>0</v>
      </c>
      <c r="O572">
        <v>5000</v>
      </c>
      <c r="P572" t="b">
        <v>0</v>
      </c>
      <c r="Q572" t="b">
        <v>0</v>
      </c>
      <c r="R572" t="b">
        <v>0</v>
      </c>
      <c r="S572" t="s">
        <v>101</v>
      </c>
      <c r="T572" t="s">
        <v>1629</v>
      </c>
      <c r="U572">
        <v>63.116000000000007</v>
      </c>
      <c r="V572">
        <v>0</v>
      </c>
      <c r="W572">
        <v>0</v>
      </c>
      <c r="X572">
        <v>3</v>
      </c>
      <c r="Y572" s="6">
        <v>46143</v>
      </c>
      <c r="Z572">
        <v>2</v>
      </c>
    </row>
    <row r="573" spans="1:26" x14ac:dyDescent="0.3">
      <c r="A573" t="s">
        <v>678</v>
      </c>
      <c r="B573" s="5">
        <v>46062</v>
      </c>
      <c r="C573" s="5">
        <v>46063</v>
      </c>
      <c r="D573" s="5">
        <v>46064</v>
      </c>
      <c r="E573" s="5">
        <v>46064</v>
      </c>
      <c r="F573" t="s">
        <v>32</v>
      </c>
      <c r="G573" t="s">
        <v>57</v>
      </c>
      <c r="H573" t="s">
        <v>22</v>
      </c>
      <c r="I573" t="s">
        <v>43</v>
      </c>
      <c r="J573">
        <v>23.2</v>
      </c>
      <c r="K573">
        <v>2026.2</v>
      </c>
      <c r="L573">
        <v>2149000</v>
      </c>
      <c r="M573" t="b">
        <v>0</v>
      </c>
      <c r="N573" t="b">
        <v>0</v>
      </c>
      <c r="O573">
        <v>5000</v>
      </c>
      <c r="P573" t="b">
        <v>0</v>
      </c>
      <c r="Q573" t="b">
        <v>0</v>
      </c>
      <c r="R573" t="b">
        <v>0</v>
      </c>
      <c r="S573" t="s">
        <v>96</v>
      </c>
      <c r="T573" t="s">
        <v>1630</v>
      </c>
      <c r="U573">
        <v>40.524000000000001</v>
      </c>
      <c r="V573">
        <v>0</v>
      </c>
      <c r="W573">
        <v>0</v>
      </c>
      <c r="X573">
        <v>1</v>
      </c>
      <c r="Y573" s="6">
        <v>46054</v>
      </c>
    </row>
    <row r="574" spans="1:26" x14ac:dyDescent="0.3">
      <c r="A574" t="s">
        <v>679</v>
      </c>
      <c r="B574" s="5">
        <v>46025</v>
      </c>
      <c r="C574" s="5">
        <v>46027</v>
      </c>
      <c r="D574" s="5">
        <v>46031</v>
      </c>
      <c r="E574" s="5">
        <v>46031</v>
      </c>
      <c r="F574" t="s">
        <v>31</v>
      </c>
      <c r="G574" t="s">
        <v>56</v>
      </c>
      <c r="H574" t="s">
        <v>23</v>
      </c>
      <c r="I574" t="s">
        <v>43</v>
      </c>
      <c r="J574">
        <v>984.2</v>
      </c>
      <c r="K574">
        <v>4100</v>
      </c>
      <c r="L574">
        <v>14314000</v>
      </c>
      <c r="M574" t="b">
        <v>0</v>
      </c>
      <c r="N574" t="b">
        <v>0</v>
      </c>
      <c r="O574">
        <v>5000</v>
      </c>
      <c r="P574" t="b">
        <v>0</v>
      </c>
      <c r="Q574" t="b">
        <v>0</v>
      </c>
      <c r="R574" t="b">
        <v>0</v>
      </c>
      <c r="S574" t="s">
        <v>96</v>
      </c>
      <c r="T574" t="s">
        <v>1614</v>
      </c>
      <c r="U574">
        <v>82</v>
      </c>
      <c r="V574">
        <v>0</v>
      </c>
      <c r="W574">
        <v>0</v>
      </c>
      <c r="X574">
        <v>4</v>
      </c>
      <c r="Y574" s="6">
        <v>46023</v>
      </c>
    </row>
    <row r="575" spans="1:26" x14ac:dyDescent="0.3">
      <c r="A575" t="s">
        <v>680</v>
      </c>
      <c r="B575" s="5">
        <v>46064</v>
      </c>
      <c r="C575" s="5">
        <v>46065</v>
      </c>
      <c r="D575" s="5">
        <v>46068</v>
      </c>
      <c r="E575" s="5">
        <v>46068</v>
      </c>
      <c r="F575" t="s">
        <v>32</v>
      </c>
      <c r="G575" t="s">
        <v>59</v>
      </c>
      <c r="H575" t="s">
        <v>23</v>
      </c>
      <c r="I575" t="s">
        <v>43</v>
      </c>
      <c r="J575">
        <v>176.9</v>
      </c>
      <c r="K575">
        <v>1140.7</v>
      </c>
      <c r="L575">
        <v>3279000</v>
      </c>
      <c r="M575" t="b">
        <v>0</v>
      </c>
      <c r="N575" t="b">
        <v>0</v>
      </c>
      <c r="O575">
        <v>5000</v>
      </c>
      <c r="P575" t="b">
        <v>0</v>
      </c>
      <c r="Q575" t="b">
        <v>0</v>
      </c>
      <c r="R575" t="b">
        <v>0</v>
      </c>
      <c r="S575" t="s">
        <v>96</v>
      </c>
      <c r="T575" t="s">
        <v>1619</v>
      </c>
      <c r="U575">
        <v>22.814</v>
      </c>
      <c r="V575">
        <v>0</v>
      </c>
      <c r="W575">
        <v>0</v>
      </c>
      <c r="X575">
        <v>3</v>
      </c>
      <c r="Y575" s="6">
        <v>46054</v>
      </c>
    </row>
    <row r="576" spans="1:26" x14ac:dyDescent="0.3">
      <c r="A576" t="s">
        <v>681</v>
      </c>
      <c r="B576" s="5">
        <v>46026</v>
      </c>
      <c r="C576" s="5">
        <v>46027</v>
      </c>
      <c r="D576" s="5">
        <v>46030</v>
      </c>
      <c r="E576" s="5">
        <v>46030</v>
      </c>
      <c r="F576" t="s">
        <v>31</v>
      </c>
      <c r="G576" t="s">
        <v>59</v>
      </c>
      <c r="H576" t="s">
        <v>23</v>
      </c>
      <c r="I576" t="s">
        <v>44</v>
      </c>
      <c r="J576">
        <v>305.60000000000002</v>
      </c>
      <c r="K576">
        <v>714.4</v>
      </c>
      <c r="L576">
        <v>4072000</v>
      </c>
      <c r="M576" t="b">
        <v>0</v>
      </c>
      <c r="N576" t="b">
        <v>0</v>
      </c>
      <c r="O576">
        <v>1500</v>
      </c>
      <c r="P576" t="b">
        <v>0</v>
      </c>
      <c r="Q576" t="b">
        <v>0</v>
      </c>
      <c r="R576" t="b">
        <v>0</v>
      </c>
      <c r="S576" t="s">
        <v>96</v>
      </c>
      <c r="T576" t="s">
        <v>1628</v>
      </c>
      <c r="U576">
        <v>47.626666666666672</v>
      </c>
      <c r="V576">
        <v>0</v>
      </c>
      <c r="W576">
        <v>0</v>
      </c>
      <c r="X576">
        <v>3</v>
      </c>
      <c r="Y576" s="6">
        <v>46023</v>
      </c>
    </row>
    <row r="577" spans="1:26" x14ac:dyDescent="0.3">
      <c r="A577" t="s">
        <v>682</v>
      </c>
      <c r="B577" s="5">
        <v>46101</v>
      </c>
      <c r="C577" s="5">
        <v>46102</v>
      </c>
      <c r="D577" s="5">
        <v>46104</v>
      </c>
      <c r="E577" s="5">
        <v>46104</v>
      </c>
      <c r="F577" t="s">
        <v>34</v>
      </c>
      <c r="G577" t="s">
        <v>58</v>
      </c>
      <c r="H577" t="s">
        <v>20</v>
      </c>
      <c r="I577" t="s">
        <v>45</v>
      </c>
      <c r="J577">
        <v>158.1</v>
      </c>
      <c r="K577">
        <v>253.9</v>
      </c>
      <c r="L577">
        <v>1668000</v>
      </c>
      <c r="M577" t="b">
        <v>0</v>
      </c>
      <c r="N577" t="b">
        <v>0</v>
      </c>
      <c r="O577">
        <v>1000</v>
      </c>
      <c r="P577" t="b">
        <v>0</v>
      </c>
      <c r="Q577" t="b">
        <v>0</v>
      </c>
      <c r="R577" t="b">
        <v>0</v>
      </c>
      <c r="S577" t="s">
        <v>96</v>
      </c>
      <c r="T577" t="s">
        <v>1637</v>
      </c>
      <c r="U577">
        <v>25.39</v>
      </c>
      <c r="V577">
        <v>0</v>
      </c>
      <c r="W577">
        <v>0</v>
      </c>
      <c r="X577">
        <v>2</v>
      </c>
      <c r="Y577" s="6">
        <v>46082</v>
      </c>
    </row>
    <row r="578" spans="1:26" x14ac:dyDescent="0.3">
      <c r="A578" t="s">
        <v>683</v>
      </c>
      <c r="B578" s="5">
        <v>46155</v>
      </c>
      <c r="C578" s="5">
        <v>46156</v>
      </c>
      <c r="D578" s="5">
        <v>46160</v>
      </c>
      <c r="E578" s="5">
        <v>46160</v>
      </c>
      <c r="F578" t="s">
        <v>34</v>
      </c>
      <c r="G578" t="s">
        <v>56</v>
      </c>
      <c r="H578" t="s">
        <v>22</v>
      </c>
      <c r="I578" t="s">
        <v>42</v>
      </c>
      <c r="J578">
        <v>957.6</v>
      </c>
      <c r="K578">
        <v>5468.6</v>
      </c>
      <c r="L578">
        <v>19841000</v>
      </c>
      <c r="M578" t="b">
        <v>0</v>
      </c>
      <c r="N578" t="b">
        <v>0</v>
      </c>
      <c r="O578">
        <v>16000</v>
      </c>
      <c r="P578" t="b">
        <v>0</v>
      </c>
      <c r="Q578" t="b">
        <v>0</v>
      </c>
      <c r="R578" t="b">
        <v>0</v>
      </c>
      <c r="S578" t="s">
        <v>96</v>
      </c>
      <c r="T578" t="s">
        <v>1646</v>
      </c>
      <c r="U578">
        <v>34.178750000000001</v>
      </c>
      <c r="V578">
        <v>0</v>
      </c>
      <c r="W578">
        <v>0</v>
      </c>
      <c r="X578">
        <v>4</v>
      </c>
      <c r="Y578" s="6">
        <v>46143</v>
      </c>
    </row>
    <row r="579" spans="1:26" x14ac:dyDescent="0.3">
      <c r="A579" t="s">
        <v>684</v>
      </c>
      <c r="B579" s="5">
        <v>46195</v>
      </c>
      <c r="C579" s="5">
        <v>46197</v>
      </c>
      <c r="D579" s="5">
        <v>46201</v>
      </c>
      <c r="E579" s="5">
        <v>46201</v>
      </c>
      <c r="F579" t="s">
        <v>34</v>
      </c>
      <c r="G579" t="s">
        <v>60</v>
      </c>
      <c r="H579" t="s">
        <v>21</v>
      </c>
      <c r="I579" t="s">
        <v>45</v>
      </c>
      <c r="J579">
        <v>624</v>
      </c>
      <c r="K579">
        <v>330.2</v>
      </c>
      <c r="L579">
        <v>5552000</v>
      </c>
      <c r="M579" t="b">
        <v>0</v>
      </c>
      <c r="N579" t="b">
        <v>0</v>
      </c>
      <c r="O579">
        <v>1000</v>
      </c>
      <c r="P579" t="b">
        <v>0</v>
      </c>
      <c r="Q579" t="b">
        <v>0</v>
      </c>
      <c r="R579" t="b">
        <v>0</v>
      </c>
      <c r="S579" t="s">
        <v>96</v>
      </c>
      <c r="T579" t="s">
        <v>1644</v>
      </c>
      <c r="U579">
        <v>33.020000000000003</v>
      </c>
      <c r="V579">
        <v>0</v>
      </c>
      <c r="W579">
        <v>0</v>
      </c>
      <c r="X579">
        <v>4</v>
      </c>
      <c r="Y579" s="6">
        <v>46174</v>
      </c>
    </row>
    <row r="580" spans="1:26" x14ac:dyDescent="0.3">
      <c r="A580" t="s">
        <v>685</v>
      </c>
      <c r="B580" s="5">
        <v>46199</v>
      </c>
      <c r="C580" s="5">
        <v>46199</v>
      </c>
      <c r="D580" s="5">
        <v>46201</v>
      </c>
      <c r="E580" s="5">
        <v>46202</v>
      </c>
      <c r="F580" t="s">
        <v>32</v>
      </c>
      <c r="G580" t="s">
        <v>53</v>
      </c>
      <c r="H580" t="s">
        <v>24</v>
      </c>
      <c r="I580" t="s">
        <v>43</v>
      </c>
      <c r="J580">
        <v>251.7</v>
      </c>
      <c r="K580">
        <v>1266.3</v>
      </c>
      <c r="L580">
        <v>4320000</v>
      </c>
      <c r="M580" t="b">
        <v>0</v>
      </c>
      <c r="N580" t="b">
        <v>0</v>
      </c>
      <c r="O580">
        <v>5000</v>
      </c>
      <c r="P580" t="b">
        <v>0</v>
      </c>
      <c r="Q580" t="b">
        <v>0</v>
      </c>
      <c r="R580" t="b">
        <v>0</v>
      </c>
      <c r="S580" t="s">
        <v>101</v>
      </c>
      <c r="T580" t="s">
        <v>1612</v>
      </c>
      <c r="U580">
        <v>25.326000000000001</v>
      </c>
      <c r="V580">
        <v>0</v>
      </c>
      <c r="W580">
        <v>0</v>
      </c>
      <c r="X580">
        <v>3</v>
      </c>
      <c r="Y580" s="6">
        <v>46174</v>
      </c>
      <c r="Z580">
        <v>1</v>
      </c>
    </row>
    <row r="581" spans="1:26" x14ac:dyDescent="0.3">
      <c r="A581" t="s">
        <v>686</v>
      </c>
      <c r="B581" s="5">
        <v>46031</v>
      </c>
      <c r="C581" s="5">
        <v>46032</v>
      </c>
      <c r="D581" s="5">
        <v>46033</v>
      </c>
      <c r="E581" s="5">
        <v>46033</v>
      </c>
      <c r="F581" t="s">
        <v>34</v>
      </c>
      <c r="G581" t="s">
        <v>61</v>
      </c>
      <c r="H581" t="s">
        <v>20</v>
      </c>
      <c r="I581" t="s">
        <v>44</v>
      </c>
      <c r="J581">
        <v>31.7</v>
      </c>
      <c r="K581">
        <v>828.3</v>
      </c>
      <c r="L581">
        <v>1314000</v>
      </c>
      <c r="M581" t="b">
        <v>0</v>
      </c>
      <c r="N581" t="b">
        <v>0</v>
      </c>
      <c r="O581">
        <v>1500</v>
      </c>
      <c r="P581" t="b">
        <v>0</v>
      </c>
      <c r="Q581" t="b">
        <v>0</v>
      </c>
      <c r="R581" t="b">
        <v>0</v>
      </c>
      <c r="S581" t="s">
        <v>96</v>
      </c>
      <c r="T581" t="s">
        <v>1638</v>
      </c>
      <c r="U581">
        <v>55.22</v>
      </c>
      <c r="V581">
        <v>0</v>
      </c>
      <c r="W581">
        <v>0</v>
      </c>
      <c r="X581">
        <v>1</v>
      </c>
      <c r="Y581" s="6">
        <v>46023</v>
      </c>
    </row>
    <row r="582" spans="1:26" x14ac:dyDescent="0.3">
      <c r="A582" t="s">
        <v>687</v>
      </c>
      <c r="B582" s="5">
        <v>46031</v>
      </c>
      <c r="C582" s="5">
        <v>46032</v>
      </c>
      <c r="D582" s="5">
        <v>46035</v>
      </c>
      <c r="E582" s="5">
        <v>46036</v>
      </c>
      <c r="F582" t="s">
        <v>34</v>
      </c>
      <c r="G582" t="s">
        <v>63</v>
      </c>
      <c r="H582" t="s">
        <v>24</v>
      </c>
      <c r="I582" t="s">
        <v>45</v>
      </c>
      <c r="J582">
        <v>326.3</v>
      </c>
      <c r="K582">
        <v>108.1</v>
      </c>
      <c r="L582">
        <v>3590000</v>
      </c>
      <c r="M582" t="b">
        <v>0</v>
      </c>
      <c r="N582" t="b">
        <v>0</v>
      </c>
      <c r="O582">
        <v>1000</v>
      </c>
      <c r="P582" t="b">
        <v>0</v>
      </c>
      <c r="Q582" t="b">
        <v>0</v>
      </c>
      <c r="R582" t="b">
        <v>0</v>
      </c>
      <c r="S582" t="s">
        <v>101</v>
      </c>
      <c r="T582" t="s">
        <v>1613</v>
      </c>
      <c r="U582">
        <v>10.81</v>
      </c>
      <c r="V582">
        <v>0</v>
      </c>
      <c r="W582">
        <v>0</v>
      </c>
      <c r="X582">
        <v>4</v>
      </c>
      <c r="Y582" s="6">
        <v>46023</v>
      </c>
      <c r="Z582">
        <v>1</v>
      </c>
    </row>
    <row r="583" spans="1:26" x14ac:dyDescent="0.3">
      <c r="A583" t="s">
        <v>688</v>
      </c>
      <c r="B583" s="5">
        <v>46180</v>
      </c>
      <c r="C583" s="5">
        <v>46181</v>
      </c>
      <c r="D583" s="5">
        <v>46183</v>
      </c>
      <c r="E583" s="5">
        <v>46184</v>
      </c>
      <c r="F583" t="s">
        <v>34</v>
      </c>
      <c r="G583" t="s">
        <v>52</v>
      </c>
      <c r="H583" t="s">
        <v>23</v>
      </c>
      <c r="I583" t="s">
        <v>42</v>
      </c>
      <c r="J583">
        <v>262</v>
      </c>
      <c r="K583">
        <v>8837.5</v>
      </c>
      <c r="L583">
        <v>8127000</v>
      </c>
      <c r="M583" t="b">
        <v>0</v>
      </c>
      <c r="N583" t="b">
        <v>0</v>
      </c>
      <c r="O583">
        <v>16000</v>
      </c>
      <c r="P583" t="b">
        <v>0</v>
      </c>
      <c r="Q583" t="b">
        <v>0</v>
      </c>
      <c r="R583" t="b">
        <v>0</v>
      </c>
      <c r="S583" t="s">
        <v>101</v>
      </c>
      <c r="T583" t="s">
        <v>1623</v>
      </c>
      <c r="U583">
        <v>55.234375</v>
      </c>
      <c r="V583">
        <v>0</v>
      </c>
      <c r="W583">
        <v>0</v>
      </c>
      <c r="X583">
        <v>3</v>
      </c>
      <c r="Y583" s="6">
        <v>46174</v>
      </c>
      <c r="Z583">
        <v>1</v>
      </c>
    </row>
    <row r="584" spans="1:26" x14ac:dyDescent="0.3">
      <c r="A584" t="s">
        <v>689</v>
      </c>
      <c r="B584" s="5">
        <v>46025</v>
      </c>
      <c r="C584" s="5">
        <v>46026</v>
      </c>
      <c r="D584" s="5">
        <v>46029</v>
      </c>
      <c r="E584" s="5">
        <v>46030</v>
      </c>
      <c r="F584" t="s">
        <v>33</v>
      </c>
      <c r="G584" t="s">
        <v>63</v>
      </c>
      <c r="H584" t="s">
        <v>20</v>
      </c>
      <c r="I584" t="s">
        <v>44</v>
      </c>
      <c r="J584">
        <v>319</v>
      </c>
      <c r="K584">
        <v>1232.5</v>
      </c>
      <c r="L584">
        <v>3757000</v>
      </c>
      <c r="M584" t="b">
        <v>0</v>
      </c>
      <c r="N584" t="b">
        <v>0</v>
      </c>
      <c r="O584">
        <v>1500</v>
      </c>
      <c r="P584" t="b">
        <v>0</v>
      </c>
      <c r="Q584" t="b">
        <v>0</v>
      </c>
      <c r="R584" t="b">
        <v>0</v>
      </c>
      <c r="S584" t="s">
        <v>101</v>
      </c>
      <c r="T584" t="s">
        <v>1625</v>
      </c>
      <c r="U584">
        <v>82.166666666666671</v>
      </c>
      <c r="V584">
        <v>0</v>
      </c>
      <c r="W584">
        <v>0</v>
      </c>
      <c r="X584">
        <v>4</v>
      </c>
      <c r="Y584" s="6">
        <v>46023</v>
      </c>
      <c r="Z584">
        <v>1</v>
      </c>
    </row>
    <row r="585" spans="1:26" x14ac:dyDescent="0.3">
      <c r="A585" t="s">
        <v>690</v>
      </c>
      <c r="B585" s="5">
        <v>46102</v>
      </c>
      <c r="C585" s="5">
        <v>46104</v>
      </c>
      <c r="D585" s="5">
        <v>46107</v>
      </c>
      <c r="E585" s="5">
        <v>46107</v>
      </c>
      <c r="F585" t="s">
        <v>31</v>
      </c>
      <c r="G585" t="s">
        <v>53</v>
      </c>
      <c r="H585" t="s">
        <v>20</v>
      </c>
      <c r="I585" t="s">
        <v>45</v>
      </c>
      <c r="J585">
        <v>336.8</v>
      </c>
      <c r="K585">
        <v>203</v>
      </c>
      <c r="L585">
        <v>3467000</v>
      </c>
      <c r="M585" t="b">
        <v>0</v>
      </c>
      <c r="N585" t="b">
        <v>0</v>
      </c>
      <c r="O585">
        <v>1000</v>
      </c>
      <c r="P585" t="b">
        <v>0</v>
      </c>
      <c r="Q585" t="b">
        <v>0</v>
      </c>
      <c r="R585" t="b">
        <v>0</v>
      </c>
      <c r="S585" t="s">
        <v>96</v>
      </c>
      <c r="T585" t="s">
        <v>1627</v>
      </c>
      <c r="U585">
        <v>20.3</v>
      </c>
      <c r="V585">
        <v>0</v>
      </c>
      <c r="W585">
        <v>0</v>
      </c>
      <c r="X585">
        <v>3</v>
      </c>
      <c r="Y585" s="6">
        <v>46082</v>
      </c>
    </row>
    <row r="586" spans="1:26" x14ac:dyDescent="0.3">
      <c r="A586" t="s">
        <v>691</v>
      </c>
      <c r="B586" s="5">
        <v>46163</v>
      </c>
      <c r="C586" s="5">
        <v>46164</v>
      </c>
      <c r="D586" s="5">
        <v>46166</v>
      </c>
      <c r="E586" s="5">
        <v>46166</v>
      </c>
      <c r="F586" t="s">
        <v>34</v>
      </c>
      <c r="G586" t="s">
        <v>52</v>
      </c>
      <c r="H586" t="s">
        <v>24</v>
      </c>
      <c r="I586" t="s">
        <v>43</v>
      </c>
      <c r="J586">
        <v>292.3</v>
      </c>
      <c r="K586">
        <v>1885.6</v>
      </c>
      <c r="L586">
        <v>4990000</v>
      </c>
      <c r="M586" t="b">
        <v>0</v>
      </c>
      <c r="N586" t="b">
        <v>0</v>
      </c>
      <c r="O586">
        <v>5000</v>
      </c>
      <c r="P586" t="b">
        <v>0</v>
      </c>
      <c r="Q586" t="b">
        <v>0</v>
      </c>
      <c r="R586" t="b">
        <v>0</v>
      </c>
      <c r="S586" t="s">
        <v>96</v>
      </c>
      <c r="T586" t="s">
        <v>1623</v>
      </c>
      <c r="U586">
        <v>37.712000000000003</v>
      </c>
      <c r="V586">
        <v>0</v>
      </c>
      <c r="W586">
        <v>0</v>
      </c>
      <c r="X586">
        <v>2</v>
      </c>
      <c r="Y586" s="6">
        <v>46143</v>
      </c>
    </row>
    <row r="587" spans="1:26" x14ac:dyDescent="0.3">
      <c r="A587" t="s">
        <v>692</v>
      </c>
      <c r="B587" s="5">
        <v>46130</v>
      </c>
      <c r="C587" s="5">
        <v>46131</v>
      </c>
      <c r="D587" s="5">
        <v>46133</v>
      </c>
      <c r="E587" s="5">
        <v>46134</v>
      </c>
      <c r="F587" t="s">
        <v>32</v>
      </c>
      <c r="G587" t="s">
        <v>59</v>
      </c>
      <c r="H587" t="s">
        <v>23</v>
      </c>
      <c r="I587" t="s">
        <v>43</v>
      </c>
      <c r="J587">
        <v>177.1</v>
      </c>
      <c r="K587">
        <v>4264.8999999999996</v>
      </c>
      <c r="L587">
        <v>4603000</v>
      </c>
      <c r="M587" t="b">
        <v>0</v>
      </c>
      <c r="N587" t="b">
        <v>0</v>
      </c>
      <c r="O587">
        <v>5000</v>
      </c>
      <c r="P587" t="b">
        <v>0</v>
      </c>
      <c r="Q587" t="b">
        <v>0</v>
      </c>
      <c r="R587" t="b">
        <v>0</v>
      </c>
      <c r="S587" t="s">
        <v>101</v>
      </c>
      <c r="T587" t="s">
        <v>1619</v>
      </c>
      <c r="U587">
        <v>85.298000000000002</v>
      </c>
      <c r="V587">
        <v>0</v>
      </c>
      <c r="W587">
        <v>0</v>
      </c>
      <c r="X587">
        <v>3</v>
      </c>
      <c r="Y587" s="6">
        <v>46113</v>
      </c>
      <c r="Z587">
        <v>1</v>
      </c>
    </row>
    <row r="588" spans="1:26" x14ac:dyDescent="0.3">
      <c r="A588" t="s">
        <v>693</v>
      </c>
      <c r="B588" s="5">
        <v>46042</v>
      </c>
      <c r="C588" s="5">
        <v>46043</v>
      </c>
      <c r="D588" s="5">
        <v>46045</v>
      </c>
      <c r="E588" s="5">
        <v>46044</v>
      </c>
      <c r="F588" t="s">
        <v>32</v>
      </c>
      <c r="G588" t="s">
        <v>53</v>
      </c>
      <c r="H588" t="s">
        <v>21</v>
      </c>
      <c r="I588" t="s">
        <v>42</v>
      </c>
      <c r="J588">
        <v>245.1</v>
      </c>
      <c r="K588">
        <v>6289</v>
      </c>
      <c r="L588">
        <v>6844000</v>
      </c>
      <c r="M588" t="b">
        <v>0</v>
      </c>
      <c r="N588" t="b">
        <v>0</v>
      </c>
      <c r="O588">
        <v>16000</v>
      </c>
      <c r="P588" t="b">
        <v>0</v>
      </c>
      <c r="Q588" t="b">
        <v>0</v>
      </c>
      <c r="R588" t="b">
        <v>0</v>
      </c>
      <c r="S588" t="s">
        <v>96</v>
      </c>
      <c r="T588" t="s">
        <v>1612</v>
      </c>
      <c r="U588">
        <v>39.306249999999999</v>
      </c>
      <c r="V588">
        <v>0</v>
      </c>
      <c r="W588">
        <v>0</v>
      </c>
      <c r="X588">
        <v>1</v>
      </c>
      <c r="Y588" s="6">
        <v>46023</v>
      </c>
    </row>
    <row r="589" spans="1:26" x14ac:dyDescent="0.3">
      <c r="A589" t="s">
        <v>694</v>
      </c>
      <c r="B589" s="5">
        <v>46178</v>
      </c>
      <c r="C589" s="5">
        <v>46178</v>
      </c>
      <c r="D589" s="5">
        <v>46181</v>
      </c>
      <c r="E589" s="5">
        <v>46181</v>
      </c>
      <c r="F589" t="s">
        <v>34</v>
      </c>
      <c r="G589" t="s">
        <v>59</v>
      </c>
      <c r="H589" t="s">
        <v>23</v>
      </c>
      <c r="I589" t="s">
        <v>43</v>
      </c>
      <c r="J589">
        <v>323.3</v>
      </c>
      <c r="K589">
        <v>2889.9</v>
      </c>
      <c r="L589">
        <v>5353000</v>
      </c>
      <c r="M589" t="b">
        <v>0</v>
      </c>
      <c r="N589" t="b">
        <v>0</v>
      </c>
      <c r="O589">
        <v>5000</v>
      </c>
      <c r="P589" t="b">
        <v>0</v>
      </c>
      <c r="Q589" t="b">
        <v>0</v>
      </c>
      <c r="R589" t="b">
        <v>0</v>
      </c>
      <c r="S589" t="s">
        <v>96</v>
      </c>
      <c r="T589" t="s">
        <v>1616</v>
      </c>
      <c r="U589">
        <v>57.798000000000002</v>
      </c>
      <c r="V589">
        <v>0</v>
      </c>
      <c r="W589">
        <v>0</v>
      </c>
      <c r="X589">
        <v>3</v>
      </c>
      <c r="Y589" s="6">
        <v>46174</v>
      </c>
    </row>
    <row r="590" spans="1:26" x14ac:dyDescent="0.3">
      <c r="A590" t="s">
        <v>695</v>
      </c>
      <c r="B590" s="5">
        <v>46108</v>
      </c>
      <c r="C590" s="5">
        <v>46109</v>
      </c>
      <c r="D590" s="5">
        <v>46111</v>
      </c>
      <c r="E590" s="5">
        <v>46111</v>
      </c>
      <c r="F590" t="s">
        <v>32</v>
      </c>
      <c r="G590" t="s">
        <v>63</v>
      </c>
      <c r="H590" t="s">
        <v>23</v>
      </c>
      <c r="I590" t="s">
        <v>44</v>
      </c>
      <c r="J590">
        <v>178.9</v>
      </c>
      <c r="K590">
        <v>1290.0999999999999</v>
      </c>
      <c r="L590">
        <v>3110000</v>
      </c>
      <c r="M590" t="b">
        <v>0</v>
      </c>
      <c r="N590" t="b">
        <v>0</v>
      </c>
      <c r="O590">
        <v>1500</v>
      </c>
      <c r="P590" t="b">
        <v>0</v>
      </c>
      <c r="Q590" t="b">
        <v>0</v>
      </c>
      <c r="R590" t="b">
        <v>0</v>
      </c>
      <c r="S590" t="s">
        <v>96</v>
      </c>
      <c r="T590" t="s">
        <v>1634</v>
      </c>
      <c r="U590">
        <v>86.006666666666661</v>
      </c>
      <c r="V590">
        <v>0</v>
      </c>
      <c r="W590">
        <v>0</v>
      </c>
      <c r="X590">
        <v>2</v>
      </c>
      <c r="Y590" s="6">
        <v>46082</v>
      </c>
    </row>
    <row r="591" spans="1:26" x14ac:dyDescent="0.3">
      <c r="A591" t="s">
        <v>696</v>
      </c>
      <c r="B591" s="5">
        <v>46129</v>
      </c>
      <c r="C591" s="5">
        <v>46130</v>
      </c>
      <c r="D591" s="5">
        <v>46132</v>
      </c>
      <c r="E591" s="5">
        <v>46132</v>
      </c>
      <c r="F591" t="s">
        <v>31</v>
      </c>
      <c r="G591" t="s">
        <v>63</v>
      </c>
      <c r="H591" t="s">
        <v>21</v>
      </c>
      <c r="I591" t="s">
        <v>44</v>
      </c>
      <c r="J591">
        <v>274.39999999999998</v>
      </c>
      <c r="K591">
        <v>986.9</v>
      </c>
      <c r="L591">
        <v>3444000</v>
      </c>
      <c r="M591" t="b">
        <v>0</v>
      </c>
      <c r="N591" t="b">
        <v>0</v>
      </c>
      <c r="O591">
        <v>1500</v>
      </c>
      <c r="P591" t="b">
        <v>0</v>
      </c>
      <c r="Q591" t="b">
        <v>0</v>
      </c>
      <c r="R591" t="b">
        <v>0</v>
      </c>
      <c r="S591" t="s">
        <v>96</v>
      </c>
      <c r="T591" t="s">
        <v>1640</v>
      </c>
      <c r="U591">
        <v>65.793333333333337</v>
      </c>
      <c r="V591">
        <v>0</v>
      </c>
      <c r="W591">
        <v>0</v>
      </c>
      <c r="X591">
        <v>2</v>
      </c>
      <c r="Y591" s="6">
        <v>46113</v>
      </c>
    </row>
    <row r="592" spans="1:26" x14ac:dyDescent="0.3">
      <c r="A592" t="s">
        <v>697</v>
      </c>
      <c r="B592" s="5">
        <v>46137</v>
      </c>
      <c r="C592" s="5">
        <v>46138</v>
      </c>
      <c r="D592" s="5">
        <v>46141</v>
      </c>
      <c r="E592" s="5">
        <v>46141</v>
      </c>
      <c r="F592" t="s">
        <v>34</v>
      </c>
      <c r="G592" t="s">
        <v>54</v>
      </c>
      <c r="H592" t="s">
        <v>24</v>
      </c>
      <c r="I592" t="s">
        <v>45</v>
      </c>
      <c r="J592">
        <v>424.6</v>
      </c>
      <c r="K592">
        <v>570.79999999999995</v>
      </c>
      <c r="L592">
        <v>4107000</v>
      </c>
      <c r="M592" t="b">
        <v>0</v>
      </c>
      <c r="N592" t="b">
        <v>0</v>
      </c>
      <c r="O592">
        <v>1000</v>
      </c>
      <c r="P592" t="b">
        <v>0</v>
      </c>
      <c r="Q592" t="b">
        <v>0</v>
      </c>
      <c r="R592" t="b">
        <v>0</v>
      </c>
      <c r="S592" t="s">
        <v>96</v>
      </c>
      <c r="T592" t="s">
        <v>1635</v>
      </c>
      <c r="U592">
        <v>57.08</v>
      </c>
      <c r="V592">
        <v>0</v>
      </c>
      <c r="W592">
        <v>0</v>
      </c>
      <c r="X592">
        <v>3</v>
      </c>
      <c r="Y592" s="6">
        <v>46113</v>
      </c>
    </row>
    <row r="593" spans="1:26" x14ac:dyDescent="0.3">
      <c r="A593" t="s">
        <v>698</v>
      </c>
      <c r="B593" s="5">
        <v>46058</v>
      </c>
      <c r="C593" s="5">
        <v>46059</v>
      </c>
      <c r="D593" s="5">
        <v>46063</v>
      </c>
      <c r="E593" s="5">
        <v>46063</v>
      </c>
      <c r="F593" t="s">
        <v>34</v>
      </c>
      <c r="G593" t="s">
        <v>62</v>
      </c>
      <c r="H593" t="s">
        <v>24</v>
      </c>
      <c r="I593" t="s">
        <v>44</v>
      </c>
      <c r="J593">
        <v>732.5</v>
      </c>
      <c r="K593">
        <v>936.9</v>
      </c>
      <c r="L593">
        <v>8221000</v>
      </c>
      <c r="M593" t="b">
        <v>0</v>
      </c>
      <c r="N593" t="b">
        <v>0</v>
      </c>
      <c r="O593">
        <v>1500</v>
      </c>
      <c r="P593" t="b">
        <v>0</v>
      </c>
      <c r="Q593" t="b">
        <v>0</v>
      </c>
      <c r="R593" t="b">
        <v>0</v>
      </c>
      <c r="S593" t="s">
        <v>96</v>
      </c>
      <c r="T593" t="s">
        <v>1649</v>
      </c>
      <c r="U593">
        <v>62.459999999999987</v>
      </c>
      <c r="V593">
        <v>0</v>
      </c>
      <c r="W593">
        <v>0</v>
      </c>
      <c r="X593">
        <v>4</v>
      </c>
      <c r="Y593" s="6">
        <v>46054</v>
      </c>
    </row>
    <row r="594" spans="1:26" x14ac:dyDescent="0.3">
      <c r="A594" t="s">
        <v>699</v>
      </c>
      <c r="B594" s="5">
        <v>46040</v>
      </c>
      <c r="C594" s="5">
        <v>46041</v>
      </c>
      <c r="D594" s="5">
        <v>46044</v>
      </c>
      <c r="E594" s="5">
        <v>46044</v>
      </c>
      <c r="F594" t="s">
        <v>31</v>
      </c>
      <c r="G594" t="s">
        <v>60</v>
      </c>
      <c r="H594" t="s">
        <v>22</v>
      </c>
      <c r="I594" t="s">
        <v>45</v>
      </c>
      <c r="J594">
        <v>538.4</v>
      </c>
      <c r="K594">
        <v>623</v>
      </c>
      <c r="L594">
        <v>5265000</v>
      </c>
      <c r="M594" t="b">
        <v>0</v>
      </c>
      <c r="N594" t="b">
        <v>0</v>
      </c>
      <c r="O594">
        <v>1000</v>
      </c>
      <c r="P594" t="b">
        <v>0</v>
      </c>
      <c r="Q594" t="b">
        <v>0</v>
      </c>
      <c r="R594" t="b">
        <v>0</v>
      </c>
      <c r="S594" t="s">
        <v>96</v>
      </c>
      <c r="T594" t="s">
        <v>1652</v>
      </c>
      <c r="U594">
        <v>62.3</v>
      </c>
      <c r="V594">
        <v>0</v>
      </c>
      <c r="W594">
        <v>0</v>
      </c>
      <c r="X594">
        <v>3</v>
      </c>
      <c r="Y594" s="6">
        <v>46023</v>
      </c>
    </row>
    <row r="595" spans="1:26" x14ac:dyDescent="0.3">
      <c r="A595" t="s">
        <v>700</v>
      </c>
      <c r="B595" s="5">
        <v>46132</v>
      </c>
      <c r="C595" s="5">
        <v>46132</v>
      </c>
      <c r="D595" s="5">
        <v>46134</v>
      </c>
      <c r="E595" s="5">
        <v>46134</v>
      </c>
      <c r="F595" t="s">
        <v>34</v>
      </c>
      <c r="G595" t="s">
        <v>52</v>
      </c>
      <c r="H595" t="s">
        <v>23</v>
      </c>
      <c r="I595" t="s">
        <v>42</v>
      </c>
      <c r="J595">
        <v>269.8</v>
      </c>
      <c r="K595">
        <v>9961.1</v>
      </c>
      <c r="L595">
        <v>8109000</v>
      </c>
      <c r="M595" t="b">
        <v>0</v>
      </c>
      <c r="N595" t="b">
        <v>0</v>
      </c>
      <c r="O595">
        <v>16000</v>
      </c>
      <c r="P595" t="b">
        <v>0</v>
      </c>
      <c r="Q595" t="b">
        <v>0</v>
      </c>
      <c r="R595" t="b">
        <v>0</v>
      </c>
      <c r="S595" t="s">
        <v>96</v>
      </c>
      <c r="T595" t="s">
        <v>1623</v>
      </c>
      <c r="U595">
        <v>62.256875000000001</v>
      </c>
      <c r="V595">
        <v>0</v>
      </c>
      <c r="W595">
        <v>0</v>
      </c>
      <c r="X595">
        <v>2</v>
      </c>
      <c r="Y595" s="6">
        <v>46113</v>
      </c>
    </row>
    <row r="596" spans="1:26" x14ac:dyDescent="0.3">
      <c r="A596" t="s">
        <v>701</v>
      </c>
      <c r="B596" s="5">
        <v>46156</v>
      </c>
      <c r="C596" s="5">
        <v>46158</v>
      </c>
      <c r="D596" s="5">
        <v>46160</v>
      </c>
      <c r="E596" s="5">
        <v>46160</v>
      </c>
      <c r="F596" t="s">
        <v>31</v>
      </c>
      <c r="G596" t="s">
        <v>52</v>
      </c>
      <c r="H596" t="s">
        <v>24</v>
      </c>
      <c r="I596" t="s">
        <v>44</v>
      </c>
      <c r="J596">
        <v>298.60000000000002</v>
      </c>
      <c r="K596">
        <v>1327.7</v>
      </c>
      <c r="L596">
        <v>4239000</v>
      </c>
      <c r="M596" t="b">
        <v>0</v>
      </c>
      <c r="N596" t="b">
        <v>0</v>
      </c>
      <c r="O596">
        <v>1500</v>
      </c>
      <c r="P596" t="b">
        <v>0</v>
      </c>
      <c r="Q596" t="b">
        <v>0</v>
      </c>
      <c r="R596" t="b">
        <v>0</v>
      </c>
      <c r="S596" t="s">
        <v>96</v>
      </c>
      <c r="T596" t="s">
        <v>1618</v>
      </c>
      <c r="U596">
        <v>88.513333333333335</v>
      </c>
      <c r="V596">
        <v>0</v>
      </c>
      <c r="W596">
        <v>0</v>
      </c>
      <c r="X596">
        <v>2</v>
      </c>
      <c r="Y596" s="6">
        <v>46143</v>
      </c>
    </row>
    <row r="597" spans="1:26" x14ac:dyDescent="0.3">
      <c r="A597" t="s">
        <v>702</v>
      </c>
      <c r="B597" s="5">
        <v>46023</v>
      </c>
      <c r="C597" s="5">
        <v>46024</v>
      </c>
      <c r="D597" s="5">
        <v>46026</v>
      </c>
      <c r="E597" s="5">
        <v>46026</v>
      </c>
      <c r="F597" t="s">
        <v>31</v>
      </c>
      <c r="G597" t="s">
        <v>52</v>
      </c>
      <c r="H597" t="s">
        <v>24</v>
      </c>
      <c r="I597" t="s">
        <v>45</v>
      </c>
      <c r="J597">
        <v>297.89999999999998</v>
      </c>
      <c r="K597">
        <v>217.7</v>
      </c>
      <c r="L597">
        <v>3305000</v>
      </c>
      <c r="M597" t="b">
        <v>0</v>
      </c>
      <c r="N597" t="b">
        <v>0</v>
      </c>
      <c r="O597">
        <v>1000</v>
      </c>
      <c r="P597" t="b">
        <v>0</v>
      </c>
      <c r="Q597" t="b">
        <v>0</v>
      </c>
      <c r="R597" t="b">
        <v>0</v>
      </c>
      <c r="S597" t="s">
        <v>96</v>
      </c>
      <c r="T597" t="s">
        <v>1618</v>
      </c>
      <c r="U597">
        <v>21.77</v>
      </c>
      <c r="V597">
        <v>0</v>
      </c>
      <c r="W597">
        <v>0</v>
      </c>
      <c r="X597">
        <v>2</v>
      </c>
      <c r="Y597" s="6">
        <v>46023</v>
      </c>
    </row>
    <row r="598" spans="1:26" x14ac:dyDescent="0.3">
      <c r="A598" t="s">
        <v>703</v>
      </c>
      <c r="B598" s="5">
        <v>46051</v>
      </c>
      <c r="C598" s="5">
        <v>46051</v>
      </c>
      <c r="D598" s="5">
        <v>46052</v>
      </c>
      <c r="E598" s="5">
        <v>46052</v>
      </c>
      <c r="F598" t="s">
        <v>34</v>
      </c>
      <c r="G598" t="s">
        <v>61</v>
      </c>
      <c r="H598" t="s">
        <v>24</v>
      </c>
      <c r="I598" t="s">
        <v>43</v>
      </c>
      <c r="J598">
        <v>32.799999999999997</v>
      </c>
      <c r="K598">
        <v>2698.8</v>
      </c>
      <c r="L598">
        <v>2335000</v>
      </c>
      <c r="M598" t="b">
        <v>0</v>
      </c>
      <c r="N598" t="b">
        <v>0</v>
      </c>
      <c r="O598">
        <v>5000</v>
      </c>
      <c r="P598" t="b">
        <v>0</v>
      </c>
      <c r="Q598" t="b">
        <v>0</v>
      </c>
      <c r="R598" t="b">
        <v>0</v>
      </c>
      <c r="S598" t="s">
        <v>96</v>
      </c>
      <c r="T598" t="s">
        <v>1638</v>
      </c>
      <c r="U598">
        <v>53.975999999999999</v>
      </c>
      <c r="V598">
        <v>0</v>
      </c>
      <c r="W598">
        <v>0</v>
      </c>
      <c r="X598">
        <v>1</v>
      </c>
      <c r="Y598" s="6">
        <v>46023</v>
      </c>
    </row>
    <row r="599" spans="1:26" x14ac:dyDescent="0.3">
      <c r="A599" t="s">
        <v>704</v>
      </c>
      <c r="B599" s="5">
        <v>46114</v>
      </c>
      <c r="C599" s="5">
        <v>46115</v>
      </c>
      <c r="D599" s="5">
        <v>46119</v>
      </c>
      <c r="E599" s="5">
        <v>46120</v>
      </c>
      <c r="F599" t="s">
        <v>34</v>
      </c>
      <c r="G599" t="s">
        <v>56</v>
      </c>
      <c r="H599" t="s">
        <v>22</v>
      </c>
      <c r="I599" t="s">
        <v>45</v>
      </c>
      <c r="J599">
        <v>897.9</v>
      </c>
      <c r="K599">
        <v>709.3</v>
      </c>
      <c r="L599">
        <v>8041000</v>
      </c>
      <c r="M599" t="b">
        <v>0</v>
      </c>
      <c r="N599" t="b">
        <v>0</v>
      </c>
      <c r="O599">
        <v>1000</v>
      </c>
      <c r="P599" t="b">
        <v>0</v>
      </c>
      <c r="Q599" t="b">
        <v>0</v>
      </c>
      <c r="R599" t="b">
        <v>0</v>
      </c>
      <c r="S599" t="s">
        <v>101</v>
      </c>
      <c r="T599" t="s">
        <v>1646</v>
      </c>
      <c r="U599">
        <v>70.929999999999993</v>
      </c>
      <c r="V599">
        <v>0</v>
      </c>
      <c r="W599">
        <v>0</v>
      </c>
      <c r="X599">
        <v>5</v>
      </c>
      <c r="Y599" s="6">
        <v>46113</v>
      </c>
      <c r="Z599">
        <v>1</v>
      </c>
    </row>
    <row r="600" spans="1:26" x14ac:dyDescent="0.3">
      <c r="A600" t="s">
        <v>705</v>
      </c>
      <c r="B600" s="5">
        <v>46026</v>
      </c>
      <c r="C600" s="5">
        <v>46028</v>
      </c>
      <c r="D600" s="5">
        <v>46033</v>
      </c>
      <c r="E600" s="5">
        <v>46033</v>
      </c>
      <c r="F600" t="s">
        <v>33</v>
      </c>
      <c r="G600" t="s">
        <v>56</v>
      </c>
      <c r="H600" t="s">
        <v>20</v>
      </c>
      <c r="I600" t="s">
        <v>45</v>
      </c>
      <c r="J600">
        <v>1663.2</v>
      </c>
      <c r="K600">
        <v>543.29999999999995</v>
      </c>
      <c r="L600">
        <v>16700000</v>
      </c>
      <c r="M600" t="b">
        <v>0</v>
      </c>
      <c r="N600" t="b">
        <v>0</v>
      </c>
      <c r="O600">
        <v>1000</v>
      </c>
      <c r="P600" t="b">
        <v>0</v>
      </c>
      <c r="Q600" t="b">
        <v>0</v>
      </c>
      <c r="R600" t="b">
        <v>0</v>
      </c>
      <c r="S600" t="s">
        <v>96</v>
      </c>
      <c r="T600" t="s">
        <v>1654</v>
      </c>
      <c r="U600">
        <v>54.33</v>
      </c>
      <c r="V600">
        <v>0</v>
      </c>
      <c r="W600">
        <v>0</v>
      </c>
      <c r="X600">
        <v>5</v>
      </c>
      <c r="Y600" s="6">
        <v>46023</v>
      </c>
    </row>
    <row r="601" spans="1:26" x14ac:dyDescent="0.3">
      <c r="A601" t="s">
        <v>706</v>
      </c>
      <c r="B601" s="5">
        <v>46173</v>
      </c>
      <c r="C601" s="5">
        <v>46174</v>
      </c>
      <c r="D601" s="5">
        <v>46176</v>
      </c>
      <c r="E601" s="5">
        <v>46176</v>
      </c>
      <c r="F601" t="s">
        <v>31</v>
      </c>
      <c r="G601" t="s">
        <v>58</v>
      </c>
      <c r="H601" t="s">
        <v>24</v>
      </c>
      <c r="I601" t="s">
        <v>42</v>
      </c>
      <c r="J601">
        <v>189.9</v>
      </c>
      <c r="K601">
        <v>12923.3</v>
      </c>
      <c r="L601">
        <v>8720000</v>
      </c>
      <c r="M601" t="b">
        <v>0</v>
      </c>
      <c r="N601" t="b">
        <v>0</v>
      </c>
      <c r="O601">
        <v>16000</v>
      </c>
      <c r="P601" t="b">
        <v>0</v>
      </c>
      <c r="Q601" t="b">
        <v>0</v>
      </c>
      <c r="R601" t="b">
        <v>0</v>
      </c>
      <c r="S601" t="s">
        <v>96</v>
      </c>
      <c r="T601" t="s">
        <v>1621</v>
      </c>
      <c r="U601">
        <v>80.770624999999995</v>
      </c>
      <c r="V601">
        <v>0</v>
      </c>
      <c r="W601">
        <v>0</v>
      </c>
      <c r="X601">
        <v>2</v>
      </c>
      <c r="Y601" s="6">
        <v>46174</v>
      </c>
    </row>
    <row r="602" spans="1:26" x14ac:dyDescent="0.3">
      <c r="A602" t="s">
        <v>707</v>
      </c>
      <c r="B602" s="5">
        <v>46121</v>
      </c>
      <c r="C602" s="5">
        <v>46122</v>
      </c>
      <c r="D602" s="5">
        <v>46126</v>
      </c>
      <c r="E602" s="5">
        <v>46126</v>
      </c>
      <c r="F602" t="s">
        <v>33</v>
      </c>
      <c r="G602" t="s">
        <v>58</v>
      </c>
      <c r="H602" t="s">
        <v>21</v>
      </c>
      <c r="I602" t="s">
        <v>43</v>
      </c>
      <c r="J602">
        <v>614.4</v>
      </c>
      <c r="K602">
        <v>2784.9</v>
      </c>
      <c r="L602">
        <v>10271000</v>
      </c>
      <c r="M602" t="b">
        <v>0</v>
      </c>
      <c r="N602" t="b">
        <v>0</v>
      </c>
      <c r="O602">
        <v>5000</v>
      </c>
      <c r="P602" t="b">
        <v>0</v>
      </c>
      <c r="Q602" t="b">
        <v>0</v>
      </c>
      <c r="R602" t="b">
        <v>0</v>
      </c>
      <c r="S602" t="s">
        <v>96</v>
      </c>
      <c r="T602" t="s">
        <v>1651</v>
      </c>
      <c r="U602">
        <v>55.698</v>
      </c>
      <c r="V602">
        <v>0</v>
      </c>
      <c r="W602">
        <v>0</v>
      </c>
      <c r="X602">
        <v>4</v>
      </c>
      <c r="Y602" s="6">
        <v>46113</v>
      </c>
    </row>
    <row r="603" spans="1:26" x14ac:dyDescent="0.3">
      <c r="A603" t="s">
        <v>708</v>
      </c>
      <c r="B603" s="5">
        <v>46184</v>
      </c>
      <c r="C603" s="5">
        <v>46186</v>
      </c>
      <c r="D603" s="5">
        <v>46188</v>
      </c>
      <c r="E603" s="5">
        <v>46188</v>
      </c>
      <c r="F603" t="s">
        <v>34</v>
      </c>
      <c r="G603" t="s">
        <v>58</v>
      </c>
      <c r="H603" t="s">
        <v>24</v>
      </c>
      <c r="I603" t="s">
        <v>43</v>
      </c>
      <c r="J603">
        <v>157.6</v>
      </c>
      <c r="K603">
        <v>3783.4</v>
      </c>
      <c r="L603">
        <v>4212000</v>
      </c>
      <c r="M603" t="b">
        <v>0</v>
      </c>
      <c r="N603" t="b">
        <v>0</v>
      </c>
      <c r="O603">
        <v>5000</v>
      </c>
      <c r="P603" t="b">
        <v>0</v>
      </c>
      <c r="Q603" t="b">
        <v>0</v>
      </c>
      <c r="R603" t="b">
        <v>0</v>
      </c>
      <c r="S603" t="s">
        <v>96</v>
      </c>
      <c r="T603" t="s">
        <v>1637</v>
      </c>
      <c r="U603">
        <v>75.668000000000006</v>
      </c>
      <c r="V603">
        <v>0</v>
      </c>
      <c r="W603">
        <v>0</v>
      </c>
      <c r="X603">
        <v>2</v>
      </c>
      <c r="Y603" s="6">
        <v>46174</v>
      </c>
    </row>
    <row r="604" spans="1:26" x14ac:dyDescent="0.3">
      <c r="A604" t="s">
        <v>709</v>
      </c>
      <c r="B604" s="5">
        <v>46156</v>
      </c>
      <c r="C604" s="5">
        <v>46157</v>
      </c>
      <c r="D604" s="5">
        <v>46159</v>
      </c>
      <c r="E604" s="5">
        <v>46158</v>
      </c>
      <c r="F604" t="s">
        <v>31</v>
      </c>
      <c r="G604" t="s">
        <v>58</v>
      </c>
      <c r="H604" t="s">
        <v>21</v>
      </c>
      <c r="I604" t="s">
        <v>44</v>
      </c>
      <c r="J604">
        <v>197.2</v>
      </c>
      <c r="K604">
        <v>211.3</v>
      </c>
      <c r="L604">
        <v>2560000</v>
      </c>
      <c r="M604" t="b">
        <v>0</v>
      </c>
      <c r="N604" t="b">
        <v>0</v>
      </c>
      <c r="O604">
        <v>1500</v>
      </c>
      <c r="P604" t="b">
        <v>0</v>
      </c>
      <c r="Q604" t="b">
        <v>0</v>
      </c>
      <c r="R604" t="b">
        <v>0</v>
      </c>
      <c r="S604" t="s">
        <v>96</v>
      </c>
      <c r="T604" t="s">
        <v>1621</v>
      </c>
      <c r="U604">
        <v>14.08666666666667</v>
      </c>
      <c r="V604">
        <v>0</v>
      </c>
      <c r="W604">
        <v>0</v>
      </c>
      <c r="X604">
        <v>1</v>
      </c>
      <c r="Y604" s="6">
        <v>46143</v>
      </c>
    </row>
    <row r="605" spans="1:26" x14ac:dyDescent="0.3">
      <c r="A605" t="s">
        <v>710</v>
      </c>
      <c r="B605" s="5">
        <v>46067</v>
      </c>
      <c r="C605" s="5">
        <v>46067</v>
      </c>
      <c r="D605" s="5">
        <v>46072</v>
      </c>
      <c r="E605" s="5">
        <v>46072</v>
      </c>
      <c r="F605" t="s">
        <v>34</v>
      </c>
      <c r="G605" t="s">
        <v>60</v>
      </c>
      <c r="H605" t="s">
        <v>20</v>
      </c>
      <c r="I605" t="s">
        <v>45</v>
      </c>
      <c r="J605">
        <v>644.70000000000005</v>
      </c>
      <c r="K605">
        <v>636.5</v>
      </c>
      <c r="L605">
        <v>6079000</v>
      </c>
      <c r="M605" t="b">
        <v>0</v>
      </c>
      <c r="N605" t="b">
        <v>0</v>
      </c>
      <c r="O605">
        <v>1000</v>
      </c>
      <c r="P605" t="b">
        <v>0</v>
      </c>
      <c r="Q605" t="b">
        <v>0</v>
      </c>
      <c r="R605" t="b">
        <v>0</v>
      </c>
      <c r="S605" t="s">
        <v>96</v>
      </c>
      <c r="T605" t="s">
        <v>1644</v>
      </c>
      <c r="U605">
        <v>63.65</v>
      </c>
      <c r="V605">
        <v>0</v>
      </c>
      <c r="W605">
        <v>0</v>
      </c>
      <c r="X605">
        <v>5</v>
      </c>
      <c r="Y605" s="6">
        <v>46054</v>
      </c>
    </row>
    <row r="606" spans="1:26" x14ac:dyDescent="0.3">
      <c r="A606" t="s">
        <v>711</v>
      </c>
      <c r="B606" s="5">
        <v>46046</v>
      </c>
      <c r="C606" s="5">
        <v>46048</v>
      </c>
      <c r="D606" s="5">
        <v>46049</v>
      </c>
      <c r="E606" s="5">
        <v>46049</v>
      </c>
      <c r="F606" t="s">
        <v>34</v>
      </c>
      <c r="G606" t="s">
        <v>55</v>
      </c>
      <c r="H606" t="s">
        <v>24</v>
      </c>
      <c r="I606" t="s">
        <v>42</v>
      </c>
      <c r="J606">
        <v>47.3</v>
      </c>
      <c r="K606">
        <v>7565.5</v>
      </c>
      <c r="L606">
        <v>3977000</v>
      </c>
      <c r="M606" t="b">
        <v>0</v>
      </c>
      <c r="N606" t="b">
        <v>0</v>
      </c>
      <c r="O606">
        <v>16000</v>
      </c>
      <c r="P606" t="b">
        <v>0</v>
      </c>
      <c r="Q606" t="b">
        <v>0</v>
      </c>
      <c r="R606" t="b">
        <v>0</v>
      </c>
      <c r="S606" t="s">
        <v>96</v>
      </c>
      <c r="T606" t="s">
        <v>1639</v>
      </c>
      <c r="U606">
        <v>47.284374999999997</v>
      </c>
      <c r="V606">
        <v>0</v>
      </c>
      <c r="W606">
        <v>0</v>
      </c>
      <c r="X606">
        <v>1</v>
      </c>
      <c r="Y606" s="6">
        <v>46023</v>
      </c>
    </row>
    <row r="607" spans="1:26" x14ac:dyDescent="0.3">
      <c r="A607" t="s">
        <v>712</v>
      </c>
      <c r="B607" s="5">
        <v>46162</v>
      </c>
      <c r="C607" s="5">
        <v>46164</v>
      </c>
      <c r="D607" s="5">
        <v>46167</v>
      </c>
      <c r="E607" s="5">
        <v>46167</v>
      </c>
      <c r="F607" t="s">
        <v>34</v>
      </c>
      <c r="G607" t="s">
        <v>52</v>
      </c>
      <c r="H607" t="s">
        <v>20</v>
      </c>
      <c r="I607" t="s">
        <v>43</v>
      </c>
      <c r="J607">
        <v>277.10000000000002</v>
      </c>
      <c r="K607">
        <v>998.4</v>
      </c>
      <c r="L607">
        <v>4592000</v>
      </c>
      <c r="M607" t="b">
        <v>0</v>
      </c>
      <c r="N607" t="b">
        <v>0</v>
      </c>
      <c r="O607">
        <v>5000</v>
      </c>
      <c r="P607" t="b">
        <v>0</v>
      </c>
      <c r="Q607" t="b">
        <v>0</v>
      </c>
      <c r="R607" t="b">
        <v>0</v>
      </c>
      <c r="S607" t="s">
        <v>96</v>
      </c>
      <c r="T607" t="s">
        <v>1623</v>
      </c>
      <c r="U607">
        <v>19.968</v>
      </c>
      <c r="V607">
        <v>0</v>
      </c>
      <c r="W607">
        <v>0</v>
      </c>
      <c r="X607">
        <v>3</v>
      </c>
      <c r="Y607" s="6">
        <v>46143</v>
      </c>
    </row>
    <row r="608" spans="1:26" x14ac:dyDescent="0.3">
      <c r="A608" t="s">
        <v>713</v>
      </c>
      <c r="B608" s="5">
        <v>46172</v>
      </c>
      <c r="C608" s="5">
        <v>46173</v>
      </c>
      <c r="D608" s="5">
        <v>46176</v>
      </c>
      <c r="E608" s="5">
        <v>46176</v>
      </c>
      <c r="F608" t="s">
        <v>34</v>
      </c>
      <c r="G608" t="s">
        <v>53</v>
      </c>
      <c r="H608" t="s">
        <v>22</v>
      </c>
      <c r="I608" t="s">
        <v>43</v>
      </c>
      <c r="J608">
        <v>305.10000000000002</v>
      </c>
      <c r="K608">
        <v>1084.0999999999999</v>
      </c>
      <c r="L608">
        <v>4889000</v>
      </c>
      <c r="M608" t="b">
        <v>0</v>
      </c>
      <c r="N608" t="b">
        <v>0</v>
      </c>
      <c r="O608">
        <v>5000</v>
      </c>
      <c r="P608" t="b">
        <v>0</v>
      </c>
      <c r="Q608" t="b">
        <v>0</v>
      </c>
      <c r="R608" t="b">
        <v>0</v>
      </c>
      <c r="S608" t="s">
        <v>96</v>
      </c>
      <c r="T608" t="s">
        <v>1636</v>
      </c>
      <c r="U608">
        <v>21.681999999999999</v>
      </c>
      <c r="V608">
        <v>0</v>
      </c>
      <c r="W608">
        <v>0</v>
      </c>
      <c r="X608">
        <v>3</v>
      </c>
      <c r="Y608" s="6">
        <v>46143</v>
      </c>
    </row>
    <row r="609" spans="1:26" x14ac:dyDescent="0.3">
      <c r="A609" t="s">
        <v>714</v>
      </c>
      <c r="B609" s="5">
        <v>46166</v>
      </c>
      <c r="C609" s="5">
        <v>46166</v>
      </c>
      <c r="D609" s="5">
        <v>46169</v>
      </c>
      <c r="E609" s="5">
        <v>46169</v>
      </c>
      <c r="F609" t="s">
        <v>34</v>
      </c>
      <c r="G609" t="s">
        <v>60</v>
      </c>
      <c r="H609" t="s">
        <v>23</v>
      </c>
      <c r="I609" t="s">
        <v>43</v>
      </c>
      <c r="J609">
        <v>586</v>
      </c>
      <c r="K609">
        <v>1624.2</v>
      </c>
      <c r="L609">
        <v>9029000</v>
      </c>
      <c r="M609" t="b">
        <v>0</v>
      </c>
      <c r="N609" t="b">
        <v>0</v>
      </c>
      <c r="O609">
        <v>5000</v>
      </c>
      <c r="P609" t="b">
        <v>0</v>
      </c>
      <c r="Q609" t="b">
        <v>0</v>
      </c>
      <c r="R609" t="b">
        <v>0</v>
      </c>
      <c r="S609" t="s">
        <v>96</v>
      </c>
      <c r="T609" t="s">
        <v>1644</v>
      </c>
      <c r="U609">
        <v>32.484000000000002</v>
      </c>
      <c r="V609">
        <v>0</v>
      </c>
      <c r="W609">
        <v>0</v>
      </c>
      <c r="X609">
        <v>3</v>
      </c>
      <c r="Y609" s="6">
        <v>46143</v>
      </c>
    </row>
    <row r="610" spans="1:26" x14ac:dyDescent="0.3">
      <c r="A610" t="s">
        <v>715</v>
      </c>
      <c r="B610" s="5">
        <v>46098</v>
      </c>
      <c r="C610" s="5">
        <v>46099</v>
      </c>
      <c r="D610" s="5">
        <v>46103</v>
      </c>
      <c r="E610" s="5">
        <v>46103</v>
      </c>
      <c r="F610" t="s">
        <v>33</v>
      </c>
      <c r="G610" t="s">
        <v>56</v>
      </c>
      <c r="H610" t="s">
        <v>23</v>
      </c>
      <c r="I610" t="s">
        <v>44</v>
      </c>
      <c r="J610">
        <v>1509</v>
      </c>
      <c r="K610">
        <v>1301.9000000000001</v>
      </c>
      <c r="L610">
        <v>16959000</v>
      </c>
      <c r="M610" t="b">
        <v>0</v>
      </c>
      <c r="N610" t="b">
        <v>0</v>
      </c>
      <c r="O610">
        <v>1500</v>
      </c>
      <c r="P610" t="b">
        <v>0</v>
      </c>
      <c r="Q610" t="b">
        <v>0</v>
      </c>
      <c r="R610" t="b">
        <v>0</v>
      </c>
      <c r="S610" t="s">
        <v>96</v>
      </c>
      <c r="T610" t="s">
        <v>1654</v>
      </c>
      <c r="U610">
        <v>86.793333333333351</v>
      </c>
      <c r="V610">
        <v>0</v>
      </c>
      <c r="W610">
        <v>0</v>
      </c>
      <c r="X610">
        <v>4</v>
      </c>
      <c r="Y610" s="6">
        <v>46082</v>
      </c>
    </row>
    <row r="611" spans="1:26" x14ac:dyDescent="0.3">
      <c r="A611" t="s">
        <v>716</v>
      </c>
      <c r="B611" s="5">
        <v>46080</v>
      </c>
      <c r="C611" s="5">
        <v>46082</v>
      </c>
      <c r="D611" s="5">
        <v>46084</v>
      </c>
      <c r="E611" s="5">
        <v>46086</v>
      </c>
      <c r="F611" t="s">
        <v>31</v>
      </c>
      <c r="G611" t="s">
        <v>57</v>
      </c>
      <c r="H611" t="s">
        <v>22</v>
      </c>
      <c r="I611" t="s">
        <v>44</v>
      </c>
      <c r="J611">
        <v>140.5</v>
      </c>
      <c r="K611">
        <v>774.6</v>
      </c>
      <c r="L611">
        <v>2303000</v>
      </c>
      <c r="M611" t="b">
        <v>0</v>
      </c>
      <c r="N611" t="b">
        <v>0</v>
      </c>
      <c r="O611">
        <v>1500</v>
      </c>
      <c r="P611" t="b">
        <v>0</v>
      </c>
      <c r="Q611" t="b">
        <v>0</v>
      </c>
      <c r="R611" t="b">
        <v>0</v>
      </c>
      <c r="S611" t="s">
        <v>101</v>
      </c>
      <c r="T611" t="s">
        <v>1617</v>
      </c>
      <c r="U611">
        <v>51.64</v>
      </c>
      <c r="V611">
        <v>0</v>
      </c>
      <c r="W611">
        <v>0</v>
      </c>
      <c r="X611">
        <v>4</v>
      </c>
      <c r="Y611" s="6">
        <v>46082</v>
      </c>
      <c r="Z611">
        <v>2</v>
      </c>
    </row>
    <row r="612" spans="1:26" x14ac:dyDescent="0.3">
      <c r="A612" t="s">
        <v>717</v>
      </c>
      <c r="B612" s="5">
        <v>46081</v>
      </c>
      <c r="C612" s="5">
        <v>46081</v>
      </c>
      <c r="D612" s="5">
        <v>46085</v>
      </c>
      <c r="E612" s="5">
        <v>46085</v>
      </c>
      <c r="F612" t="s">
        <v>34</v>
      </c>
      <c r="G612" t="s">
        <v>62</v>
      </c>
      <c r="H612" t="s">
        <v>21</v>
      </c>
      <c r="I612" t="s">
        <v>45</v>
      </c>
      <c r="J612">
        <v>781.1</v>
      </c>
      <c r="K612">
        <v>658.5</v>
      </c>
      <c r="L612">
        <v>7520000</v>
      </c>
      <c r="M612" t="b">
        <v>0</v>
      </c>
      <c r="N612" t="b">
        <v>0</v>
      </c>
      <c r="O612">
        <v>1000</v>
      </c>
      <c r="P612" t="b">
        <v>0</v>
      </c>
      <c r="Q612" t="b">
        <v>0</v>
      </c>
      <c r="R612" t="b">
        <v>0</v>
      </c>
      <c r="S612" t="s">
        <v>96</v>
      </c>
      <c r="T612" t="s">
        <v>1649</v>
      </c>
      <c r="U612">
        <v>65.849999999999994</v>
      </c>
      <c r="V612">
        <v>0</v>
      </c>
      <c r="W612">
        <v>0</v>
      </c>
      <c r="X612">
        <v>4</v>
      </c>
      <c r="Y612" s="6">
        <v>46054</v>
      </c>
    </row>
    <row r="613" spans="1:26" x14ac:dyDescent="0.3">
      <c r="A613" t="s">
        <v>718</v>
      </c>
      <c r="B613" s="5">
        <v>46156</v>
      </c>
      <c r="C613" s="5">
        <v>46157</v>
      </c>
      <c r="D613" s="5">
        <v>46160</v>
      </c>
      <c r="E613" s="5">
        <v>46160</v>
      </c>
      <c r="F613" t="s">
        <v>31</v>
      </c>
      <c r="G613" t="s">
        <v>52</v>
      </c>
      <c r="H613" t="s">
        <v>20</v>
      </c>
      <c r="I613" t="s">
        <v>44</v>
      </c>
      <c r="J613">
        <v>308.3</v>
      </c>
      <c r="K613">
        <v>241.6</v>
      </c>
      <c r="L613">
        <v>2811000</v>
      </c>
      <c r="M613" t="b">
        <v>0</v>
      </c>
      <c r="N613" t="b">
        <v>0</v>
      </c>
      <c r="O613">
        <v>1500</v>
      </c>
      <c r="P613" t="b">
        <v>0</v>
      </c>
      <c r="Q613" t="b">
        <v>0</v>
      </c>
      <c r="R613" t="b">
        <v>0</v>
      </c>
      <c r="S613" t="s">
        <v>96</v>
      </c>
      <c r="T613" t="s">
        <v>1618</v>
      </c>
      <c r="U613">
        <v>16.106666666666669</v>
      </c>
      <c r="V613">
        <v>0</v>
      </c>
      <c r="W613">
        <v>0</v>
      </c>
      <c r="X613">
        <v>3</v>
      </c>
      <c r="Y613" s="6">
        <v>46143</v>
      </c>
    </row>
    <row r="614" spans="1:26" x14ac:dyDescent="0.3">
      <c r="A614" t="s">
        <v>719</v>
      </c>
      <c r="B614" s="5">
        <v>46155</v>
      </c>
      <c r="C614" s="5">
        <v>46156</v>
      </c>
      <c r="D614" s="5">
        <v>46160</v>
      </c>
      <c r="E614" s="5"/>
      <c r="F614" t="s">
        <v>33</v>
      </c>
      <c r="G614" t="s">
        <v>61</v>
      </c>
      <c r="H614" t="s">
        <v>20</v>
      </c>
      <c r="I614" t="s">
        <v>43</v>
      </c>
      <c r="J614">
        <v>671.8</v>
      </c>
      <c r="K614">
        <v>4197.2</v>
      </c>
      <c r="L614">
        <v>10445000</v>
      </c>
      <c r="M614" t="b">
        <v>0</v>
      </c>
      <c r="N614" t="b">
        <v>0</v>
      </c>
      <c r="O614">
        <v>5000</v>
      </c>
      <c r="P614" t="b">
        <v>0</v>
      </c>
      <c r="Q614" t="b">
        <v>0</v>
      </c>
      <c r="R614" t="b">
        <v>0</v>
      </c>
      <c r="S614" t="s">
        <v>203</v>
      </c>
      <c r="T614" t="s">
        <v>1643</v>
      </c>
      <c r="U614">
        <v>83.944000000000003</v>
      </c>
      <c r="V614">
        <v>0</v>
      </c>
      <c r="W614">
        <v>0</v>
      </c>
      <c r="Y614" s="6">
        <v>46143</v>
      </c>
    </row>
    <row r="615" spans="1:26" x14ac:dyDescent="0.3">
      <c r="A615" t="s">
        <v>720</v>
      </c>
      <c r="B615" s="5">
        <v>46116</v>
      </c>
      <c r="C615" s="5">
        <v>46118</v>
      </c>
      <c r="D615" s="5">
        <v>46121</v>
      </c>
      <c r="E615" s="5">
        <v>46121</v>
      </c>
      <c r="F615" t="s">
        <v>34</v>
      </c>
      <c r="G615" t="s">
        <v>53</v>
      </c>
      <c r="H615" t="s">
        <v>24</v>
      </c>
      <c r="I615" t="s">
        <v>44</v>
      </c>
      <c r="J615">
        <v>338.7</v>
      </c>
      <c r="K615">
        <v>204.9</v>
      </c>
      <c r="L615">
        <v>3785000</v>
      </c>
      <c r="M615" t="b">
        <v>0</v>
      </c>
      <c r="N615" t="b">
        <v>0</v>
      </c>
      <c r="O615">
        <v>1500</v>
      </c>
      <c r="P615" t="b">
        <v>0</v>
      </c>
      <c r="Q615" t="b">
        <v>0</v>
      </c>
      <c r="R615" t="b">
        <v>0</v>
      </c>
      <c r="S615" t="s">
        <v>96</v>
      </c>
      <c r="T615" t="s">
        <v>1636</v>
      </c>
      <c r="U615">
        <v>13.66</v>
      </c>
      <c r="V615">
        <v>0</v>
      </c>
      <c r="W615">
        <v>0</v>
      </c>
      <c r="X615">
        <v>3</v>
      </c>
      <c r="Y615" s="6">
        <v>46113</v>
      </c>
    </row>
    <row r="616" spans="1:26" x14ac:dyDescent="0.3">
      <c r="A616" t="s">
        <v>721</v>
      </c>
      <c r="B616" s="5">
        <v>46127</v>
      </c>
      <c r="C616" s="5">
        <v>46127</v>
      </c>
      <c r="D616" s="5">
        <v>46130</v>
      </c>
      <c r="E616" s="5">
        <v>46129</v>
      </c>
      <c r="F616" t="s">
        <v>34</v>
      </c>
      <c r="G616" t="s">
        <v>59</v>
      </c>
      <c r="H616" t="s">
        <v>20</v>
      </c>
      <c r="I616" t="s">
        <v>43</v>
      </c>
      <c r="J616">
        <v>325.3</v>
      </c>
      <c r="K616">
        <v>1006.1</v>
      </c>
      <c r="L616">
        <v>5308000</v>
      </c>
      <c r="M616" t="b">
        <v>0</v>
      </c>
      <c r="N616" t="b">
        <v>0</v>
      </c>
      <c r="O616">
        <v>5000</v>
      </c>
      <c r="P616" t="b">
        <v>0</v>
      </c>
      <c r="Q616" t="b">
        <v>0</v>
      </c>
      <c r="R616" t="b">
        <v>0</v>
      </c>
      <c r="S616" t="s">
        <v>96</v>
      </c>
      <c r="T616" t="s">
        <v>1616</v>
      </c>
      <c r="U616">
        <v>20.122</v>
      </c>
      <c r="V616">
        <v>0</v>
      </c>
      <c r="W616">
        <v>0</v>
      </c>
      <c r="X616">
        <v>2</v>
      </c>
      <c r="Y616" s="6">
        <v>46113</v>
      </c>
    </row>
    <row r="617" spans="1:26" x14ac:dyDescent="0.3">
      <c r="A617" t="s">
        <v>722</v>
      </c>
      <c r="B617" s="5">
        <v>46189</v>
      </c>
      <c r="C617" s="5">
        <v>46191</v>
      </c>
      <c r="D617" s="5">
        <v>46193</v>
      </c>
      <c r="E617" s="5">
        <v>46193</v>
      </c>
      <c r="F617" t="s">
        <v>34</v>
      </c>
      <c r="G617" t="s">
        <v>55</v>
      </c>
      <c r="H617" t="s">
        <v>23</v>
      </c>
      <c r="I617" t="s">
        <v>43</v>
      </c>
      <c r="J617">
        <v>51.9</v>
      </c>
      <c r="K617">
        <v>729.3</v>
      </c>
      <c r="L617">
        <v>12362000</v>
      </c>
      <c r="M617" t="b">
        <v>0</v>
      </c>
      <c r="N617" t="b">
        <v>0</v>
      </c>
      <c r="O617">
        <v>5000</v>
      </c>
      <c r="P617" t="b">
        <v>0</v>
      </c>
      <c r="Q617" t="b">
        <v>0</v>
      </c>
      <c r="R617" t="b">
        <v>0</v>
      </c>
      <c r="S617" t="s">
        <v>96</v>
      </c>
      <c r="T617" t="s">
        <v>1639</v>
      </c>
      <c r="U617">
        <v>14.586</v>
      </c>
      <c r="V617">
        <v>0</v>
      </c>
      <c r="W617">
        <v>0</v>
      </c>
      <c r="X617">
        <v>2</v>
      </c>
      <c r="Y617" s="6">
        <v>46174</v>
      </c>
    </row>
    <row r="618" spans="1:26" x14ac:dyDescent="0.3">
      <c r="A618" t="s">
        <v>723</v>
      </c>
      <c r="B618" s="5">
        <v>46030</v>
      </c>
      <c r="C618" s="5">
        <v>46031</v>
      </c>
      <c r="D618" s="5">
        <v>46034</v>
      </c>
      <c r="E618" s="5">
        <v>46034</v>
      </c>
      <c r="F618" t="s">
        <v>31</v>
      </c>
      <c r="G618" t="s">
        <v>60</v>
      </c>
      <c r="H618" t="s">
        <v>20</v>
      </c>
      <c r="I618" t="s">
        <v>45</v>
      </c>
      <c r="J618">
        <v>590.20000000000005</v>
      </c>
      <c r="K618">
        <v>843.6</v>
      </c>
      <c r="L618">
        <v>5952000</v>
      </c>
      <c r="M618" t="b">
        <v>0</v>
      </c>
      <c r="N618" t="b">
        <v>0</v>
      </c>
      <c r="O618">
        <v>1000</v>
      </c>
      <c r="P618" t="b">
        <v>0</v>
      </c>
      <c r="Q618" t="b">
        <v>0</v>
      </c>
      <c r="R618" t="b">
        <v>0</v>
      </c>
      <c r="S618" t="s">
        <v>96</v>
      </c>
      <c r="T618" t="s">
        <v>1652</v>
      </c>
      <c r="U618">
        <v>84.36</v>
      </c>
      <c r="V618">
        <v>0</v>
      </c>
      <c r="W618">
        <v>0</v>
      </c>
      <c r="X618">
        <v>3</v>
      </c>
      <c r="Y618" s="6">
        <v>46023</v>
      </c>
    </row>
    <row r="619" spans="1:26" x14ac:dyDescent="0.3">
      <c r="A619" t="s">
        <v>724</v>
      </c>
      <c r="B619" s="5">
        <v>46125</v>
      </c>
      <c r="C619" s="5">
        <v>46125</v>
      </c>
      <c r="D619" s="5">
        <v>46128</v>
      </c>
      <c r="E619" s="5">
        <v>46128</v>
      </c>
      <c r="F619" t="s">
        <v>34</v>
      </c>
      <c r="G619" t="s">
        <v>54</v>
      </c>
      <c r="H619" t="s">
        <v>22</v>
      </c>
      <c r="I619" t="s">
        <v>42</v>
      </c>
      <c r="J619">
        <v>446</v>
      </c>
      <c r="K619">
        <v>8702.2000000000007</v>
      </c>
      <c r="L619">
        <v>10312000</v>
      </c>
      <c r="M619" t="b">
        <v>0</v>
      </c>
      <c r="N619" t="b">
        <v>0</v>
      </c>
      <c r="O619">
        <v>16000</v>
      </c>
      <c r="P619" t="b">
        <v>0</v>
      </c>
      <c r="Q619" t="b">
        <v>0</v>
      </c>
      <c r="R619" t="b">
        <v>0</v>
      </c>
      <c r="S619" t="s">
        <v>96</v>
      </c>
      <c r="T619" t="s">
        <v>1635</v>
      </c>
      <c r="U619">
        <v>54.388750000000009</v>
      </c>
      <c r="V619">
        <v>0</v>
      </c>
      <c r="W619">
        <v>0</v>
      </c>
      <c r="X619">
        <v>3</v>
      </c>
      <c r="Y619" s="6">
        <v>46113</v>
      </c>
    </row>
    <row r="620" spans="1:26" x14ac:dyDescent="0.3">
      <c r="A620" t="s">
        <v>725</v>
      </c>
      <c r="B620" s="5">
        <v>46052</v>
      </c>
      <c r="C620" s="5">
        <v>46053</v>
      </c>
      <c r="D620" s="5">
        <v>46055</v>
      </c>
      <c r="E620" s="5">
        <v>46055</v>
      </c>
      <c r="F620" t="s">
        <v>34</v>
      </c>
      <c r="G620" t="s">
        <v>57</v>
      </c>
      <c r="H620" t="s">
        <v>22</v>
      </c>
      <c r="I620" t="s">
        <v>42</v>
      </c>
      <c r="J620">
        <v>146.19999999999999</v>
      </c>
      <c r="K620">
        <v>3009.4</v>
      </c>
      <c r="L620">
        <v>4306000</v>
      </c>
      <c r="M620" t="b">
        <v>0</v>
      </c>
      <c r="N620" t="b">
        <v>0</v>
      </c>
      <c r="O620">
        <v>16000</v>
      </c>
      <c r="P620" t="b">
        <v>0</v>
      </c>
      <c r="Q620" t="b">
        <v>0</v>
      </c>
      <c r="R620" t="b">
        <v>0</v>
      </c>
      <c r="S620" t="s">
        <v>96</v>
      </c>
      <c r="T620" t="s">
        <v>1620</v>
      </c>
      <c r="U620">
        <v>18.80875</v>
      </c>
      <c r="V620">
        <v>0</v>
      </c>
      <c r="W620">
        <v>0</v>
      </c>
      <c r="X620">
        <v>2</v>
      </c>
      <c r="Y620" s="6">
        <v>46023</v>
      </c>
    </row>
    <row r="621" spans="1:26" x14ac:dyDescent="0.3">
      <c r="A621" t="s">
        <v>726</v>
      </c>
      <c r="B621" s="5">
        <v>46186</v>
      </c>
      <c r="C621" s="5">
        <v>46186</v>
      </c>
      <c r="D621" s="5">
        <v>46190</v>
      </c>
      <c r="E621" s="5">
        <v>46190</v>
      </c>
      <c r="F621" t="s">
        <v>34</v>
      </c>
      <c r="G621" t="s">
        <v>56</v>
      </c>
      <c r="H621" t="s">
        <v>22</v>
      </c>
      <c r="I621" t="s">
        <v>43</v>
      </c>
      <c r="J621">
        <v>982.7</v>
      </c>
      <c r="K621">
        <v>2225.1999999999998</v>
      </c>
      <c r="L621">
        <v>13896000</v>
      </c>
      <c r="M621" t="b">
        <v>0</v>
      </c>
      <c r="N621" t="b">
        <v>0</v>
      </c>
      <c r="O621">
        <v>5000</v>
      </c>
      <c r="P621" t="b">
        <v>0</v>
      </c>
      <c r="Q621" t="b">
        <v>0</v>
      </c>
      <c r="R621" t="b">
        <v>0</v>
      </c>
      <c r="S621" t="s">
        <v>96</v>
      </c>
      <c r="T621" t="s">
        <v>1646</v>
      </c>
      <c r="U621">
        <v>44.503999999999998</v>
      </c>
      <c r="V621">
        <v>0</v>
      </c>
      <c r="W621">
        <v>0</v>
      </c>
      <c r="X621">
        <v>4</v>
      </c>
      <c r="Y621" s="6">
        <v>46174</v>
      </c>
    </row>
    <row r="622" spans="1:26" x14ac:dyDescent="0.3">
      <c r="A622" t="s">
        <v>727</v>
      </c>
      <c r="B622" s="5">
        <v>46131</v>
      </c>
      <c r="C622" s="5">
        <v>46131</v>
      </c>
      <c r="D622" s="5">
        <v>46133</v>
      </c>
      <c r="E622" s="5">
        <v>46134</v>
      </c>
      <c r="F622" t="s">
        <v>33</v>
      </c>
      <c r="G622" t="s">
        <v>62</v>
      </c>
      <c r="H622" t="s">
        <v>23</v>
      </c>
      <c r="I622" t="s">
        <v>43</v>
      </c>
      <c r="J622">
        <v>139.1</v>
      </c>
      <c r="K622">
        <v>2474.5</v>
      </c>
      <c r="L622">
        <v>2999000</v>
      </c>
      <c r="M622" t="b">
        <v>0</v>
      </c>
      <c r="N622" t="b">
        <v>0</v>
      </c>
      <c r="O622">
        <v>5000</v>
      </c>
      <c r="P622" t="b">
        <v>0</v>
      </c>
      <c r="Q622" t="b">
        <v>0</v>
      </c>
      <c r="R622" t="b">
        <v>0</v>
      </c>
      <c r="S622" t="s">
        <v>101</v>
      </c>
      <c r="T622" t="s">
        <v>1657</v>
      </c>
      <c r="U622">
        <v>49.49</v>
      </c>
      <c r="V622">
        <v>0</v>
      </c>
      <c r="W622">
        <v>0</v>
      </c>
      <c r="X622">
        <v>3</v>
      </c>
      <c r="Y622" s="6">
        <v>46113</v>
      </c>
      <c r="Z622">
        <v>1</v>
      </c>
    </row>
    <row r="623" spans="1:26" x14ac:dyDescent="0.3">
      <c r="A623" t="s">
        <v>728</v>
      </c>
      <c r="B623" s="5">
        <v>46041</v>
      </c>
      <c r="C623" s="5">
        <v>46042</v>
      </c>
      <c r="D623" s="5">
        <v>46045</v>
      </c>
      <c r="E623" s="5">
        <v>46045</v>
      </c>
      <c r="F623" t="s">
        <v>34</v>
      </c>
      <c r="G623" t="s">
        <v>54</v>
      </c>
      <c r="H623" t="s">
        <v>21</v>
      </c>
      <c r="I623" t="s">
        <v>45</v>
      </c>
      <c r="J623">
        <v>454.2</v>
      </c>
      <c r="K623">
        <v>441.3</v>
      </c>
      <c r="L623">
        <v>4270000</v>
      </c>
      <c r="M623" t="b">
        <v>0</v>
      </c>
      <c r="N623" t="b">
        <v>0</v>
      </c>
      <c r="O623">
        <v>1000</v>
      </c>
      <c r="P623" t="b">
        <v>0</v>
      </c>
      <c r="Q623" t="b">
        <v>0</v>
      </c>
      <c r="R623" t="b">
        <v>0</v>
      </c>
      <c r="S623" t="s">
        <v>96</v>
      </c>
      <c r="T623" t="s">
        <v>1635</v>
      </c>
      <c r="U623">
        <v>44.13</v>
      </c>
      <c r="V623">
        <v>0</v>
      </c>
      <c r="W623">
        <v>0</v>
      </c>
      <c r="X623">
        <v>3</v>
      </c>
      <c r="Y623" s="6">
        <v>46023</v>
      </c>
    </row>
    <row r="624" spans="1:26" x14ac:dyDescent="0.3">
      <c r="A624" t="s">
        <v>729</v>
      </c>
      <c r="B624" s="5">
        <v>46165</v>
      </c>
      <c r="C624" s="5">
        <v>46166</v>
      </c>
      <c r="D624" s="5">
        <v>46169</v>
      </c>
      <c r="E624" s="5">
        <v>46168</v>
      </c>
      <c r="F624" t="s">
        <v>31</v>
      </c>
      <c r="G624" t="s">
        <v>54</v>
      </c>
      <c r="H624" t="s">
        <v>24</v>
      </c>
      <c r="I624" t="s">
        <v>45</v>
      </c>
      <c r="J624">
        <v>518</v>
      </c>
      <c r="K624">
        <v>466.3</v>
      </c>
      <c r="L624">
        <v>4959000</v>
      </c>
      <c r="M624" t="b">
        <v>0</v>
      </c>
      <c r="N624" t="b">
        <v>0</v>
      </c>
      <c r="O624">
        <v>1000</v>
      </c>
      <c r="P624" t="b">
        <v>0</v>
      </c>
      <c r="Q624" t="b">
        <v>0</v>
      </c>
      <c r="R624" t="b">
        <v>0</v>
      </c>
      <c r="S624" t="s">
        <v>96</v>
      </c>
      <c r="T624" t="s">
        <v>1631</v>
      </c>
      <c r="U624">
        <v>46.63</v>
      </c>
      <c r="V624">
        <v>0</v>
      </c>
      <c r="W624">
        <v>0</v>
      </c>
      <c r="X624">
        <v>2</v>
      </c>
      <c r="Y624" s="6">
        <v>46143</v>
      </c>
    </row>
    <row r="625" spans="1:26" x14ac:dyDescent="0.3">
      <c r="A625" t="s">
        <v>730</v>
      </c>
      <c r="B625" s="5">
        <v>46152</v>
      </c>
      <c r="C625" s="5">
        <v>46152</v>
      </c>
      <c r="D625" s="5">
        <v>46156</v>
      </c>
      <c r="E625" s="5">
        <v>46157</v>
      </c>
      <c r="F625" t="s">
        <v>33</v>
      </c>
      <c r="G625" t="s">
        <v>56</v>
      </c>
      <c r="H625" t="s">
        <v>22</v>
      </c>
      <c r="I625" t="s">
        <v>42</v>
      </c>
      <c r="J625">
        <v>1477.2</v>
      </c>
      <c r="K625">
        <v>12935.5</v>
      </c>
      <c r="L625">
        <v>32026000</v>
      </c>
      <c r="M625" t="b">
        <v>0</v>
      </c>
      <c r="N625" t="b">
        <v>0</v>
      </c>
      <c r="O625">
        <v>16000</v>
      </c>
      <c r="P625" t="b">
        <v>0</v>
      </c>
      <c r="Q625" t="b">
        <v>0</v>
      </c>
      <c r="R625" t="b">
        <v>0</v>
      </c>
      <c r="S625" t="s">
        <v>101</v>
      </c>
      <c r="T625" t="s">
        <v>1654</v>
      </c>
      <c r="U625">
        <v>80.846874999999997</v>
      </c>
      <c r="V625">
        <v>0</v>
      </c>
      <c r="W625">
        <v>0</v>
      </c>
      <c r="X625">
        <v>5</v>
      </c>
      <c r="Y625" s="6">
        <v>46143</v>
      </c>
      <c r="Z625">
        <v>1</v>
      </c>
    </row>
    <row r="626" spans="1:26" x14ac:dyDescent="0.3">
      <c r="A626" t="s">
        <v>731</v>
      </c>
      <c r="B626" s="5">
        <v>46084</v>
      </c>
      <c r="C626" s="5">
        <v>46086</v>
      </c>
      <c r="D626" s="5">
        <v>46088</v>
      </c>
      <c r="E626" s="5">
        <v>46088</v>
      </c>
      <c r="F626" t="s">
        <v>34</v>
      </c>
      <c r="G626" t="s">
        <v>57</v>
      </c>
      <c r="H626" t="s">
        <v>24</v>
      </c>
      <c r="I626" t="s">
        <v>42</v>
      </c>
      <c r="J626">
        <v>172.4</v>
      </c>
      <c r="K626">
        <v>14741.8</v>
      </c>
      <c r="L626">
        <v>7949000</v>
      </c>
      <c r="M626" t="b">
        <v>0</v>
      </c>
      <c r="N626" t="b">
        <v>0</v>
      </c>
      <c r="O626">
        <v>16000</v>
      </c>
      <c r="P626" t="b">
        <v>0</v>
      </c>
      <c r="Q626" t="b">
        <v>0</v>
      </c>
      <c r="R626" t="b">
        <v>0</v>
      </c>
      <c r="S626" t="s">
        <v>96</v>
      </c>
      <c r="T626" t="s">
        <v>1620</v>
      </c>
      <c r="U626">
        <v>92.136250000000004</v>
      </c>
      <c r="V626">
        <v>0</v>
      </c>
      <c r="W626">
        <v>0</v>
      </c>
      <c r="X626">
        <v>2</v>
      </c>
      <c r="Y626" s="6">
        <v>46082</v>
      </c>
    </row>
    <row r="627" spans="1:26" x14ac:dyDescent="0.3">
      <c r="A627" t="s">
        <v>732</v>
      </c>
      <c r="B627" s="5">
        <v>46138</v>
      </c>
      <c r="C627" s="5">
        <v>46140</v>
      </c>
      <c r="D627" s="5">
        <v>46143</v>
      </c>
      <c r="E627" s="5">
        <v>46143</v>
      </c>
      <c r="F627" t="s">
        <v>34</v>
      </c>
      <c r="G627" t="s">
        <v>54</v>
      </c>
      <c r="H627" t="s">
        <v>22</v>
      </c>
      <c r="I627" t="s">
        <v>43</v>
      </c>
      <c r="J627">
        <v>457.1</v>
      </c>
      <c r="K627">
        <v>3144.8</v>
      </c>
      <c r="L627">
        <v>6723000</v>
      </c>
      <c r="M627" t="b">
        <v>0</v>
      </c>
      <c r="N627" t="b">
        <v>0</v>
      </c>
      <c r="O627">
        <v>5000</v>
      </c>
      <c r="P627" t="b">
        <v>0</v>
      </c>
      <c r="Q627" t="b">
        <v>0</v>
      </c>
      <c r="R627" t="b">
        <v>0</v>
      </c>
      <c r="S627" t="s">
        <v>96</v>
      </c>
      <c r="T627" t="s">
        <v>1635</v>
      </c>
      <c r="U627">
        <v>62.896000000000008</v>
      </c>
      <c r="V627">
        <v>0</v>
      </c>
      <c r="W627">
        <v>0</v>
      </c>
      <c r="X627">
        <v>3</v>
      </c>
      <c r="Y627" s="6">
        <v>46113</v>
      </c>
    </row>
    <row r="628" spans="1:26" x14ac:dyDescent="0.3">
      <c r="A628" t="s">
        <v>733</v>
      </c>
      <c r="B628" s="5">
        <v>46105</v>
      </c>
      <c r="C628" s="5">
        <v>46106</v>
      </c>
      <c r="D628" s="5">
        <v>46109</v>
      </c>
      <c r="E628" s="5">
        <v>46109</v>
      </c>
      <c r="F628" t="s">
        <v>31</v>
      </c>
      <c r="G628" t="s">
        <v>63</v>
      </c>
      <c r="H628" t="s">
        <v>24</v>
      </c>
      <c r="I628" t="s">
        <v>43</v>
      </c>
      <c r="J628">
        <v>286.7</v>
      </c>
      <c r="K628">
        <v>2413.3000000000002</v>
      </c>
      <c r="L628">
        <v>4848000</v>
      </c>
      <c r="M628" t="b">
        <v>0</v>
      </c>
      <c r="N628" t="b">
        <v>0</v>
      </c>
      <c r="O628">
        <v>5000</v>
      </c>
      <c r="P628" t="b">
        <v>0</v>
      </c>
      <c r="Q628" t="b">
        <v>0</v>
      </c>
      <c r="R628" t="b">
        <v>0</v>
      </c>
      <c r="S628" t="s">
        <v>96</v>
      </c>
      <c r="T628" t="s">
        <v>1640</v>
      </c>
      <c r="U628">
        <v>48.266000000000012</v>
      </c>
      <c r="V628">
        <v>0</v>
      </c>
      <c r="W628">
        <v>0</v>
      </c>
      <c r="X628">
        <v>3</v>
      </c>
      <c r="Y628" s="6">
        <v>46082</v>
      </c>
    </row>
    <row r="629" spans="1:26" x14ac:dyDescent="0.3">
      <c r="A629" t="s">
        <v>734</v>
      </c>
      <c r="B629" s="5">
        <v>46176</v>
      </c>
      <c r="C629" s="5">
        <v>46177</v>
      </c>
      <c r="D629" s="5">
        <v>46179</v>
      </c>
      <c r="E629" s="5">
        <v>46180</v>
      </c>
      <c r="F629" t="s">
        <v>33</v>
      </c>
      <c r="G629" t="s">
        <v>62</v>
      </c>
      <c r="H629" t="s">
        <v>24</v>
      </c>
      <c r="I629" t="s">
        <v>45</v>
      </c>
      <c r="J629">
        <v>154.5</v>
      </c>
      <c r="K629">
        <v>858.8</v>
      </c>
      <c r="L629">
        <v>2132000</v>
      </c>
      <c r="M629" t="b">
        <v>0</v>
      </c>
      <c r="N629" t="b">
        <v>0</v>
      </c>
      <c r="O629">
        <v>1000</v>
      </c>
      <c r="P629" t="b">
        <v>0</v>
      </c>
      <c r="Q629" t="b">
        <v>0</v>
      </c>
      <c r="R629" t="b">
        <v>0</v>
      </c>
      <c r="S629" t="s">
        <v>101</v>
      </c>
      <c r="T629" t="s">
        <v>1657</v>
      </c>
      <c r="U629">
        <v>85.88</v>
      </c>
      <c r="V629">
        <v>0</v>
      </c>
      <c r="W629">
        <v>0</v>
      </c>
      <c r="X629">
        <v>3</v>
      </c>
      <c r="Y629" s="6">
        <v>46174</v>
      </c>
      <c r="Z629">
        <v>1</v>
      </c>
    </row>
    <row r="630" spans="1:26" x14ac:dyDescent="0.3">
      <c r="A630" t="s">
        <v>735</v>
      </c>
      <c r="B630" s="5">
        <v>46149</v>
      </c>
      <c r="C630" s="5">
        <v>46150</v>
      </c>
      <c r="D630" s="5">
        <v>46152</v>
      </c>
      <c r="E630" s="5">
        <v>46151</v>
      </c>
      <c r="F630" t="s">
        <v>34</v>
      </c>
      <c r="G630" t="s">
        <v>52</v>
      </c>
      <c r="H630" t="s">
        <v>20</v>
      </c>
      <c r="I630" t="s">
        <v>44</v>
      </c>
      <c r="J630">
        <v>269.89999999999998</v>
      </c>
      <c r="K630">
        <v>1351.9</v>
      </c>
      <c r="L630">
        <v>4397000</v>
      </c>
      <c r="M630" t="b">
        <v>0</v>
      </c>
      <c r="N630" t="b">
        <v>0</v>
      </c>
      <c r="O630">
        <v>1500</v>
      </c>
      <c r="P630" t="b">
        <v>0</v>
      </c>
      <c r="Q630" t="b">
        <v>0</v>
      </c>
      <c r="R630" t="b">
        <v>0</v>
      </c>
      <c r="S630" t="s">
        <v>96</v>
      </c>
      <c r="T630" t="s">
        <v>1623</v>
      </c>
      <c r="U630">
        <v>90.126666666666679</v>
      </c>
      <c r="V630">
        <v>0</v>
      </c>
      <c r="W630">
        <v>0</v>
      </c>
      <c r="X630">
        <v>1</v>
      </c>
      <c r="Y630" s="6">
        <v>46143</v>
      </c>
    </row>
    <row r="631" spans="1:26" x14ac:dyDescent="0.3">
      <c r="A631" t="s">
        <v>736</v>
      </c>
      <c r="B631" s="5">
        <v>46130</v>
      </c>
      <c r="C631" s="5">
        <v>46132</v>
      </c>
      <c r="D631" s="5">
        <v>46137</v>
      </c>
      <c r="E631" s="5">
        <v>46137</v>
      </c>
      <c r="F631" t="s">
        <v>33</v>
      </c>
      <c r="G631" t="s">
        <v>61</v>
      </c>
      <c r="H631" t="s">
        <v>22</v>
      </c>
      <c r="I631" t="s">
        <v>45</v>
      </c>
      <c r="J631">
        <v>601.1</v>
      </c>
      <c r="K631">
        <v>639.6</v>
      </c>
      <c r="L631">
        <v>5956000</v>
      </c>
      <c r="M631" t="b">
        <v>0</v>
      </c>
      <c r="N631" t="b">
        <v>0</v>
      </c>
      <c r="O631">
        <v>1000</v>
      </c>
      <c r="P631" t="b">
        <v>0</v>
      </c>
      <c r="Q631" t="b">
        <v>0</v>
      </c>
      <c r="R631" t="b">
        <v>0</v>
      </c>
      <c r="S631" t="s">
        <v>96</v>
      </c>
      <c r="T631" t="s">
        <v>1643</v>
      </c>
      <c r="U631">
        <v>63.960000000000008</v>
      </c>
      <c r="V631">
        <v>0</v>
      </c>
      <c r="W631">
        <v>0</v>
      </c>
      <c r="X631">
        <v>5</v>
      </c>
      <c r="Y631" s="6">
        <v>46113</v>
      </c>
    </row>
    <row r="632" spans="1:26" x14ac:dyDescent="0.3">
      <c r="A632" t="s">
        <v>737</v>
      </c>
      <c r="B632" s="5">
        <v>46114</v>
      </c>
      <c r="C632" s="5">
        <v>46115</v>
      </c>
      <c r="D632" s="5">
        <v>46118</v>
      </c>
      <c r="E632" s="5">
        <v>46118</v>
      </c>
      <c r="F632" t="s">
        <v>34</v>
      </c>
      <c r="G632" t="s">
        <v>59</v>
      </c>
      <c r="H632" t="s">
        <v>24</v>
      </c>
      <c r="I632" t="s">
        <v>43</v>
      </c>
      <c r="J632">
        <v>332.3</v>
      </c>
      <c r="K632">
        <v>2789.1</v>
      </c>
      <c r="L632">
        <v>6377000</v>
      </c>
      <c r="M632" t="b">
        <v>0</v>
      </c>
      <c r="N632" t="b">
        <v>0</v>
      </c>
      <c r="O632">
        <v>5000</v>
      </c>
      <c r="P632" t="b">
        <v>0</v>
      </c>
      <c r="Q632" t="b">
        <v>0</v>
      </c>
      <c r="R632" t="b">
        <v>0</v>
      </c>
      <c r="S632" t="s">
        <v>96</v>
      </c>
      <c r="T632" t="s">
        <v>1616</v>
      </c>
      <c r="U632">
        <v>55.781999999999996</v>
      </c>
      <c r="V632">
        <v>0</v>
      </c>
      <c r="W632">
        <v>0</v>
      </c>
      <c r="X632">
        <v>3</v>
      </c>
      <c r="Y632" s="6">
        <v>46113</v>
      </c>
    </row>
    <row r="633" spans="1:26" x14ac:dyDescent="0.3">
      <c r="A633" t="s">
        <v>738</v>
      </c>
      <c r="B633" s="5">
        <v>46105</v>
      </c>
      <c r="C633" s="5">
        <v>46106</v>
      </c>
      <c r="D633" s="5">
        <v>46109</v>
      </c>
      <c r="E633" s="5">
        <v>46109</v>
      </c>
      <c r="F633" t="s">
        <v>34</v>
      </c>
      <c r="G633" t="s">
        <v>63</v>
      </c>
      <c r="H633" t="s">
        <v>20</v>
      </c>
      <c r="I633" t="s">
        <v>45</v>
      </c>
      <c r="J633">
        <v>340.1</v>
      </c>
      <c r="K633">
        <v>319.39999999999998</v>
      </c>
      <c r="L633">
        <v>3103000</v>
      </c>
      <c r="M633" t="b">
        <v>0</v>
      </c>
      <c r="N633" t="b">
        <v>0</v>
      </c>
      <c r="O633">
        <v>1000</v>
      </c>
      <c r="P633" t="b">
        <v>0</v>
      </c>
      <c r="Q633" t="b">
        <v>0</v>
      </c>
      <c r="R633" t="b">
        <v>0</v>
      </c>
      <c r="S633" t="s">
        <v>96</v>
      </c>
      <c r="T633" t="s">
        <v>1613</v>
      </c>
      <c r="U633">
        <v>31.94</v>
      </c>
      <c r="V633">
        <v>0</v>
      </c>
      <c r="W633">
        <v>0</v>
      </c>
      <c r="X633">
        <v>3</v>
      </c>
      <c r="Y633" s="6">
        <v>46082</v>
      </c>
    </row>
    <row r="634" spans="1:26" x14ac:dyDescent="0.3">
      <c r="A634" t="s">
        <v>739</v>
      </c>
      <c r="B634" s="5">
        <v>46054</v>
      </c>
      <c r="C634" s="5">
        <v>46056</v>
      </c>
      <c r="D634" s="5">
        <v>46059</v>
      </c>
      <c r="E634" s="5">
        <v>46060</v>
      </c>
      <c r="F634" t="s">
        <v>34</v>
      </c>
      <c r="G634" t="s">
        <v>54</v>
      </c>
      <c r="H634" t="s">
        <v>23</v>
      </c>
      <c r="I634" t="s">
        <v>44</v>
      </c>
      <c r="J634">
        <v>456.3</v>
      </c>
      <c r="K634">
        <v>1053.8</v>
      </c>
      <c r="L634">
        <v>5266000</v>
      </c>
      <c r="M634" t="b">
        <v>0</v>
      </c>
      <c r="N634" t="b">
        <v>0</v>
      </c>
      <c r="O634">
        <v>1500</v>
      </c>
      <c r="P634" t="b">
        <v>0</v>
      </c>
      <c r="Q634" t="b">
        <v>0</v>
      </c>
      <c r="R634" t="b">
        <v>0</v>
      </c>
      <c r="S634" t="s">
        <v>101</v>
      </c>
      <c r="T634" t="s">
        <v>1635</v>
      </c>
      <c r="U634">
        <v>70.25333333333333</v>
      </c>
      <c r="V634">
        <v>0</v>
      </c>
      <c r="W634">
        <v>0</v>
      </c>
      <c r="X634">
        <v>4</v>
      </c>
      <c r="Y634" s="6">
        <v>46054</v>
      </c>
      <c r="Z634">
        <v>1</v>
      </c>
    </row>
    <row r="635" spans="1:26" x14ac:dyDescent="0.3">
      <c r="A635" t="s">
        <v>740</v>
      </c>
      <c r="B635" s="5">
        <v>46033</v>
      </c>
      <c r="C635" s="5">
        <v>46034</v>
      </c>
      <c r="D635" s="5">
        <v>46035</v>
      </c>
      <c r="E635" s="5">
        <v>46035</v>
      </c>
      <c r="F635" t="s">
        <v>34</v>
      </c>
      <c r="G635" t="s">
        <v>55</v>
      </c>
      <c r="H635" t="s">
        <v>20</v>
      </c>
      <c r="I635" t="s">
        <v>45</v>
      </c>
      <c r="J635">
        <v>55</v>
      </c>
      <c r="K635">
        <v>595.70000000000005</v>
      </c>
      <c r="L635">
        <v>1063000</v>
      </c>
      <c r="M635" t="b">
        <v>0</v>
      </c>
      <c r="N635" t="b">
        <v>0</v>
      </c>
      <c r="O635">
        <v>1000</v>
      </c>
      <c r="P635" t="b">
        <v>0</v>
      </c>
      <c r="Q635" t="b">
        <v>0</v>
      </c>
      <c r="R635" t="b">
        <v>0</v>
      </c>
      <c r="S635" t="s">
        <v>96</v>
      </c>
      <c r="T635" t="s">
        <v>1639</v>
      </c>
      <c r="U635">
        <v>59.57</v>
      </c>
      <c r="V635">
        <v>0</v>
      </c>
      <c r="W635">
        <v>0</v>
      </c>
      <c r="X635">
        <v>1</v>
      </c>
      <c r="Y635" s="6">
        <v>46023</v>
      </c>
    </row>
    <row r="636" spans="1:26" x14ac:dyDescent="0.3">
      <c r="A636" t="s">
        <v>741</v>
      </c>
      <c r="B636" s="5">
        <v>46156</v>
      </c>
      <c r="C636" s="5">
        <v>46157</v>
      </c>
      <c r="D636" s="5">
        <v>46159</v>
      </c>
      <c r="E636" s="5">
        <v>46159</v>
      </c>
      <c r="F636" t="s">
        <v>31</v>
      </c>
      <c r="G636" t="s">
        <v>63</v>
      </c>
      <c r="H636" t="s">
        <v>21</v>
      </c>
      <c r="I636" t="s">
        <v>44</v>
      </c>
      <c r="J636">
        <v>292.8</v>
      </c>
      <c r="K636">
        <v>551.9</v>
      </c>
      <c r="L636">
        <v>3679000</v>
      </c>
      <c r="M636" t="b">
        <v>0</v>
      </c>
      <c r="N636" t="b">
        <v>0</v>
      </c>
      <c r="O636">
        <v>1500</v>
      </c>
      <c r="P636" t="b">
        <v>0</v>
      </c>
      <c r="Q636" t="b">
        <v>0</v>
      </c>
      <c r="R636" t="b">
        <v>0</v>
      </c>
      <c r="S636" t="s">
        <v>96</v>
      </c>
      <c r="T636" t="s">
        <v>1640</v>
      </c>
      <c r="U636">
        <v>36.793333333333337</v>
      </c>
      <c r="V636">
        <v>0</v>
      </c>
      <c r="W636">
        <v>0</v>
      </c>
      <c r="X636">
        <v>2</v>
      </c>
      <c r="Y636" s="6">
        <v>46143</v>
      </c>
    </row>
    <row r="637" spans="1:26" x14ac:dyDescent="0.3">
      <c r="A637" t="s">
        <v>742</v>
      </c>
      <c r="B637" s="5">
        <v>46079</v>
      </c>
      <c r="C637" s="5">
        <v>46080</v>
      </c>
      <c r="D637" s="5">
        <v>46084</v>
      </c>
      <c r="E637" s="5">
        <v>46084</v>
      </c>
      <c r="F637" t="s">
        <v>34</v>
      </c>
      <c r="G637" t="s">
        <v>62</v>
      </c>
      <c r="H637" t="s">
        <v>20</v>
      </c>
      <c r="I637" t="s">
        <v>43</v>
      </c>
      <c r="J637">
        <v>746.6</v>
      </c>
      <c r="K637">
        <v>990.6</v>
      </c>
      <c r="L637">
        <v>9237000</v>
      </c>
      <c r="M637" t="b">
        <v>0</v>
      </c>
      <c r="N637" t="b">
        <v>0</v>
      </c>
      <c r="O637">
        <v>5000</v>
      </c>
      <c r="P637" t="b">
        <v>0</v>
      </c>
      <c r="Q637" t="b">
        <v>0</v>
      </c>
      <c r="R637" t="b">
        <v>0</v>
      </c>
      <c r="S637" t="s">
        <v>96</v>
      </c>
      <c r="T637" t="s">
        <v>1649</v>
      </c>
      <c r="U637">
        <v>19.812000000000001</v>
      </c>
      <c r="V637">
        <v>0</v>
      </c>
      <c r="W637">
        <v>0</v>
      </c>
      <c r="X637">
        <v>4</v>
      </c>
      <c r="Y637" s="6">
        <v>46054</v>
      </c>
    </row>
    <row r="638" spans="1:26" x14ac:dyDescent="0.3">
      <c r="A638" t="s">
        <v>743</v>
      </c>
      <c r="B638" s="5">
        <v>46077</v>
      </c>
      <c r="C638" s="5">
        <v>46078</v>
      </c>
      <c r="D638" s="5">
        <v>46081</v>
      </c>
      <c r="E638" s="5">
        <v>46080</v>
      </c>
      <c r="F638" t="s">
        <v>31</v>
      </c>
      <c r="G638" t="s">
        <v>63</v>
      </c>
      <c r="H638" t="s">
        <v>21</v>
      </c>
      <c r="I638" t="s">
        <v>43</v>
      </c>
      <c r="J638">
        <v>301.7</v>
      </c>
      <c r="K638">
        <v>2055.8000000000002</v>
      </c>
      <c r="L638">
        <v>5141000</v>
      </c>
      <c r="M638" t="b">
        <v>0</v>
      </c>
      <c r="N638" t="b">
        <v>0</v>
      </c>
      <c r="O638">
        <v>5000</v>
      </c>
      <c r="P638" t="b">
        <v>0</v>
      </c>
      <c r="Q638" t="b">
        <v>0</v>
      </c>
      <c r="R638" t="b">
        <v>0</v>
      </c>
      <c r="S638" t="s">
        <v>96</v>
      </c>
      <c r="T638" t="s">
        <v>1640</v>
      </c>
      <c r="U638">
        <v>41.116</v>
      </c>
      <c r="V638">
        <v>0</v>
      </c>
      <c r="W638">
        <v>0</v>
      </c>
      <c r="X638">
        <v>2</v>
      </c>
      <c r="Y638" s="6">
        <v>46054</v>
      </c>
    </row>
    <row r="639" spans="1:26" x14ac:dyDescent="0.3">
      <c r="A639" t="s">
        <v>744</v>
      </c>
      <c r="B639" s="5">
        <v>46175</v>
      </c>
      <c r="C639" s="5">
        <v>46176</v>
      </c>
      <c r="D639" s="5">
        <v>46177</v>
      </c>
      <c r="E639" s="5">
        <v>46177</v>
      </c>
      <c r="F639" t="s">
        <v>31</v>
      </c>
      <c r="G639" t="s">
        <v>61</v>
      </c>
      <c r="H639" t="s">
        <v>21</v>
      </c>
      <c r="I639" t="s">
        <v>45</v>
      </c>
      <c r="J639">
        <v>55.2</v>
      </c>
      <c r="K639">
        <v>820.6</v>
      </c>
      <c r="L639">
        <v>1320000</v>
      </c>
      <c r="M639" t="b">
        <v>0</v>
      </c>
      <c r="N639" t="b">
        <v>0</v>
      </c>
      <c r="O639">
        <v>1000</v>
      </c>
      <c r="P639" t="b">
        <v>0</v>
      </c>
      <c r="Q639" t="b">
        <v>0</v>
      </c>
      <c r="R639" t="b">
        <v>0</v>
      </c>
      <c r="S639" t="s">
        <v>96</v>
      </c>
      <c r="T639" t="s">
        <v>1645</v>
      </c>
      <c r="U639">
        <v>82.06</v>
      </c>
      <c r="V639">
        <v>0</v>
      </c>
      <c r="W639">
        <v>0</v>
      </c>
      <c r="X639">
        <v>1</v>
      </c>
      <c r="Y639" s="6">
        <v>46174</v>
      </c>
    </row>
    <row r="640" spans="1:26" x14ac:dyDescent="0.3">
      <c r="A640" t="s">
        <v>745</v>
      </c>
      <c r="B640" s="5">
        <v>46196</v>
      </c>
      <c r="C640" s="5">
        <v>46197</v>
      </c>
      <c r="D640" s="5">
        <v>46201</v>
      </c>
      <c r="E640" s="5">
        <v>46202</v>
      </c>
      <c r="F640" t="s">
        <v>33</v>
      </c>
      <c r="G640" t="s">
        <v>61</v>
      </c>
      <c r="H640" t="s">
        <v>22</v>
      </c>
      <c r="I640" t="s">
        <v>43</v>
      </c>
      <c r="J640">
        <v>664.3</v>
      </c>
      <c r="K640">
        <v>4340.1000000000004</v>
      </c>
      <c r="L640">
        <v>10401000</v>
      </c>
      <c r="M640" t="b">
        <v>0</v>
      </c>
      <c r="N640" t="b">
        <v>0</v>
      </c>
      <c r="O640">
        <v>5000</v>
      </c>
      <c r="P640" t="b">
        <v>0</v>
      </c>
      <c r="Q640" t="b">
        <v>0</v>
      </c>
      <c r="R640" t="b">
        <v>0</v>
      </c>
      <c r="S640" t="s">
        <v>101</v>
      </c>
      <c r="T640" t="s">
        <v>1643</v>
      </c>
      <c r="U640">
        <v>86.802000000000007</v>
      </c>
      <c r="V640">
        <v>0</v>
      </c>
      <c r="W640">
        <v>0</v>
      </c>
      <c r="X640">
        <v>5</v>
      </c>
      <c r="Y640" s="6">
        <v>46174</v>
      </c>
      <c r="Z640">
        <v>1</v>
      </c>
    </row>
    <row r="641" spans="1:26" x14ac:dyDescent="0.3">
      <c r="A641" t="s">
        <v>746</v>
      </c>
      <c r="B641" s="5">
        <v>46175</v>
      </c>
      <c r="C641" s="5">
        <v>46176</v>
      </c>
      <c r="D641" s="5">
        <v>46180</v>
      </c>
      <c r="E641" s="5">
        <v>46179</v>
      </c>
      <c r="F641" t="s">
        <v>31</v>
      </c>
      <c r="G641" t="s">
        <v>59</v>
      </c>
      <c r="H641" t="s">
        <v>24</v>
      </c>
      <c r="I641" t="s">
        <v>44</v>
      </c>
      <c r="J641">
        <v>324.8</v>
      </c>
      <c r="K641">
        <v>300.5</v>
      </c>
      <c r="L641">
        <v>3398000</v>
      </c>
      <c r="M641" t="b">
        <v>0</v>
      </c>
      <c r="N641" t="b">
        <v>0</v>
      </c>
      <c r="O641">
        <v>1500</v>
      </c>
      <c r="P641" t="b">
        <v>0</v>
      </c>
      <c r="Q641" t="b">
        <v>0</v>
      </c>
      <c r="R641" t="b">
        <v>0</v>
      </c>
      <c r="S641" t="s">
        <v>96</v>
      </c>
      <c r="T641" t="s">
        <v>1628</v>
      </c>
      <c r="U641">
        <v>20.033333333333331</v>
      </c>
      <c r="V641">
        <v>0</v>
      </c>
      <c r="W641">
        <v>0</v>
      </c>
      <c r="X641">
        <v>3</v>
      </c>
      <c r="Y641" s="6">
        <v>46174</v>
      </c>
    </row>
    <row r="642" spans="1:26" x14ac:dyDescent="0.3">
      <c r="A642" t="s">
        <v>747</v>
      </c>
      <c r="B642" s="5">
        <v>46063</v>
      </c>
      <c r="C642" s="5">
        <v>46063</v>
      </c>
      <c r="D642" s="5">
        <v>46066</v>
      </c>
      <c r="E642" s="5">
        <v>46065</v>
      </c>
      <c r="F642" t="s">
        <v>33</v>
      </c>
      <c r="G642" t="s">
        <v>57</v>
      </c>
      <c r="H642" t="s">
        <v>23</v>
      </c>
      <c r="I642" t="s">
        <v>45</v>
      </c>
      <c r="J642">
        <v>479.9</v>
      </c>
      <c r="K642">
        <v>855.3</v>
      </c>
      <c r="L642">
        <v>4439000</v>
      </c>
      <c r="M642" t="b">
        <v>0</v>
      </c>
      <c r="N642" t="b">
        <v>0</v>
      </c>
      <c r="O642">
        <v>1000</v>
      </c>
      <c r="P642" t="b">
        <v>0</v>
      </c>
      <c r="Q642" t="b">
        <v>0</v>
      </c>
      <c r="R642" t="b">
        <v>0</v>
      </c>
      <c r="S642" t="s">
        <v>96</v>
      </c>
      <c r="T642" t="s">
        <v>1624</v>
      </c>
      <c r="U642">
        <v>85.53</v>
      </c>
      <c r="V642">
        <v>0</v>
      </c>
      <c r="W642">
        <v>0</v>
      </c>
      <c r="X642">
        <v>2</v>
      </c>
      <c r="Y642" s="6">
        <v>46054</v>
      </c>
    </row>
    <row r="643" spans="1:26" x14ac:dyDescent="0.3">
      <c r="A643" t="s">
        <v>748</v>
      </c>
      <c r="B643" s="5">
        <v>46052</v>
      </c>
      <c r="C643" s="5">
        <v>46053</v>
      </c>
      <c r="D643" s="5">
        <v>46056</v>
      </c>
      <c r="E643" s="5">
        <v>46057</v>
      </c>
      <c r="F643" t="s">
        <v>31</v>
      </c>
      <c r="G643" t="s">
        <v>63</v>
      </c>
      <c r="H643" t="s">
        <v>24</v>
      </c>
      <c r="I643" t="s">
        <v>45</v>
      </c>
      <c r="J643">
        <v>312.3</v>
      </c>
      <c r="K643">
        <v>629.70000000000005</v>
      </c>
      <c r="L643">
        <v>2839000</v>
      </c>
      <c r="M643" t="b">
        <v>0</v>
      </c>
      <c r="N643" t="b">
        <v>0</v>
      </c>
      <c r="O643">
        <v>1000</v>
      </c>
      <c r="P643" t="b">
        <v>0</v>
      </c>
      <c r="Q643" t="b">
        <v>0</v>
      </c>
      <c r="R643" t="b">
        <v>0</v>
      </c>
      <c r="S643" t="s">
        <v>101</v>
      </c>
      <c r="T643" t="s">
        <v>1640</v>
      </c>
      <c r="U643">
        <v>62.970000000000013</v>
      </c>
      <c r="V643">
        <v>0</v>
      </c>
      <c r="W643">
        <v>0</v>
      </c>
      <c r="X643">
        <v>4</v>
      </c>
      <c r="Y643" s="6">
        <v>46023</v>
      </c>
      <c r="Z643">
        <v>1</v>
      </c>
    </row>
    <row r="644" spans="1:26" x14ac:dyDescent="0.3">
      <c r="A644" t="s">
        <v>749</v>
      </c>
      <c r="B644" s="5">
        <v>46141</v>
      </c>
      <c r="C644" s="5">
        <v>46142</v>
      </c>
      <c r="D644" s="5">
        <v>46145</v>
      </c>
      <c r="E644" s="5">
        <v>46145</v>
      </c>
      <c r="F644" t="s">
        <v>34</v>
      </c>
      <c r="G644" t="s">
        <v>63</v>
      </c>
      <c r="H644" t="s">
        <v>21</v>
      </c>
      <c r="I644" t="s">
        <v>43</v>
      </c>
      <c r="J644">
        <v>355.5</v>
      </c>
      <c r="K644">
        <v>2063.8000000000002</v>
      </c>
      <c r="L644">
        <v>5583000</v>
      </c>
      <c r="M644" t="b">
        <v>0</v>
      </c>
      <c r="N644" t="b">
        <v>0</v>
      </c>
      <c r="O644">
        <v>5000</v>
      </c>
      <c r="P644" t="b">
        <v>0</v>
      </c>
      <c r="Q644" t="b">
        <v>0</v>
      </c>
      <c r="R644" t="b">
        <v>0</v>
      </c>
      <c r="S644" t="s">
        <v>96</v>
      </c>
      <c r="T644" t="s">
        <v>1613</v>
      </c>
      <c r="U644">
        <v>41.276000000000003</v>
      </c>
      <c r="V644">
        <v>0</v>
      </c>
      <c r="W644">
        <v>0</v>
      </c>
      <c r="X644">
        <v>3</v>
      </c>
      <c r="Y644" s="6">
        <v>46113</v>
      </c>
    </row>
    <row r="645" spans="1:26" x14ac:dyDescent="0.3">
      <c r="A645" t="s">
        <v>750</v>
      </c>
      <c r="B645" s="5">
        <v>46038</v>
      </c>
      <c r="C645" s="5">
        <v>46039</v>
      </c>
      <c r="D645" s="5">
        <v>46042</v>
      </c>
      <c r="E645" s="5">
        <v>46042</v>
      </c>
      <c r="F645" t="s">
        <v>34</v>
      </c>
      <c r="G645" t="s">
        <v>59</v>
      </c>
      <c r="H645" t="s">
        <v>23</v>
      </c>
      <c r="I645" t="s">
        <v>43</v>
      </c>
      <c r="J645">
        <v>335.1</v>
      </c>
      <c r="K645">
        <v>2688.4</v>
      </c>
      <c r="L645">
        <v>6475000</v>
      </c>
      <c r="M645" t="b">
        <v>0</v>
      </c>
      <c r="N645" t="b">
        <v>0</v>
      </c>
      <c r="O645">
        <v>5000</v>
      </c>
      <c r="P645" t="b">
        <v>0</v>
      </c>
      <c r="Q645" t="b">
        <v>0</v>
      </c>
      <c r="R645" t="b">
        <v>0</v>
      </c>
      <c r="S645" t="s">
        <v>96</v>
      </c>
      <c r="T645" t="s">
        <v>1616</v>
      </c>
      <c r="U645">
        <v>53.768000000000008</v>
      </c>
      <c r="V645">
        <v>0</v>
      </c>
      <c r="W645">
        <v>0</v>
      </c>
      <c r="X645">
        <v>3</v>
      </c>
      <c r="Y645" s="6">
        <v>46023</v>
      </c>
    </row>
    <row r="646" spans="1:26" x14ac:dyDescent="0.3">
      <c r="A646" t="s">
        <v>751</v>
      </c>
      <c r="B646" s="5">
        <v>46144</v>
      </c>
      <c r="C646" s="5">
        <v>46144</v>
      </c>
      <c r="D646" s="5">
        <v>46148</v>
      </c>
      <c r="E646" s="5">
        <v>46149</v>
      </c>
      <c r="F646" t="s">
        <v>34</v>
      </c>
      <c r="G646" t="s">
        <v>62</v>
      </c>
      <c r="H646" t="s">
        <v>22</v>
      </c>
      <c r="I646" t="s">
        <v>43</v>
      </c>
      <c r="J646">
        <v>645.4</v>
      </c>
      <c r="K646">
        <v>2130.1</v>
      </c>
      <c r="L646">
        <v>9192000</v>
      </c>
      <c r="M646" t="b">
        <v>0</v>
      </c>
      <c r="N646" t="b">
        <v>0</v>
      </c>
      <c r="O646">
        <v>5000</v>
      </c>
      <c r="P646" t="b">
        <v>0</v>
      </c>
      <c r="Q646" t="b">
        <v>0</v>
      </c>
      <c r="R646" t="b">
        <v>0</v>
      </c>
      <c r="S646" t="s">
        <v>101</v>
      </c>
      <c r="T646" t="s">
        <v>1649</v>
      </c>
      <c r="U646">
        <v>42.601999999999997</v>
      </c>
      <c r="V646">
        <v>0</v>
      </c>
      <c r="W646">
        <v>0</v>
      </c>
      <c r="X646">
        <v>5</v>
      </c>
      <c r="Y646" s="6">
        <v>46143</v>
      </c>
      <c r="Z646">
        <v>1</v>
      </c>
    </row>
    <row r="647" spans="1:26" x14ac:dyDescent="0.3">
      <c r="A647" t="s">
        <v>752</v>
      </c>
      <c r="B647" s="5">
        <v>46095</v>
      </c>
      <c r="C647" s="5">
        <v>46096</v>
      </c>
      <c r="D647" s="5">
        <v>46100</v>
      </c>
      <c r="E647" s="5">
        <v>46100</v>
      </c>
      <c r="F647" t="s">
        <v>32</v>
      </c>
      <c r="G647" t="s">
        <v>56</v>
      </c>
      <c r="H647" t="s">
        <v>21</v>
      </c>
      <c r="I647" t="s">
        <v>43</v>
      </c>
      <c r="J647">
        <v>1128.9000000000001</v>
      </c>
      <c r="K647">
        <v>912.7</v>
      </c>
      <c r="L647">
        <v>15051000</v>
      </c>
      <c r="M647" t="b">
        <v>0</v>
      </c>
      <c r="N647" t="b">
        <v>0</v>
      </c>
      <c r="O647">
        <v>5000</v>
      </c>
      <c r="P647" t="b">
        <v>0</v>
      </c>
      <c r="Q647" t="b">
        <v>0</v>
      </c>
      <c r="R647" t="b">
        <v>0</v>
      </c>
      <c r="S647" t="s">
        <v>96</v>
      </c>
      <c r="T647" t="s">
        <v>1658</v>
      </c>
      <c r="U647">
        <v>18.254000000000001</v>
      </c>
      <c r="V647">
        <v>0</v>
      </c>
      <c r="W647">
        <v>0</v>
      </c>
      <c r="X647">
        <v>4</v>
      </c>
      <c r="Y647" s="6">
        <v>46082</v>
      </c>
    </row>
    <row r="648" spans="1:26" x14ac:dyDescent="0.3">
      <c r="A648" t="s">
        <v>753</v>
      </c>
      <c r="B648" s="5">
        <v>46106</v>
      </c>
      <c r="C648" s="5">
        <v>46106</v>
      </c>
      <c r="D648" s="5">
        <v>46110</v>
      </c>
      <c r="E648" s="5">
        <v>46111</v>
      </c>
      <c r="F648" t="s">
        <v>34</v>
      </c>
      <c r="G648" t="s">
        <v>60</v>
      </c>
      <c r="H648" t="s">
        <v>20</v>
      </c>
      <c r="I648" t="s">
        <v>43</v>
      </c>
      <c r="J648">
        <v>626.5</v>
      </c>
      <c r="K648">
        <v>1357.8</v>
      </c>
      <c r="L648">
        <v>9691000</v>
      </c>
      <c r="M648" t="b">
        <v>0</v>
      </c>
      <c r="N648" t="b">
        <v>0</v>
      </c>
      <c r="O648">
        <v>5000</v>
      </c>
      <c r="P648" t="b">
        <v>0</v>
      </c>
      <c r="Q648" t="b">
        <v>0</v>
      </c>
      <c r="R648" t="b">
        <v>0</v>
      </c>
      <c r="S648" t="s">
        <v>101</v>
      </c>
      <c r="T648" t="s">
        <v>1644</v>
      </c>
      <c r="U648">
        <v>27.155999999999999</v>
      </c>
      <c r="V648">
        <v>0</v>
      </c>
      <c r="W648">
        <v>0</v>
      </c>
      <c r="X648">
        <v>5</v>
      </c>
      <c r="Y648" s="6">
        <v>46082</v>
      </c>
      <c r="Z648">
        <v>1</v>
      </c>
    </row>
    <row r="649" spans="1:26" x14ac:dyDescent="0.3">
      <c r="A649" t="s">
        <v>754</v>
      </c>
      <c r="B649" s="5">
        <v>46109</v>
      </c>
      <c r="C649" s="5">
        <v>46110</v>
      </c>
      <c r="D649" s="5">
        <v>46112</v>
      </c>
      <c r="E649" s="5">
        <v>46112</v>
      </c>
      <c r="F649" t="s">
        <v>31</v>
      </c>
      <c r="G649" t="s">
        <v>57</v>
      </c>
      <c r="H649" t="s">
        <v>20</v>
      </c>
      <c r="I649" t="s">
        <v>43</v>
      </c>
      <c r="J649">
        <v>131.6</v>
      </c>
      <c r="K649">
        <v>3308.6</v>
      </c>
      <c r="L649">
        <v>3584000</v>
      </c>
      <c r="M649" t="b">
        <v>0</v>
      </c>
      <c r="N649" t="b">
        <v>0</v>
      </c>
      <c r="O649">
        <v>5000</v>
      </c>
      <c r="P649" t="b">
        <v>0</v>
      </c>
      <c r="Q649" t="b">
        <v>0</v>
      </c>
      <c r="R649" t="b">
        <v>0</v>
      </c>
      <c r="S649" t="s">
        <v>96</v>
      </c>
      <c r="T649" t="s">
        <v>1617</v>
      </c>
      <c r="U649">
        <v>66.171999999999997</v>
      </c>
      <c r="V649">
        <v>0</v>
      </c>
      <c r="W649">
        <v>0</v>
      </c>
      <c r="X649">
        <v>2</v>
      </c>
      <c r="Y649" s="6">
        <v>46082</v>
      </c>
    </row>
    <row r="650" spans="1:26" x14ac:dyDescent="0.3">
      <c r="A650" t="s">
        <v>755</v>
      </c>
      <c r="B650" s="5">
        <v>46072</v>
      </c>
      <c r="C650" s="5">
        <v>46073</v>
      </c>
      <c r="D650" s="5">
        <v>46075</v>
      </c>
      <c r="E650" s="5">
        <v>46077</v>
      </c>
      <c r="F650" t="s">
        <v>31</v>
      </c>
      <c r="G650" t="s">
        <v>63</v>
      </c>
      <c r="H650" t="s">
        <v>23</v>
      </c>
      <c r="I650" t="s">
        <v>43</v>
      </c>
      <c r="J650">
        <v>298</v>
      </c>
      <c r="K650">
        <v>3651</v>
      </c>
      <c r="L650">
        <v>5480000</v>
      </c>
      <c r="M650" t="b">
        <v>0</v>
      </c>
      <c r="N650" t="b">
        <v>0</v>
      </c>
      <c r="O650">
        <v>5000</v>
      </c>
      <c r="P650" t="b">
        <v>0</v>
      </c>
      <c r="Q650" t="b">
        <v>0</v>
      </c>
      <c r="R650" t="b">
        <v>0</v>
      </c>
      <c r="S650" t="s">
        <v>101</v>
      </c>
      <c r="T650" t="s">
        <v>1640</v>
      </c>
      <c r="U650">
        <v>73.02</v>
      </c>
      <c r="V650">
        <v>0</v>
      </c>
      <c r="W650">
        <v>0</v>
      </c>
      <c r="X650">
        <v>4</v>
      </c>
      <c r="Y650" s="6">
        <v>46054</v>
      </c>
      <c r="Z650">
        <v>2</v>
      </c>
    </row>
    <row r="651" spans="1:26" x14ac:dyDescent="0.3">
      <c r="A651" t="s">
        <v>756</v>
      </c>
      <c r="B651" s="5">
        <v>46043</v>
      </c>
      <c r="C651" s="5">
        <v>46044</v>
      </c>
      <c r="D651" s="5">
        <v>46048</v>
      </c>
      <c r="E651" s="5">
        <v>46050</v>
      </c>
      <c r="F651" t="s">
        <v>31</v>
      </c>
      <c r="G651" t="s">
        <v>54</v>
      </c>
      <c r="H651" t="s">
        <v>24</v>
      </c>
      <c r="I651" t="s">
        <v>44</v>
      </c>
      <c r="J651">
        <v>491</v>
      </c>
      <c r="K651">
        <v>1266</v>
      </c>
      <c r="L651">
        <v>6236000</v>
      </c>
      <c r="M651" t="b">
        <v>0</v>
      </c>
      <c r="N651" t="b">
        <v>0</v>
      </c>
      <c r="O651">
        <v>1500</v>
      </c>
      <c r="P651" t="b">
        <v>0</v>
      </c>
      <c r="Q651" t="b">
        <v>0</v>
      </c>
      <c r="R651" t="b">
        <v>0</v>
      </c>
      <c r="S651" t="s">
        <v>101</v>
      </c>
      <c r="T651" t="s">
        <v>1631</v>
      </c>
      <c r="U651">
        <v>84.399999999999991</v>
      </c>
      <c r="V651">
        <v>0</v>
      </c>
      <c r="W651">
        <v>0</v>
      </c>
      <c r="X651">
        <v>6</v>
      </c>
      <c r="Y651" s="6">
        <v>46023</v>
      </c>
      <c r="Z651">
        <v>2</v>
      </c>
    </row>
    <row r="652" spans="1:26" x14ac:dyDescent="0.3">
      <c r="A652" t="s">
        <v>757</v>
      </c>
      <c r="B652" s="5">
        <v>46171</v>
      </c>
      <c r="C652" s="5">
        <v>46172</v>
      </c>
      <c r="D652" s="5">
        <v>46176</v>
      </c>
      <c r="E652" s="5">
        <v>46177</v>
      </c>
      <c r="F652" t="s">
        <v>34</v>
      </c>
      <c r="G652" t="s">
        <v>56</v>
      </c>
      <c r="H652" t="s">
        <v>23</v>
      </c>
      <c r="I652" t="s">
        <v>44</v>
      </c>
      <c r="J652">
        <v>937.5</v>
      </c>
      <c r="K652">
        <v>530.4</v>
      </c>
      <c r="L652">
        <v>9349000</v>
      </c>
      <c r="M652" t="b">
        <v>0</v>
      </c>
      <c r="N652" t="b">
        <v>0</v>
      </c>
      <c r="O652">
        <v>1500</v>
      </c>
      <c r="P652" t="b">
        <v>0</v>
      </c>
      <c r="Q652" t="b">
        <v>0</v>
      </c>
      <c r="R652" t="b">
        <v>0</v>
      </c>
      <c r="S652" t="s">
        <v>101</v>
      </c>
      <c r="T652" t="s">
        <v>1646</v>
      </c>
      <c r="U652">
        <v>35.36</v>
      </c>
      <c r="V652">
        <v>0</v>
      </c>
      <c r="W652">
        <v>0</v>
      </c>
      <c r="X652">
        <v>5</v>
      </c>
      <c r="Y652" s="6">
        <v>46143</v>
      </c>
      <c r="Z652">
        <v>1</v>
      </c>
    </row>
    <row r="653" spans="1:26" x14ac:dyDescent="0.3">
      <c r="A653" t="s">
        <v>758</v>
      </c>
      <c r="B653" s="5">
        <v>46043</v>
      </c>
      <c r="C653" s="5">
        <v>46044</v>
      </c>
      <c r="D653" s="5">
        <v>46045</v>
      </c>
      <c r="E653" s="5">
        <v>46045</v>
      </c>
      <c r="F653" t="s">
        <v>34</v>
      </c>
      <c r="G653" t="s">
        <v>55</v>
      </c>
      <c r="H653" t="s">
        <v>22</v>
      </c>
      <c r="I653" t="s">
        <v>43</v>
      </c>
      <c r="J653">
        <v>58.3</v>
      </c>
      <c r="K653">
        <v>4496.2</v>
      </c>
      <c r="L653">
        <v>3469000</v>
      </c>
      <c r="M653" t="b">
        <v>0</v>
      </c>
      <c r="N653" t="b">
        <v>0</v>
      </c>
      <c r="O653">
        <v>5000</v>
      </c>
      <c r="P653" t="b">
        <v>0</v>
      </c>
      <c r="Q653" t="b">
        <v>0</v>
      </c>
      <c r="R653" t="b">
        <v>0</v>
      </c>
      <c r="S653" t="s">
        <v>96</v>
      </c>
      <c r="T653" t="s">
        <v>1639</v>
      </c>
      <c r="U653">
        <v>89.923999999999992</v>
      </c>
      <c r="V653">
        <v>0</v>
      </c>
      <c r="W653">
        <v>0</v>
      </c>
      <c r="X653">
        <v>1</v>
      </c>
      <c r="Y653" s="6">
        <v>46023</v>
      </c>
    </row>
    <row r="654" spans="1:26" x14ac:dyDescent="0.3">
      <c r="A654" t="s">
        <v>759</v>
      </c>
      <c r="B654" s="5">
        <v>46171</v>
      </c>
      <c r="C654" s="5">
        <v>46172</v>
      </c>
      <c r="D654" s="5">
        <v>46175</v>
      </c>
      <c r="E654" s="5">
        <v>46174</v>
      </c>
      <c r="F654" t="s">
        <v>32</v>
      </c>
      <c r="G654" t="s">
        <v>58</v>
      </c>
      <c r="H654" t="s">
        <v>23</v>
      </c>
      <c r="I654" t="s">
        <v>43</v>
      </c>
      <c r="J654">
        <v>302.5</v>
      </c>
      <c r="K654">
        <v>3126.6</v>
      </c>
      <c r="L654">
        <v>5882000</v>
      </c>
      <c r="M654" t="b">
        <v>0</v>
      </c>
      <c r="N654" t="b">
        <v>0</v>
      </c>
      <c r="O654">
        <v>5000</v>
      </c>
      <c r="P654" t="b">
        <v>0</v>
      </c>
      <c r="Q654" t="b">
        <v>0</v>
      </c>
      <c r="R654" t="b">
        <v>0</v>
      </c>
      <c r="S654" t="s">
        <v>96</v>
      </c>
      <c r="T654" t="s">
        <v>1656</v>
      </c>
      <c r="U654">
        <v>62.531999999999996</v>
      </c>
      <c r="V654">
        <v>0</v>
      </c>
      <c r="W654">
        <v>0</v>
      </c>
      <c r="X654">
        <v>2</v>
      </c>
      <c r="Y654" s="6">
        <v>46143</v>
      </c>
    </row>
    <row r="655" spans="1:26" x14ac:dyDescent="0.3">
      <c r="A655" t="s">
        <v>760</v>
      </c>
      <c r="B655" s="5">
        <v>46129</v>
      </c>
      <c r="C655" s="5">
        <v>46130</v>
      </c>
      <c r="D655" s="5">
        <v>46133</v>
      </c>
      <c r="E655" s="5">
        <v>46133</v>
      </c>
      <c r="F655" t="s">
        <v>34</v>
      </c>
      <c r="G655" t="s">
        <v>63</v>
      </c>
      <c r="H655" t="s">
        <v>21</v>
      </c>
      <c r="I655" t="s">
        <v>42</v>
      </c>
      <c r="J655">
        <v>335.5</v>
      </c>
      <c r="K655">
        <v>6521.1</v>
      </c>
      <c r="L655">
        <v>8993000</v>
      </c>
      <c r="M655" t="b">
        <v>0</v>
      </c>
      <c r="N655" t="b">
        <v>0</v>
      </c>
      <c r="O655">
        <v>16000</v>
      </c>
      <c r="P655" t="b">
        <v>0</v>
      </c>
      <c r="Q655" t="b">
        <v>0</v>
      </c>
      <c r="R655" t="b">
        <v>0</v>
      </c>
      <c r="S655" t="s">
        <v>96</v>
      </c>
      <c r="T655" t="s">
        <v>1613</v>
      </c>
      <c r="U655">
        <v>40.756875000000001</v>
      </c>
      <c r="V655">
        <v>0</v>
      </c>
      <c r="W655">
        <v>0</v>
      </c>
      <c r="X655">
        <v>3</v>
      </c>
      <c r="Y655" s="6">
        <v>46113</v>
      </c>
    </row>
    <row r="656" spans="1:26" x14ac:dyDescent="0.3">
      <c r="A656" t="s">
        <v>761</v>
      </c>
      <c r="B656" s="5">
        <v>46166</v>
      </c>
      <c r="C656" s="5">
        <v>46167</v>
      </c>
      <c r="D656" s="5">
        <v>46169</v>
      </c>
      <c r="E656" s="5">
        <v>46169</v>
      </c>
      <c r="F656" t="s">
        <v>33</v>
      </c>
      <c r="G656" t="s">
        <v>60</v>
      </c>
      <c r="H656" t="s">
        <v>21</v>
      </c>
      <c r="I656" t="s">
        <v>45</v>
      </c>
      <c r="J656">
        <v>27.4</v>
      </c>
      <c r="K656">
        <v>607.29999999999995</v>
      </c>
      <c r="L656">
        <v>860000</v>
      </c>
      <c r="M656" t="b">
        <v>0</v>
      </c>
      <c r="N656" t="b">
        <v>0</v>
      </c>
      <c r="O656">
        <v>1000</v>
      </c>
      <c r="P656" t="b">
        <v>0</v>
      </c>
      <c r="Q656" t="b">
        <v>0</v>
      </c>
      <c r="R656" t="b">
        <v>0</v>
      </c>
      <c r="S656" t="s">
        <v>96</v>
      </c>
      <c r="T656" t="s">
        <v>1650</v>
      </c>
      <c r="U656">
        <v>60.73</v>
      </c>
      <c r="V656">
        <v>0</v>
      </c>
      <c r="W656">
        <v>0</v>
      </c>
      <c r="X656">
        <v>2</v>
      </c>
      <c r="Y656" s="6">
        <v>46143</v>
      </c>
    </row>
    <row r="657" spans="1:26" x14ac:dyDescent="0.3">
      <c r="A657" t="s">
        <v>762</v>
      </c>
      <c r="B657" s="5">
        <v>46028</v>
      </c>
      <c r="C657" s="5">
        <v>46028</v>
      </c>
      <c r="D657" s="5">
        <v>46032</v>
      </c>
      <c r="E657" s="5">
        <v>46032</v>
      </c>
      <c r="F657" t="s">
        <v>33</v>
      </c>
      <c r="G657" t="s">
        <v>54</v>
      </c>
      <c r="H657" t="s">
        <v>21</v>
      </c>
      <c r="I657" t="s">
        <v>43</v>
      </c>
      <c r="J657">
        <v>955.6</v>
      </c>
      <c r="K657">
        <v>3302.2</v>
      </c>
      <c r="L657">
        <v>16031000</v>
      </c>
      <c r="M657" t="b">
        <v>0</v>
      </c>
      <c r="N657" t="b">
        <v>0</v>
      </c>
      <c r="O657">
        <v>5000</v>
      </c>
      <c r="P657" t="b">
        <v>0</v>
      </c>
      <c r="Q657" t="b">
        <v>0</v>
      </c>
      <c r="R657" t="b">
        <v>0</v>
      </c>
      <c r="S657" t="s">
        <v>96</v>
      </c>
      <c r="T657" t="s">
        <v>1642</v>
      </c>
      <c r="U657">
        <v>66.043999999999997</v>
      </c>
      <c r="V657">
        <v>0</v>
      </c>
      <c r="W657">
        <v>0</v>
      </c>
      <c r="X657">
        <v>4</v>
      </c>
      <c r="Y657" s="6">
        <v>46023</v>
      </c>
    </row>
    <row r="658" spans="1:26" x14ac:dyDescent="0.3">
      <c r="A658" t="s">
        <v>763</v>
      </c>
      <c r="B658" s="5">
        <v>46146</v>
      </c>
      <c r="C658" s="5">
        <v>46146</v>
      </c>
      <c r="D658" s="5">
        <v>46148</v>
      </c>
      <c r="E658" s="5">
        <v>46148</v>
      </c>
      <c r="F658" t="s">
        <v>31</v>
      </c>
      <c r="G658" t="s">
        <v>58</v>
      </c>
      <c r="H658" t="s">
        <v>22</v>
      </c>
      <c r="I658" t="s">
        <v>44</v>
      </c>
      <c r="J658">
        <v>194</v>
      </c>
      <c r="K658">
        <v>652.6</v>
      </c>
      <c r="L658">
        <v>2179000</v>
      </c>
      <c r="M658" t="b">
        <v>0</v>
      </c>
      <c r="N658" t="b">
        <v>0</v>
      </c>
      <c r="O658">
        <v>1500</v>
      </c>
      <c r="P658" t="b">
        <v>0</v>
      </c>
      <c r="Q658" t="b">
        <v>0</v>
      </c>
      <c r="R658" t="b">
        <v>0</v>
      </c>
      <c r="S658" t="s">
        <v>96</v>
      </c>
      <c r="T658" t="s">
        <v>1621</v>
      </c>
      <c r="U658">
        <v>43.506666666666668</v>
      </c>
      <c r="V658">
        <v>0</v>
      </c>
      <c r="W658">
        <v>0</v>
      </c>
      <c r="X658">
        <v>2</v>
      </c>
      <c r="Y658" s="6">
        <v>46143</v>
      </c>
    </row>
    <row r="659" spans="1:26" x14ac:dyDescent="0.3">
      <c r="A659" t="s">
        <v>764</v>
      </c>
      <c r="B659" s="5">
        <v>46132</v>
      </c>
      <c r="C659" s="5">
        <v>46133</v>
      </c>
      <c r="D659" s="5">
        <v>46134</v>
      </c>
      <c r="E659" s="5">
        <v>46136</v>
      </c>
      <c r="F659" t="s">
        <v>34</v>
      </c>
      <c r="G659" t="s">
        <v>61</v>
      </c>
      <c r="H659" t="s">
        <v>24</v>
      </c>
      <c r="I659" t="s">
        <v>43</v>
      </c>
      <c r="J659">
        <v>22.1</v>
      </c>
      <c r="K659">
        <v>577.5</v>
      </c>
      <c r="L659">
        <v>1157000</v>
      </c>
      <c r="M659" t="b">
        <v>0</v>
      </c>
      <c r="N659" t="b">
        <v>0</v>
      </c>
      <c r="O659">
        <v>5000</v>
      </c>
      <c r="P659" t="b">
        <v>0</v>
      </c>
      <c r="Q659" t="b">
        <v>0</v>
      </c>
      <c r="R659" t="b">
        <v>0</v>
      </c>
      <c r="S659" t="s">
        <v>101</v>
      </c>
      <c r="T659" t="s">
        <v>1638</v>
      </c>
      <c r="U659">
        <v>11.55</v>
      </c>
      <c r="V659">
        <v>0</v>
      </c>
      <c r="W659">
        <v>0</v>
      </c>
      <c r="X659">
        <v>3</v>
      </c>
      <c r="Y659" s="6">
        <v>46113</v>
      </c>
      <c r="Z659">
        <v>2</v>
      </c>
    </row>
    <row r="660" spans="1:26" x14ac:dyDescent="0.3">
      <c r="A660" t="s">
        <v>765</v>
      </c>
      <c r="B660" s="5">
        <v>46132</v>
      </c>
      <c r="C660" s="5">
        <v>46133</v>
      </c>
      <c r="D660" s="5">
        <v>46136</v>
      </c>
      <c r="E660" s="5">
        <v>46136</v>
      </c>
      <c r="F660" t="s">
        <v>31</v>
      </c>
      <c r="G660" t="s">
        <v>57</v>
      </c>
      <c r="H660" t="s">
        <v>21</v>
      </c>
      <c r="I660" t="s">
        <v>44</v>
      </c>
      <c r="J660">
        <v>120.5</v>
      </c>
      <c r="K660">
        <v>680.9</v>
      </c>
      <c r="L660">
        <v>1663000</v>
      </c>
      <c r="M660" t="b">
        <v>0</v>
      </c>
      <c r="N660" t="b">
        <v>0</v>
      </c>
      <c r="O660">
        <v>1500</v>
      </c>
      <c r="P660" t="b">
        <v>0</v>
      </c>
      <c r="Q660" t="b">
        <v>0</v>
      </c>
      <c r="R660" t="b">
        <v>0</v>
      </c>
      <c r="S660" t="s">
        <v>96</v>
      </c>
      <c r="T660" t="s">
        <v>1617</v>
      </c>
      <c r="U660">
        <v>45.393333333333331</v>
      </c>
      <c r="V660">
        <v>0</v>
      </c>
      <c r="W660">
        <v>0</v>
      </c>
      <c r="X660">
        <v>3</v>
      </c>
      <c r="Y660" s="6">
        <v>46113</v>
      </c>
    </row>
    <row r="661" spans="1:26" x14ac:dyDescent="0.3">
      <c r="A661" t="s">
        <v>766</v>
      </c>
      <c r="B661" s="5">
        <v>46145</v>
      </c>
      <c r="C661" s="5">
        <v>46147</v>
      </c>
      <c r="D661" s="5">
        <v>46148</v>
      </c>
      <c r="E661" s="5">
        <v>46148</v>
      </c>
      <c r="F661" t="s">
        <v>33</v>
      </c>
      <c r="G661" t="s">
        <v>60</v>
      </c>
      <c r="H661" t="s">
        <v>22</v>
      </c>
      <c r="I661" t="s">
        <v>42</v>
      </c>
      <c r="J661">
        <v>24.2</v>
      </c>
      <c r="K661">
        <v>11628.6</v>
      </c>
      <c r="L661">
        <v>5312000</v>
      </c>
      <c r="M661" t="b">
        <v>0</v>
      </c>
      <c r="N661" t="b">
        <v>0</v>
      </c>
      <c r="O661">
        <v>16000</v>
      </c>
      <c r="P661" t="b">
        <v>0</v>
      </c>
      <c r="Q661" t="b">
        <v>0</v>
      </c>
      <c r="R661" t="b">
        <v>0</v>
      </c>
      <c r="S661" t="s">
        <v>96</v>
      </c>
      <c r="T661" t="s">
        <v>1650</v>
      </c>
      <c r="U661">
        <v>72.678750000000008</v>
      </c>
      <c r="V661">
        <v>0</v>
      </c>
      <c r="W661">
        <v>0</v>
      </c>
      <c r="X661">
        <v>1</v>
      </c>
      <c r="Y661" s="6">
        <v>46143</v>
      </c>
    </row>
    <row r="662" spans="1:26" x14ac:dyDescent="0.3">
      <c r="A662" t="s">
        <v>767</v>
      </c>
      <c r="B662" s="5">
        <v>46139</v>
      </c>
      <c r="C662" s="5">
        <v>46141</v>
      </c>
      <c r="D662" s="5">
        <v>46146</v>
      </c>
      <c r="E662" s="5">
        <v>46149</v>
      </c>
      <c r="F662" t="s">
        <v>33</v>
      </c>
      <c r="G662" t="s">
        <v>56</v>
      </c>
      <c r="H662" t="s">
        <v>22</v>
      </c>
      <c r="I662" t="s">
        <v>43</v>
      </c>
      <c r="J662">
        <v>1495.8</v>
      </c>
      <c r="K662">
        <v>3596</v>
      </c>
      <c r="L662">
        <v>22778000</v>
      </c>
      <c r="M662" t="b">
        <v>0</v>
      </c>
      <c r="N662" t="b">
        <v>0</v>
      </c>
      <c r="O662">
        <v>5000</v>
      </c>
      <c r="P662" t="b">
        <v>0</v>
      </c>
      <c r="Q662" t="b">
        <v>0</v>
      </c>
      <c r="R662" t="b">
        <v>0</v>
      </c>
      <c r="S662" t="s">
        <v>101</v>
      </c>
      <c r="T662" t="s">
        <v>1654</v>
      </c>
      <c r="U662">
        <v>71.92</v>
      </c>
      <c r="V662">
        <v>0</v>
      </c>
      <c r="W662">
        <v>0</v>
      </c>
      <c r="X662">
        <v>8</v>
      </c>
      <c r="Y662" s="6">
        <v>46113</v>
      </c>
      <c r="Z662">
        <v>3</v>
      </c>
    </row>
    <row r="663" spans="1:26" x14ac:dyDescent="0.3">
      <c r="A663" t="s">
        <v>768</v>
      </c>
      <c r="B663" s="5">
        <v>46197</v>
      </c>
      <c r="C663" s="5">
        <v>46198</v>
      </c>
      <c r="D663" s="5">
        <v>46202</v>
      </c>
      <c r="E663" s="5">
        <v>46205</v>
      </c>
      <c r="F663" t="s">
        <v>31</v>
      </c>
      <c r="G663" t="s">
        <v>62</v>
      </c>
      <c r="H663" t="s">
        <v>22</v>
      </c>
      <c r="I663" t="s">
        <v>43</v>
      </c>
      <c r="J663">
        <v>693</v>
      </c>
      <c r="K663">
        <v>3514.5</v>
      </c>
      <c r="L663">
        <v>10807000</v>
      </c>
      <c r="M663" t="b">
        <v>0</v>
      </c>
      <c r="N663" t="b">
        <v>0</v>
      </c>
      <c r="O663">
        <v>5000</v>
      </c>
      <c r="P663" t="b">
        <v>0</v>
      </c>
      <c r="Q663" t="b">
        <v>0</v>
      </c>
      <c r="R663" t="b">
        <v>0</v>
      </c>
      <c r="S663" t="s">
        <v>101</v>
      </c>
      <c r="T663" t="s">
        <v>1615</v>
      </c>
      <c r="U663">
        <v>70.289999999999992</v>
      </c>
      <c r="V663">
        <v>0</v>
      </c>
      <c r="W663">
        <v>0</v>
      </c>
      <c r="X663">
        <v>7</v>
      </c>
      <c r="Y663" s="6">
        <v>46174</v>
      </c>
      <c r="Z663">
        <v>3</v>
      </c>
    </row>
    <row r="664" spans="1:26" x14ac:dyDescent="0.3">
      <c r="A664" t="s">
        <v>769</v>
      </c>
      <c r="B664" s="5">
        <v>46074</v>
      </c>
      <c r="C664" s="5">
        <v>46075</v>
      </c>
      <c r="D664" s="5">
        <v>46078</v>
      </c>
      <c r="E664" s="5">
        <v>46078</v>
      </c>
      <c r="F664" t="s">
        <v>33</v>
      </c>
      <c r="G664" t="s">
        <v>57</v>
      </c>
      <c r="H664" t="s">
        <v>24</v>
      </c>
      <c r="I664" t="s">
        <v>44</v>
      </c>
      <c r="J664">
        <v>412</v>
      </c>
      <c r="K664">
        <v>218.9</v>
      </c>
      <c r="L664">
        <v>4465000</v>
      </c>
      <c r="M664" t="b">
        <v>0</v>
      </c>
      <c r="N664" t="b">
        <v>0</v>
      </c>
      <c r="O664">
        <v>1500</v>
      </c>
      <c r="P664" t="b">
        <v>0</v>
      </c>
      <c r="Q664" t="b">
        <v>0</v>
      </c>
      <c r="R664" t="b">
        <v>0</v>
      </c>
      <c r="S664" t="s">
        <v>96</v>
      </c>
      <c r="T664" t="s">
        <v>1624</v>
      </c>
      <c r="U664">
        <v>14.59333333333333</v>
      </c>
      <c r="V664">
        <v>0</v>
      </c>
      <c r="W664">
        <v>0</v>
      </c>
      <c r="X664">
        <v>3</v>
      </c>
      <c r="Y664" s="6">
        <v>46054</v>
      </c>
    </row>
    <row r="665" spans="1:26" x14ac:dyDescent="0.3">
      <c r="A665" t="s">
        <v>770</v>
      </c>
      <c r="B665" s="5">
        <v>46184</v>
      </c>
      <c r="C665" s="5">
        <v>46185</v>
      </c>
      <c r="D665" s="5">
        <v>46186</v>
      </c>
      <c r="E665" s="5">
        <v>46188</v>
      </c>
      <c r="F665" t="s">
        <v>31</v>
      </c>
      <c r="G665" t="s">
        <v>61</v>
      </c>
      <c r="H665" t="s">
        <v>22</v>
      </c>
      <c r="I665" t="s">
        <v>43</v>
      </c>
      <c r="J665">
        <v>50.6</v>
      </c>
      <c r="K665">
        <v>979</v>
      </c>
      <c r="L665">
        <v>1686000</v>
      </c>
      <c r="M665" t="b">
        <v>0</v>
      </c>
      <c r="N665" t="b">
        <v>0</v>
      </c>
      <c r="O665">
        <v>5000</v>
      </c>
      <c r="P665" t="b">
        <v>0</v>
      </c>
      <c r="Q665" t="b">
        <v>0</v>
      </c>
      <c r="R665" t="b">
        <v>0</v>
      </c>
      <c r="S665" t="s">
        <v>101</v>
      </c>
      <c r="T665" t="s">
        <v>1645</v>
      </c>
      <c r="U665">
        <v>19.579999999999998</v>
      </c>
      <c r="V665">
        <v>0</v>
      </c>
      <c r="W665">
        <v>0</v>
      </c>
      <c r="X665">
        <v>3</v>
      </c>
      <c r="Y665" s="6">
        <v>46174</v>
      </c>
      <c r="Z665">
        <v>2</v>
      </c>
    </row>
    <row r="666" spans="1:26" x14ac:dyDescent="0.3">
      <c r="A666" t="s">
        <v>771</v>
      </c>
      <c r="B666" s="5">
        <v>46164</v>
      </c>
      <c r="C666" s="5">
        <v>46164</v>
      </c>
      <c r="D666" s="5">
        <v>46166</v>
      </c>
      <c r="E666" s="5">
        <v>46165</v>
      </c>
      <c r="F666" t="s">
        <v>33</v>
      </c>
      <c r="G666" t="s">
        <v>63</v>
      </c>
      <c r="H666" t="s">
        <v>22</v>
      </c>
      <c r="I666" t="s">
        <v>43</v>
      </c>
      <c r="J666">
        <v>288.89999999999998</v>
      </c>
      <c r="K666">
        <v>2399</v>
      </c>
      <c r="L666">
        <v>5342000</v>
      </c>
      <c r="M666" t="b">
        <v>0</v>
      </c>
      <c r="N666" t="b">
        <v>0</v>
      </c>
      <c r="O666">
        <v>5000</v>
      </c>
      <c r="P666" t="b">
        <v>0</v>
      </c>
      <c r="Q666" t="b">
        <v>0</v>
      </c>
      <c r="R666" t="b">
        <v>0</v>
      </c>
      <c r="S666" t="s">
        <v>96</v>
      </c>
      <c r="T666" t="s">
        <v>1625</v>
      </c>
      <c r="U666">
        <v>47.98</v>
      </c>
      <c r="V666">
        <v>0</v>
      </c>
      <c r="W666">
        <v>0</v>
      </c>
      <c r="X666">
        <v>1</v>
      </c>
      <c r="Y666" s="6">
        <v>46143</v>
      </c>
    </row>
    <row r="667" spans="1:26" x14ac:dyDescent="0.3">
      <c r="A667" t="s">
        <v>772</v>
      </c>
      <c r="B667" s="5">
        <v>46052</v>
      </c>
      <c r="C667" s="5">
        <v>46051</v>
      </c>
      <c r="D667" s="5">
        <v>46055</v>
      </c>
      <c r="E667" s="5">
        <v>46056</v>
      </c>
      <c r="F667" t="s">
        <v>32</v>
      </c>
      <c r="G667" t="s">
        <v>53</v>
      </c>
      <c r="H667" t="s">
        <v>22</v>
      </c>
      <c r="I667" t="s">
        <v>42</v>
      </c>
      <c r="J667">
        <v>275.10000000000002</v>
      </c>
      <c r="K667">
        <v>5566</v>
      </c>
      <c r="L667">
        <v>7192000</v>
      </c>
      <c r="M667" t="b">
        <v>1</v>
      </c>
      <c r="N667" t="b">
        <v>0</v>
      </c>
      <c r="O667">
        <v>16000</v>
      </c>
      <c r="P667" t="b">
        <v>0</v>
      </c>
      <c r="Q667" t="b">
        <v>0</v>
      </c>
      <c r="R667" t="b">
        <v>1</v>
      </c>
      <c r="S667" t="s">
        <v>260</v>
      </c>
      <c r="T667" t="s">
        <v>1612</v>
      </c>
      <c r="U667">
        <v>34.787500000000001</v>
      </c>
      <c r="V667">
        <v>0</v>
      </c>
      <c r="W667">
        <v>1</v>
      </c>
      <c r="Y667" s="6">
        <v>46023</v>
      </c>
    </row>
    <row r="668" spans="1:26" x14ac:dyDescent="0.3">
      <c r="A668" t="s">
        <v>773</v>
      </c>
      <c r="B668" s="5">
        <v>46030</v>
      </c>
      <c r="C668" s="5">
        <v>46031</v>
      </c>
      <c r="D668" s="5">
        <v>46032</v>
      </c>
      <c r="E668" s="5">
        <v>46032</v>
      </c>
      <c r="F668" t="s">
        <v>34</v>
      </c>
      <c r="G668" t="s">
        <v>55</v>
      </c>
      <c r="H668" t="s">
        <v>22</v>
      </c>
      <c r="I668" t="s">
        <v>45</v>
      </c>
      <c r="J668">
        <v>57.7</v>
      </c>
      <c r="K668">
        <v>362.5</v>
      </c>
      <c r="L668">
        <v>1124000</v>
      </c>
      <c r="M668" t="b">
        <v>0</v>
      </c>
      <c r="N668" t="b">
        <v>0</v>
      </c>
      <c r="O668">
        <v>1000</v>
      </c>
      <c r="P668" t="b">
        <v>0</v>
      </c>
      <c r="Q668" t="b">
        <v>0</v>
      </c>
      <c r="R668" t="b">
        <v>0</v>
      </c>
      <c r="S668" t="s">
        <v>96</v>
      </c>
      <c r="T668" t="s">
        <v>1639</v>
      </c>
      <c r="U668">
        <v>36.25</v>
      </c>
      <c r="V668">
        <v>0</v>
      </c>
      <c r="W668">
        <v>0</v>
      </c>
      <c r="X668">
        <v>1</v>
      </c>
      <c r="Y668" s="6">
        <v>46023</v>
      </c>
    </row>
    <row r="669" spans="1:26" x14ac:dyDescent="0.3">
      <c r="A669" t="s">
        <v>774</v>
      </c>
      <c r="B669" s="5">
        <v>46093</v>
      </c>
      <c r="C669" s="5">
        <v>46094</v>
      </c>
      <c r="D669" s="5">
        <v>46095</v>
      </c>
      <c r="E669" s="5">
        <v>46097</v>
      </c>
      <c r="F669" t="s">
        <v>34</v>
      </c>
      <c r="G669" t="s">
        <v>61</v>
      </c>
      <c r="H669" t="s">
        <v>23</v>
      </c>
      <c r="I669" t="s">
        <v>44</v>
      </c>
      <c r="J669">
        <v>19.7</v>
      </c>
      <c r="K669">
        <v>682</v>
      </c>
      <c r="L669">
        <v>975000</v>
      </c>
      <c r="M669" t="b">
        <v>0</v>
      </c>
      <c r="N669" t="b">
        <v>0</v>
      </c>
      <c r="O669">
        <v>1500</v>
      </c>
      <c r="P669" t="b">
        <v>0</v>
      </c>
      <c r="Q669" t="b">
        <v>0</v>
      </c>
      <c r="R669" t="b">
        <v>0</v>
      </c>
      <c r="S669" t="s">
        <v>101</v>
      </c>
      <c r="T669" t="s">
        <v>1638</v>
      </c>
      <c r="U669">
        <v>45.466666666666669</v>
      </c>
      <c r="V669">
        <v>0</v>
      </c>
      <c r="W669">
        <v>0</v>
      </c>
      <c r="X669">
        <v>3</v>
      </c>
      <c r="Y669" s="6">
        <v>46082</v>
      </c>
      <c r="Z669">
        <v>2</v>
      </c>
    </row>
    <row r="670" spans="1:26" x14ac:dyDescent="0.3">
      <c r="A670" t="s">
        <v>775</v>
      </c>
      <c r="B670" s="5">
        <v>46104</v>
      </c>
      <c r="C670" s="5">
        <v>46105</v>
      </c>
      <c r="D670" s="5">
        <v>46107</v>
      </c>
      <c r="E670" s="5">
        <v>46107</v>
      </c>
      <c r="F670" t="s">
        <v>32</v>
      </c>
      <c r="G670" t="s">
        <v>61</v>
      </c>
      <c r="H670" t="s">
        <v>20</v>
      </c>
      <c r="I670" t="s">
        <v>42</v>
      </c>
      <c r="J670">
        <v>153.69999999999999</v>
      </c>
      <c r="K670">
        <v>13958.8</v>
      </c>
      <c r="L670">
        <v>7876000</v>
      </c>
      <c r="M670" t="b">
        <v>0</v>
      </c>
      <c r="N670" t="b">
        <v>0</v>
      </c>
      <c r="O670">
        <v>16000</v>
      </c>
      <c r="P670" t="b">
        <v>0</v>
      </c>
      <c r="Q670" t="b">
        <v>0</v>
      </c>
      <c r="R670" t="b">
        <v>0</v>
      </c>
      <c r="S670" t="s">
        <v>96</v>
      </c>
      <c r="T670" t="s">
        <v>1653</v>
      </c>
      <c r="U670">
        <v>87.242500000000007</v>
      </c>
      <c r="V670">
        <v>0</v>
      </c>
      <c r="W670">
        <v>0</v>
      </c>
      <c r="X670">
        <v>2</v>
      </c>
      <c r="Y670" s="6">
        <v>46082</v>
      </c>
    </row>
    <row r="671" spans="1:26" x14ac:dyDescent="0.3">
      <c r="A671" t="s">
        <v>776</v>
      </c>
      <c r="B671" s="5">
        <v>46102</v>
      </c>
      <c r="C671" s="5">
        <v>46103</v>
      </c>
      <c r="D671" s="5">
        <v>46105</v>
      </c>
      <c r="E671" s="5">
        <v>46105</v>
      </c>
      <c r="F671" t="s">
        <v>31</v>
      </c>
      <c r="G671" t="s">
        <v>61</v>
      </c>
      <c r="H671" t="s">
        <v>22</v>
      </c>
      <c r="I671" t="s">
        <v>43</v>
      </c>
      <c r="J671">
        <v>54</v>
      </c>
      <c r="K671">
        <v>4151.7</v>
      </c>
      <c r="L671">
        <v>2881000</v>
      </c>
      <c r="M671" t="b">
        <v>0</v>
      </c>
      <c r="N671" t="b">
        <v>0</v>
      </c>
      <c r="O671">
        <v>5000</v>
      </c>
      <c r="P671" t="b">
        <v>0</v>
      </c>
      <c r="Q671" t="b">
        <v>0</v>
      </c>
      <c r="R671" t="b">
        <v>0</v>
      </c>
      <c r="S671" t="s">
        <v>96</v>
      </c>
      <c r="T671" t="s">
        <v>1645</v>
      </c>
      <c r="U671">
        <v>83.033999999999992</v>
      </c>
      <c r="V671">
        <v>0</v>
      </c>
      <c r="W671">
        <v>0</v>
      </c>
      <c r="X671">
        <v>2</v>
      </c>
      <c r="Y671" s="6">
        <v>46082</v>
      </c>
    </row>
    <row r="672" spans="1:26" x14ac:dyDescent="0.3">
      <c r="A672" t="s">
        <v>777</v>
      </c>
      <c r="B672" s="5">
        <v>46030</v>
      </c>
      <c r="C672" s="5">
        <v>46031</v>
      </c>
      <c r="D672" s="5">
        <v>46033</v>
      </c>
      <c r="E672" s="5">
        <v>46033</v>
      </c>
      <c r="F672" t="s">
        <v>34</v>
      </c>
      <c r="G672" t="s">
        <v>57</v>
      </c>
      <c r="H672" t="s">
        <v>21</v>
      </c>
      <c r="I672" t="s">
        <v>43</v>
      </c>
      <c r="J672">
        <v>156</v>
      </c>
      <c r="K672">
        <v>844.9</v>
      </c>
      <c r="L672">
        <v>2773000</v>
      </c>
      <c r="M672" t="b">
        <v>0</v>
      </c>
      <c r="N672" t="b">
        <v>0</v>
      </c>
      <c r="O672">
        <v>5000</v>
      </c>
      <c r="P672" t="b">
        <v>0</v>
      </c>
      <c r="Q672" t="b">
        <v>0</v>
      </c>
      <c r="R672" t="b">
        <v>0</v>
      </c>
      <c r="S672" t="s">
        <v>96</v>
      </c>
      <c r="T672" t="s">
        <v>1620</v>
      </c>
      <c r="U672">
        <v>16.898</v>
      </c>
      <c r="V672">
        <v>0</v>
      </c>
      <c r="W672">
        <v>0</v>
      </c>
      <c r="X672">
        <v>2</v>
      </c>
      <c r="Y672" s="6">
        <v>46023</v>
      </c>
    </row>
    <row r="673" spans="1:26" x14ac:dyDescent="0.3">
      <c r="A673" t="s">
        <v>778</v>
      </c>
      <c r="B673" s="5">
        <v>46176</v>
      </c>
      <c r="C673" s="5">
        <v>46178</v>
      </c>
      <c r="D673" s="5">
        <v>46182</v>
      </c>
      <c r="E673" s="5">
        <v>46182</v>
      </c>
      <c r="F673" t="s">
        <v>34</v>
      </c>
      <c r="G673" t="s">
        <v>54</v>
      </c>
      <c r="H673" t="s">
        <v>21</v>
      </c>
      <c r="I673" t="s">
        <v>45</v>
      </c>
      <c r="J673">
        <v>470.6</v>
      </c>
      <c r="K673">
        <v>309.39999999999998</v>
      </c>
      <c r="L673">
        <v>4423000</v>
      </c>
      <c r="M673" t="b">
        <v>0</v>
      </c>
      <c r="N673" t="b">
        <v>0</v>
      </c>
      <c r="O673">
        <v>1000</v>
      </c>
      <c r="P673" t="b">
        <v>0</v>
      </c>
      <c r="Q673" t="b">
        <v>0</v>
      </c>
      <c r="R673" t="b">
        <v>0</v>
      </c>
      <c r="S673" t="s">
        <v>96</v>
      </c>
      <c r="T673" t="s">
        <v>1635</v>
      </c>
      <c r="U673">
        <v>30.939999999999991</v>
      </c>
      <c r="V673">
        <v>0</v>
      </c>
      <c r="W673">
        <v>0</v>
      </c>
      <c r="X673">
        <v>4</v>
      </c>
      <c r="Y673" s="6">
        <v>46174</v>
      </c>
    </row>
    <row r="674" spans="1:26" x14ac:dyDescent="0.3">
      <c r="A674" t="s">
        <v>779</v>
      </c>
      <c r="B674" s="5">
        <v>46106</v>
      </c>
      <c r="C674" s="5">
        <v>46107</v>
      </c>
      <c r="D674" s="5">
        <v>46110</v>
      </c>
      <c r="E674" s="5">
        <v>46111</v>
      </c>
      <c r="F674" t="s">
        <v>34</v>
      </c>
      <c r="G674" t="s">
        <v>54</v>
      </c>
      <c r="H674" t="s">
        <v>21</v>
      </c>
      <c r="I674" t="s">
        <v>42</v>
      </c>
      <c r="J674">
        <v>424.8</v>
      </c>
      <c r="K674">
        <v>7628.5</v>
      </c>
      <c r="L674">
        <v>10065000</v>
      </c>
      <c r="M674" t="b">
        <v>0</v>
      </c>
      <c r="N674" t="b">
        <v>0</v>
      </c>
      <c r="O674">
        <v>16000</v>
      </c>
      <c r="P674" t="b">
        <v>0</v>
      </c>
      <c r="Q674" t="b">
        <v>0</v>
      </c>
      <c r="R674" t="b">
        <v>0</v>
      </c>
      <c r="S674" t="s">
        <v>101</v>
      </c>
      <c r="T674" t="s">
        <v>1635</v>
      </c>
      <c r="U674">
        <v>47.678125000000001</v>
      </c>
      <c r="V674">
        <v>0</v>
      </c>
      <c r="W674">
        <v>0</v>
      </c>
      <c r="X674">
        <v>4</v>
      </c>
      <c r="Y674" s="6">
        <v>46082</v>
      </c>
      <c r="Z674">
        <v>1</v>
      </c>
    </row>
    <row r="675" spans="1:26" x14ac:dyDescent="0.3">
      <c r="A675" t="s">
        <v>780</v>
      </c>
      <c r="B675" s="5">
        <v>46200</v>
      </c>
      <c r="C675" s="5">
        <v>46202</v>
      </c>
      <c r="D675" s="5">
        <v>46204</v>
      </c>
      <c r="E675" s="5">
        <v>46204</v>
      </c>
      <c r="F675" t="s">
        <v>32</v>
      </c>
      <c r="G675" t="s">
        <v>53</v>
      </c>
      <c r="H675" t="s">
        <v>24</v>
      </c>
      <c r="I675" t="s">
        <v>42</v>
      </c>
      <c r="J675">
        <v>265.89999999999998</v>
      </c>
      <c r="K675">
        <v>3290.9</v>
      </c>
      <c r="L675">
        <v>7474000</v>
      </c>
      <c r="M675" t="b">
        <v>0</v>
      </c>
      <c r="N675" t="b">
        <v>0</v>
      </c>
      <c r="O675">
        <v>16000</v>
      </c>
      <c r="P675" t="b">
        <v>0</v>
      </c>
      <c r="Q675" t="b">
        <v>0</v>
      </c>
      <c r="R675" t="b">
        <v>0</v>
      </c>
      <c r="S675" t="s">
        <v>96</v>
      </c>
      <c r="T675" t="s">
        <v>1612</v>
      </c>
      <c r="U675">
        <v>20.568124999999998</v>
      </c>
      <c r="V675">
        <v>0</v>
      </c>
      <c r="W675">
        <v>0</v>
      </c>
      <c r="X675">
        <v>2</v>
      </c>
      <c r="Y675" s="6">
        <v>46174</v>
      </c>
    </row>
    <row r="676" spans="1:26" x14ac:dyDescent="0.3">
      <c r="A676" t="s">
        <v>781</v>
      </c>
      <c r="B676" s="5">
        <v>46048</v>
      </c>
      <c r="C676" s="5">
        <v>46048</v>
      </c>
      <c r="D676" s="5">
        <v>46052</v>
      </c>
      <c r="E676" s="5">
        <v>46053</v>
      </c>
      <c r="F676" t="s">
        <v>34</v>
      </c>
      <c r="G676" t="s">
        <v>60</v>
      </c>
      <c r="H676" t="s">
        <v>20</v>
      </c>
      <c r="I676" t="s">
        <v>44</v>
      </c>
      <c r="J676">
        <v>617.79999999999995</v>
      </c>
      <c r="K676">
        <v>244.6</v>
      </c>
      <c r="L676">
        <v>7154000</v>
      </c>
      <c r="M676" t="b">
        <v>0</v>
      </c>
      <c r="N676" t="b">
        <v>0</v>
      </c>
      <c r="O676">
        <v>1500</v>
      </c>
      <c r="P676" t="b">
        <v>0</v>
      </c>
      <c r="Q676" t="b">
        <v>0</v>
      </c>
      <c r="R676" t="b">
        <v>0</v>
      </c>
      <c r="S676" t="s">
        <v>101</v>
      </c>
      <c r="T676" t="s">
        <v>1644</v>
      </c>
      <c r="U676">
        <v>16.306666666666661</v>
      </c>
      <c r="V676">
        <v>0</v>
      </c>
      <c r="W676">
        <v>0</v>
      </c>
      <c r="X676">
        <v>5</v>
      </c>
      <c r="Y676" s="6">
        <v>46023</v>
      </c>
      <c r="Z676">
        <v>1</v>
      </c>
    </row>
    <row r="677" spans="1:26" x14ac:dyDescent="0.3">
      <c r="A677" t="s">
        <v>782</v>
      </c>
      <c r="B677" s="5">
        <v>46198</v>
      </c>
      <c r="C677" s="5">
        <v>46198</v>
      </c>
      <c r="D677" s="5">
        <v>46199</v>
      </c>
      <c r="E677" s="5">
        <v>46199</v>
      </c>
      <c r="F677" t="s">
        <v>34</v>
      </c>
      <c r="G677" t="s">
        <v>61</v>
      </c>
      <c r="H677" t="s">
        <v>23</v>
      </c>
      <c r="I677" t="s">
        <v>44</v>
      </c>
      <c r="J677">
        <v>23.1</v>
      </c>
      <c r="K677">
        <v>455.9</v>
      </c>
      <c r="L677">
        <v>975000</v>
      </c>
      <c r="M677" t="b">
        <v>0</v>
      </c>
      <c r="N677" t="b">
        <v>0</v>
      </c>
      <c r="O677">
        <v>1500</v>
      </c>
      <c r="P677" t="b">
        <v>0</v>
      </c>
      <c r="Q677" t="b">
        <v>0</v>
      </c>
      <c r="R677" t="b">
        <v>0</v>
      </c>
      <c r="S677" t="s">
        <v>96</v>
      </c>
      <c r="T677" t="s">
        <v>1638</v>
      </c>
      <c r="U677">
        <v>30.393333333333331</v>
      </c>
      <c r="V677">
        <v>0</v>
      </c>
      <c r="W677">
        <v>0</v>
      </c>
      <c r="X677">
        <v>1</v>
      </c>
      <c r="Y677" s="6">
        <v>46174</v>
      </c>
    </row>
    <row r="678" spans="1:26" x14ac:dyDescent="0.3">
      <c r="A678" t="s">
        <v>783</v>
      </c>
      <c r="B678" s="5">
        <v>46171</v>
      </c>
      <c r="C678" s="5">
        <v>46171</v>
      </c>
      <c r="D678" s="5">
        <v>46174</v>
      </c>
      <c r="E678" s="5">
        <v>46175</v>
      </c>
      <c r="F678" t="s">
        <v>32</v>
      </c>
      <c r="G678" t="s">
        <v>52</v>
      </c>
      <c r="H678" t="s">
        <v>22</v>
      </c>
      <c r="I678" t="s">
        <v>43</v>
      </c>
      <c r="J678">
        <v>344</v>
      </c>
      <c r="K678">
        <v>1690.8</v>
      </c>
      <c r="L678">
        <v>5895000</v>
      </c>
      <c r="M678" t="b">
        <v>0</v>
      </c>
      <c r="N678" t="b">
        <v>0</v>
      </c>
      <c r="O678">
        <v>5000</v>
      </c>
      <c r="P678" t="b">
        <v>0</v>
      </c>
      <c r="Q678" t="b">
        <v>0</v>
      </c>
      <c r="R678" t="b">
        <v>0</v>
      </c>
      <c r="S678" t="s">
        <v>101</v>
      </c>
      <c r="T678" t="s">
        <v>1611</v>
      </c>
      <c r="U678">
        <v>33.816000000000003</v>
      </c>
      <c r="V678">
        <v>0</v>
      </c>
      <c r="W678">
        <v>0</v>
      </c>
      <c r="X678">
        <v>4</v>
      </c>
      <c r="Y678" s="6">
        <v>46143</v>
      </c>
      <c r="Z678">
        <v>1</v>
      </c>
    </row>
    <row r="679" spans="1:26" x14ac:dyDescent="0.3">
      <c r="A679" t="s">
        <v>784</v>
      </c>
      <c r="B679" s="5">
        <v>46172</v>
      </c>
      <c r="C679" s="5">
        <v>46173</v>
      </c>
      <c r="D679" s="5">
        <v>46177</v>
      </c>
      <c r="E679" s="5">
        <v>46177</v>
      </c>
      <c r="F679" t="s">
        <v>31</v>
      </c>
      <c r="G679" t="s">
        <v>62</v>
      </c>
      <c r="H679" t="s">
        <v>23</v>
      </c>
      <c r="I679" t="s">
        <v>44</v>
      </c>
      <c r="J679">
        <v>754.2</v>
      </c>
      <c r="K679">
        <v>255.2</v>
      </c>
      <c r="L679">
        <v>7968000</v>
      </c>
      <c r="M679" t="b">
        <v>0</v>
      </c>
      <c r="N679" t="b">
        <v>0</v>
      </c>
      <c r="O679">
        <v>1500</v>
      </c>
      <c r="P679" t="b">
        <v>0</v>
      </c>
      <c r="Q679" t="b">
        <v>0</v>
      </c>
      <c r="R679" t="b">
        <v>0</v>
      </c>
      <c r="S679" t="s">
        <v>96</v>
      </c>
      <c r="T679" t="s">
        <v>1615</v>
      </c>
      <c r="U679">
        <v>17.013333333333328</v>
      </c>
      <c r="V679">
        <v>0</v>
      </c>
      <c r="W679">
        <v>0</v>
      </c>
      <c r="X679">
        <v>4</v>
      </c>
      <c r="Y679" s="6">
        <v>46143</v>
      </c>
    </row>
    <row r="680" spans="1:26" x14ac:dyDescent="0.3">
      <c r="A680" t="s">
        <v>785</v>
      </c>
      <c r="B680" s="5">
        <v>46103</v>
      </c>
      <c r="C680" s="5">
        <v>46104</v>
      </c>
      <c r="D680" s="5">
        <v>46107</v>
      </c>
      <c r="E680" s="5">
        <v>46107</v>
      </c>
      <c r="F680" t="s">
        <v>33</v>
      </c>
      <c r="G680" t="s">
        <v>63</v>
      </c>
      <c r="H680" t="s">
        <v>24</v>
      </c>
      <c r="I680" t="s">
        <v>45</v>
      </c>
      <c r="J680">
        <v>292.89999999999998</v>
      </c>
      <c r="K680">
        <v>297</v>
      </c>
      <c r="L680">
        <v>3100000</v>
      </c>
      <c r="M680" t="b">
        <v>0</v>
      </c>
      <c r="N680" t="b">
        <v>0</v>
      </c>
      <c r="O680">
        <v>1000</v>
      </c>
      <c r="P680" t="b">
        <v>0</v>
      </c>
      <c r="Q680" t="b">
        <v>0</v>
      </c>
      <c r="R680" t="b">
        <v>0</v>
      </c>
      <c r="S680" t="s">
        <v>96</v>
      </c>
      <c r="T680" t="s">
        <v>1625</v>
      </c>
      <c r="U680">
        <v>29.7</v>
      </c>
      <c r="V680">
        <v>0</v>
      </c>
      <c r="W680">
        <v>0</v>
      </c>
      <c r="X680">
        <v>3</v>
      </c>
      <c r="Y680" s="6">
        <v>46082</v>
      </c>
    </row>
    <row r="681" spans="1:26" x14ac:dyDescent="0.3">
      <c r="A681" t="s">
        <v>786</v>
      </c>
      <c r="B681" s="5">
        <v>46187</v>
      </c>
      <c r="C681" s="5">
        <v>46187</v>
      </c>
      <c r="D681" s="5">
        <v>46190</v>
      </c>
      <c r="E681" s="5">
        <v>46190</v>
      </c>
      <c r="F681" t="s">
        <v>34</v>
      </c>
      <c r="G681" t="s">
        <v>53</v>
      </c>
      <c r="H681" t="s">
        <v>23</v>
      </c>
      <c r="I681" t="s">
        <v>44</v>
      </c>
      <c r="J681">
        <v>326.5</v>
      </c>
      <c r="K681">
        <v>745.7</v>
      </c>
      <c r="L681">
        <v>4146000</v>
      </c>
      <c r="M681" t="b">
        <v>0</v>
      </c>
      <c r="N681" t="b">
        <v>0</v>
      </c>
      <c r="O681">
        <v>1500</v>
      </c>
      <c r="P681" t="b">
        <v>0</v>
      </c>
      <c r="Q681" t="b">
        <v>0</v>
      </c>
      <c r="R681" t="b">
        <v>0</v>
      </c>
      <c r="S681" t="s">
        <v>96</v>
      </c>
      <c r="T681" t="s">
        <v>1636</v>
      </c>
      <c r="U681">
        <v>49.713333333333338</v>
      </c>
      <c r="V681">
        <v>0</v>
      </c>
      <c r="W681">
        <v>0</v>
      </c>
      <c r="X681">
        <v>3</v>
      </c>
      <c r="Y681" s="6">
        <v>46174</v>
      </c>
    </row>
    <row r="682" spans="1:26" x14ac:dyDescent="0.3">
      <c r="A682" t="s">
        <v>787</v>
      </c>
      <c r="B682" s="5">
        <v>46161</v>
      </c>
      <c r="C682" s="5">
        <v>46162</v>
      </c>
      <c r="D682" s="5">
        <v>46167</v>
      </c>
      <c r="E682" s="5">
        <v>46168</v>
      </c>
      <c r="F682" t="s">
        <v>33</v>
      </c>
      <c r="G682" t="s">
        <v>58</v>
      </c>
      <c r="H682" t="s">
        <v>22</v>
      </c>
      <c r="I682" t="s">
        <v>43</v>
      </c>
      <c r="J682">
        <v>738.2</v>
      </c>
      <c r="K682">
        <v>861.8</v>
      </c>
      <c r="L682">
        <v>8586000</v>
      </c>
      <c r="M682" t="b">
        <v>0</v>
      </c>
      <c r="N682" t="b">
        <v>0</v>
      </c>
      <c r="O682">
        <v>5000</v>
      </c>
      <c r="P682" t="b">
        <v>0</v>
      </c>
      <c r="Q682" t="b">
        <v>0</v>
      </c>
      <c r="R682" t="b">
        <v>0</v>
      </c>
      <c r="S682" t="s">
        <v>101</v>
      </c>
      <c r="T682" t="s">
        <v>1651</v>
      </c>
      <c r="U682">
        <v>17.236000000000001</v>
      </c>
      <c r="V682">
        <v>0</v>
      </c>
      <c r="W682">
        <v>0</v>
      </c>
      <c r="X682">
        <v>6</v>
      </c>
      <c r="Y682" s="6">
        <v>46143</v>
      </c>
      <c r="Z682">
        <v>1</v>
      </c>
    </row>
    <row r="683" spans="1:26" x14ac:dyDescent="0.3">
      <c r="A683" t="s">
        <v>788</v>
      </c>
      <c r="B683" s="5">
        <v>46116</v>
      </c>
      <c r="C683" s="5">
        <v>46117</v>
      </c>
      <c r="D683" s="5">
        <v>46121</v>
      </c>
      <c r="E683" s="5">
        <v>46122</v>
      </c>
      <c r="F683" t="s">
        <v>33</v>
      </c>
      <c r="G683" t="s">
        <v>59</v>
      </c>
      <c r="H683" t="s">
        <v>24</v>
      </c>
      <c r="I683" t="s">
        <v>42</v>
      </c>
      <c r="J683">
        <v>528.70000000000005</v>
      </c>
      <c r="K683">
        <v>13121.5</v>
      </c>
      <c r="L683">
        <v>15630000</v>
      </c>
      <c r="M683" t="b">
        <v>0</v>
      </c>
      <c r="N683" t="b">
        <v>0</v>
      </c>
      <c r="O683">
        <v>16000</v>
      </c>
      <c r="P683" t="b">
        <v>0</v>
      </c>
      <c r="Q683" t="b">
        <v>0</v>
      </c>
      <c r="R683" t="b">
        <v>0</v>
      </c>
      <c r="S683" t="s">
        <v>101</v>
      </c>
      <c r="T683" t="s">
        <v>1648</v>
      </c>
      <c r="U683">
        <v>82.009374999999991</v>
      </c>
      <c r="V683">
        <v>0</v>
      </c>
      <c r="W683">
        <v>0</v>
      </c>
      <c r="X683">
        <v>5</v>
      </c>
      <c r="Y683" s="6">
        <v>46113</v>
      </c>
      <c r="Z683">
        <v>1</v>
      </c>
    </row>
    <row r="684" spans="1:26" x14ac:dyDescent="0.3">
      <c r="A684" t="s">
        <v>789</v>
      </c>
      <c r="B684" s="5">
        <v>46074</v>
      </c>
      <c r="C684" s="5">
        <v>46076</v>
      </c>
      <c r="D684" s="5">
        <v>46079</v>
      </c>
      <c r="E684" s="5">
        <v>46079</v>
      </c>
      <c r="F684" t="s">
        <v>31</v>
      </c>
      <c r="G684" t="s">
        <v>54</v>
      </c>
      <c r="H684" t="s">
        <v>23</v>
      </c>
      <c r="I684" t="s">
        <v>42</v>
      </c>
      <c r="J684">
        <v>470.2</v>
      </c>
      <c r="K684">
        <v>7736</v>
      </c>
      <c r="L684">
        <v>10569000</v>
      </c>
      <c r="M684" t="b">
        <v>0</v>
      </c>
      <c r="N684" t="b">
        <v>0</v>
      </c>
      <c r="O684">
        <v>16000</v>
      </c>
      <c r="P684" t="b">
        <v>0</v>
      </c>
      <c r="Q684" t="b">
        <v>0</v>
      </c>
      <c r="R684" t="b">
        <v>0</v>
      </c>
      <c r="S684" t="s">
        <v>96</v>
      </c>
      <c r="T684" t="s">
        <v>1631</v>
      </c>
      <c r="U684">
        <v>48.35</v>
      </c>
      <c r="V684">
        <v>0</v>
      </c>
      <c r="W684">
        <v>0</v>
      </c>
      <c r="X684">
        <v>3</v>
      </c>
      <c r="Y684" s="6">
        <v>46054</v>
      </c>
    </row>
    <row r="685" spans="1:26" x14ac:dyDescent="0.3">
      <c r="A685" t="s">
        <v>790</v>
      </c>
      <c r="B685" s="5">
        <v>46089</v>
      </c>
      <c r="C685" s="5">
        <v>46089</v>
      </c>
      <c r="D685" s="5">
        <v>46091</v>
      </c>
      <c r="E685" s="5">
        <v>46091</v>
      </c>
      <c r="F685" t="s">
        <v>32</v>
      </c>
      <c r="G685" t="s">
        <v>61</v>
      </c>
      <c r="H685" t="s">
        <v>22</v>
      </c>
      <c r="I685" t="s">
        <v>43</v>
      </c>
      <c r="J685">
        <v>155.1</v>
      </c>
      <c r="K685">
        <v>4335.8</v>
      </c>
      <c r="L685">
        <v>4185000</v>
      </c>
      <c r="M685" t="b">
        <v>0</v>
      </c>
      <c r="N685" t="b">
        <v>0</v>
      </c>
      <c r="O685">
        <v>5000</v>
      </c>
      <c r="P685" t="b">
        <v>0</v>
      </c>
      <c r="Q685" t="b">
        <v>0</v>
      </c>
      <c r="R685" t="b">
        <v>0</v>
      </c>
      <c r="S685" t="s">
        <v>96</v>
      </c>
      <c r="T685" t="s">
        <v>1653</v>
      </c>
      <c r="U685">
        <v>86.716000000000008</v>
      </c>
      <c r="V685">
        <v>0</v>
      </c>
      <c r="W685">
        <v>0</v>
      </c>
      <c r="X685">
        <v>2</v>
      </c>
      <c r="Y685" s="6">
        <v>46082</v>
      </c>
    </row>
    <row r="686" spans="1:26" x14ac:dyDescent="0.3">
      <c r="A686" t="s">
        <v>791</v>
      </c>
      <c r="B686" s="5">
        <v>46047</v>
      </c>
      <c r="C686" s="5">
        <v>46048</v>
      </c>
      <c r="D686" s="5">
        <v>46052</v>
      </c>
      <c r="E686" s="5">
        <v>46052</v>
      </c>
      <c r="F686" t="s">
        <v>32</v>
      </c>
      <c r="G686" t="s">
        <v>56</v>
      </c>
      <c r="H686" t="s">
        <v>22</v>
      </c>
      <c r="I686" t="s">
        <v>43</v>
      </c>
      <c r="J686">
        <v>991.8</v>
      </c>
      <c r="K686">
        <v>1502.4</v>
      </c>
      <c r="L686">
        <v>12623000</v>
      </c>
      <c r="M686" t="b">
        <v>0</v>
      </c>
      <c r="N686" t="b">
        <v>0</v>
      </c>
      <c r="O686">
        <v>5000</v>
      </c>
      <c r="P686" t="b">
        <v>0</v>
      </c>
      <c r="Q686" t="b">
        <v>0</v>
      </c>
      <c r="R686" t="b">
        <v>0</v>
      </c>
      <c r="S686" t="s">
        <v>96</v>
      </c>
      <c r="T686" t="s">
        <v>1658</v>
      </c>
      <c r="U686">
        <v>30.047999999999998</v>
      </c>
      <c r="V686">
        <v>0</v>
      </c>
      <c r="W686">
        <v>0</v>
      </c>
      <c r="X686">
        <v>4</v>
      </c>
      <c r="Y686" s="6">
        <v>46023</v>
      </c>
    </row>
    <row r="687" spans="1:26" x14ac:dyDescent="0.3">
      <c r="A687" t="s">
        <v>792</v>
      </c>
      <c r="B687" s="5">
        <v>46197</v>
      </c>
      <c r="C687" s="5">
        <v>46198</v>
      </c>
      <c r="D687" s="5">
        <v>46201</v>
      </c>
      <c r="E687" s="5">
        <v>46200</v>
      </c>
      <c r="F687" t="s">
        <v>31</v>
      </c>
      <c r="G687" t="s">
        <v>52</v>
      </c>
      <c r="H687" t="s">
        <v>21</v>
      </c>
      <c r="I687" t="s">
        <v>43</v>
      </c>
      <c r="J687">
        <v>309.89999999999998</v>
      </c>
      <c r="K687">
        <v>2785.4</v>
      </c>
      <c r="L687">
        <v>5308000</v>
      </c>
      <c r="M687" t="b">
        <v>0</v>
      </c>
      <c r="N687" t="b">
        <v>0</v>
      </c>
      <c r="O687">
        <v>5000</v>
      </c>
      <c r="P687" t="b">
        <v>0</v>
      </c>
      <c r="Q687" t="b">
        <v>0</v>
      </c>
      <c r="R687" t="b">
        <v>0</v>
      </c>
      <c r="S687" t="s">
        <v>96</v>
      </c>
      <c r="T687" t="s">
        <v>1618</v>
      </c>
      <c r="U687">
        <v>55.707999999999998</v>
      </c>
      <c r="V687">
        <v>0</v>
      </c>
      <c r="W687">
        <v>0</v>
      </c>
      <c r="X687">
        <v>2</v>
      </c>
      <c r="Y687" s="6">
        <v>46174</v>
      </c>
    </row>
    <row r="688" spans="1:26" x14ac:dyDescent="0.3">
      <c r="A688" t="s">
        <v>793</v>
      </c>
      <c r="B688" s="5">
        <v>46201</v>
      </c>
      <c r="C688" s="5">
        <v>46202</v>
      </c>
      <c r="D688" s="5">
        <v>46204</v>
      </c>
      <c r="E688" s="5">
        <v>46204</v>
      </c>
      <c r="F688" t="s">
        <v>31</v>
      </c>
      <c r="G688" t="s">
        <v>52</v>
      </c>
      <c r="H688" t="s">
        <v>20</v>
      </c>
      <c r="I688" t="s">
        <v>44</v>
      </c>
      <c r="J688">
        <v>297.5</v>
      </c>
      <c r="K688">
        <v>151.6</v>
      </c>
      <c r="L688">
        <v>3126000</v>
      </c>
      <c r="M688" t="b">
        <v>0</v>
      </c>
      <c r="N688" t="b">
        <v>0</v>
      </c>
      <c r="O688">
        <v>1500</v>
      </c>
      <c r="P688" t="b">
        <v>0</v>
      </c>
      <c r="Q688" t="b">
        <v>0</v>
      </c>
      <c r="R688" t="b">
        <v>0</v>
      </c>
      <c r="S688" t="s">
        <v>96</v>
      </c>
      <c r="T688" t="s">
        <v>1618</v>
      </c>
      <c r="U688">
        <v>10.106666666666669</v>
      </c>
      <c r="V688">
        <v>0</v>
      </c>
      <c r="W688">
        <v>0</v>
      </c>
      <c r="X688">
        <v>2</v>
      </c>
      <c r="Y688" s="6">
        <v>46174</v>
      </c>
    </row>
    <row r="689" spans="1:26" x14ac:dyDescent="0.3">
      <c r="A689" t="s">
        <v>794</v>
      </c>
      <c r="B689" s="5">
        <v>46163</v>
      </c>
      <c r="C689" s="5">
        <v>46165</v>
      </c>
      <c r="D689" s="5">
        <v>46167</v>
      </c>
      <c r="E689" s="5">
        <v>46166</v>
      </c>
      <c r="F689" t="s">
        <v>34</v>
      </c>
      <c r="G689" t="s">
        <v>57</v>
      </c>
      <c r="H689" t="s">
        <v>20</v>
      </c>
      <c r="I689" t="s">
        <v>44</v>
      </c>
      <c r="J689">
        <v>170.6</v>
      </c>
      <c r="K689">
        <v>527.5</v>
      </c>
      <c r="L689">
        <v>2575000</v>
      </c>
      <c r="M689" t="b">
        <v>0</v>
      </c>
      <c r="N689" t="b">
        <v>0</v>
      </c>
      <c r="O689">
        <v>1500</v>
      </c>
      <c r="P689" t="b">
        <v>0</v>
      </c>
      <c r="Q689" t="b">
        <v>0</v>
      </c>
      <c r="R689" t="b">
        <v>0</v>
      </c>
      <c r="S689" t="s">
        <v>96</v>
      </c>
      <c r="T689" t="s">
        <v>1620</v>
      </c>
      <c r="U689">
        <v>35.166666666666671</v>
      </c>
      <c r="V689">
        <v>0</v>
      </c>
      <c r="W689">
        <v>0</v>
      </c>
      <c r="X689">
        <v>1</v>
      </c>
      <c r="Y689" s="6">
        <v>46143</v>
      </c>
    </row>
    <row r="690" spans="1:26" x14ac:dyDescent="0.3">
      <c r="A690" t="s">
        <v>795</v>
      </c>
      <c r="B690" s="5">
        <v>46101</v>
      </c>
      <c r="C690" s="5">
        <v>46103</v>
      </c>
      <c r="D690" s="5">
        <v>46106</v>
      </c>
      <c r="E690" s="5">
        <v>46106</v>
      </c>
      <c r="F690" t="s">
        <v>34</v>
      </c>
      <c r="G690" t="s">
        <v>53</v>
      </c>
      <c r="H690" t="s">
        <v>22</v>
      </c>
      <c r="I690" t="s">
        <v>44</v>
      </c>
      <c r="J690">
        <v>314.7</v>
      </c>
      <c r="K690">
        <v>1092.7</v>
      </c>
      <c r="L690">
        <v>4152000</v>
      </c>
      <c r="M690" t="b">
        <v>0</v>
      </c>
      <c r="N690" t="b">
        <v>0</v>
      </c>
      <c r="O690">
        <v>1500</v>
      </c>
      <c r="P690" t="b">
        <v>0</v>
      </c>
      <c r="Q690" t="b">
        <v>0</v>
      </c>
      <c r="R690" t="b">
        <v>0</v>
      </c>
      <c r="S690" t="s">
        <v>96</v>
      </c>
      <c r="T690" t="s">
        <v>1636</v>
      </c>
      <c r="U690">
        <v>72.846666666666664</v>
      </c>
      <c r="V690">
        <v>0</v>
      </c>
      <c r="W690">
        <v>0</v>
      </c>
      <c r="X690">
        <v>3</v>
      </c>
      <c r="Y690" s="6">
        <v>46082</v>
      </c>
    </row>
    <row r="691" spans="1:26" x14ac:dyDescent="0.3">
      <c r="A691" t="s">
        <v>796</v>
      </c>
      <c r="B691" s="5">
        <v>46067</v>
      </c>
      <c r="C691" s="5">
        <v>46068</v>
      </c>
      <c r="D691" s="5">
        <v>46072</v>
      </c>
      <c r="E691" s="5">
        <v>46072</v>
      </c>
      <c r="F691" t="s">
        <v>31</v>
      </c>
      <c r="G691" t="s">
        <v>56</v>
      </c>
      <c r="H691" t="s">
        <v>20</v>
      </c>
      <c r="I691" t="s">
        <v>43</v>
      </c>
      <c r="J691">
        <v>913</v>
      </c>
      <c r="K691">
        <v>1181.5999999999999</v>
      </c>
      <c r="L691">
        <v>14033000</v>
      </c>
      <c r="M691" t="b">
        <v>0</v>
      </c>
      <c r="N691" t="b">
        <v>0</v>
      </c>
      <c r="O691">
        <v>5000</v>
      </c>
      <c r="P691" t="b">
        <v>0</v>
      </c>
      <c r="Q691" t="b">
        <v>0</v>
      </c>
      <c r="R691" t="b">
        <v>0</v>
      </c>
      <c r="S691" t="s">
        <v>96</v>
      </c>
      <c r="T691" t="s">
        <v>1614</v>
      </c>
      <c r="U691">
        <v>23.632000000000001</v>
      </c>
      <c r="V691">
        <v>0</v>
      </c>
      <c r="W691">
        <v>0</v>
      </c>
      <c r="X691">
        <v>4</v>
      </c>
      <c r="Y691" s="6">
        <v>46054</v>
      </c>
    </row>
    <row r="692" spans="1:26" x14ac:dyDescent="0.3">
      <c r="A692" t="s">
        <v>797</v>
      </c>
      <c r="B692" s="5">
        <v>46189</v>
      </c>
      <c r="C692" s="5">
        <v>46190</v>
      </c>
      <c r="D692" s="5">
        <v>46193</v>
      </c>
      <c r="E692" s="5">
        <v>46193</v>
      </c>
      <c r="F692" t="s">
        <v>34</v>
      </c>
      <c r="G692" t="s">
        <v>63</v>
      </c>
      <c r="H692" t="s">
        <v>24</v>
      </c>
      <c r="I692" t="s">
        <v>42</v>
      </c>
      <c r="J692">
        <v>311.5</v>
      </c>
      <c r="K692">
        <v>8036.1</v>
      </c>
      <c r="L692">
        <v>8992000</v>
      </c>
      <c r="M692" t="b">
        <v>0</v>
      </c>
      <c r="N692" t="b">
        <v>0</v>
      </c>
      <c r="O692">
        <v>16000</v>
      </c>
      <c r="P692" t="b">
        <v>0</v>
      </c>
      <c r="Q692" t="b">
        <v>0</v>
      </c>
      <c r="R692" t="b">
        <v>0</v>
      </c>
      <c r="S692" t="s">
        <v>96</v>
      </c>
      <c r="T692" t="s">
        <v>1613</v>
      </c>
      <c r="U692">
        <v>50.225625000000008</v>
      </c>
      <c r="V692">
        <v>0</v>
      </c>
      <c r="W692">
        <v>0</v>
      </c>
      <c r="X692">
        <v>3</v>
      </c>
      <c r="Y692" s="6">
        <v>46174</v>
      </c>
    </row>
    <row r="693" spans="1:26" x14ac:dyDescent="0.3">
      <c r="A693" t="s">
        <v>798</v>
      </c>
      <c r="B693" s="5">
        <v>46155</v>
      </c>
      <c r="C693" s="5">
        <v>46156</v>
      </c>
      <c r="D693" s="5">
        <v>46160</v>
      </c>
      <c r="E693" s="5">
        <v>46161</v>
      </c>
      <c r="F693" t="s">
        <v>34</v>
      </c>
      <c r="G693" t="s">
        <v>62</v>
      </c>
      <c r="H693" t="s">
        <v>22</v>
      </c>
      <c r="I693" t="s">
        <v>43</v>
      </c>
      <c r="J693">
        <v>808</v>
      </c>
      <c r="K693">
        <v>1204.9000000000001</v>
      </c>
      <c r="L693">
        <v>10922000</v>
      </c>
      <c r="M693" t="b">
        <v>0</v>
      </c>
      <c r="N693" t="b">
        <v>0</v>
      </c>
      <c r="O693">
        <v>5000</v>
      </c>
      <c r="P693" t="b">
        <v>0</v>
      </c>
      <c r="Q693" t="b">
        <v>0</v>
      </c>
      <c r="R693" t="b">
        <v>0</v>
      </c>
      <c r="S693" t="s">
        <v>101</v>
      </c>
      <c r="T693" t="s">
        <v>1649</v>
      </c>
      <c r="U693">
        <v>24.097999999999999</v>
      </c>
      <c r="V693">
        <v>0</v>
      </c>
      <c r="W693">
        <v>0</v>
      </c>
      <c r="X693">
        <v>5</v>
      </c>
      <c r="Y693" s="6">
        <v>46143</v>
      </c>
      <c r="Z693">
        <v>1</v>
      </c>
    </row>
    <row r="694" spans="1:26" x14ac:dyDescent="0.3">
      <c r="A694" t="s">
        <v>799</v>
      </c>
      <c r="B694" s="5">
        <v>46175</v>
      </c>
      <c r="C694" s="5">
        <v>46176</v>
      </c>
      <c r="D694" s="5">
        <v>46180</v>
      </c>
      <c r="E694" s="5">
        <v>46180</v>
      </c>
      <c r="F694" t="s">
        <v>34</v>
      </c>
      <c r="G694" t="s">
        <v>56</v>
      </c>
      <c r="H694" t="s">
        <v>23</v>
      </c>
      <c r="I694" t="s">
        <v>43</v>
      </c>
      <c r="J694">
        <v>925</v>
      </c>
      <c r="K694">
        <v>1053.3</v>
      </c>
      <c r="L694">
        <v>11868000</v>
      </c>
      <c r="M694" t="b">
        <v>0</v>
      </c>
      <c r="N694" t="b">
        <v>0</v>
      </c>
      <c r="O694">
        <v>5000</v>
      </c>
      <c r="P694" t="b">
        <v>0</v>
      </c>
      <c r="Q694" t="b">
        <v>0</v>
      </c>
      <c r="R694" t="b">
        <v>0</v>
      </c>
      <c r="S694" t="s">
        <v>96</v>
      </c>
      <c r="T694" t="s">
        <v>1646</v>
      </c>
      <c r="U694">
        <v>21.065999999999999</v>
      </c>
      <c r="V694">
        <v>0</v>
      </c>
      <c r="W694">
        <v>0</v>
      </c>
      <c r="X694">
        <v>4</v>
      </c>
      <c r="Y694" s="6">
        <v>46174</v>
      </c>
    </row>
    <row r="695" spans="1:26" x14ac:dyDescent="0.3">
      <c r="A695" t="s">
        <v>800</v>
      </c>
      <c r="B695" s="5">
        <v>46114</v>
      </c>
      <c r="C695" s="5">
        <v>46114</v>
      </c>
      <c r="D695" s="5">
        <v>46118</v>
      </c>
      <c r="E695" s="5">
        <v>46118</v>
      </c>
      <c r="F695" t="s">
        <v>34</v>
      </c>
      <c r="G695" t="s">
        <v>60</v>
      </c>
      <c r="H695" t="s">
        <v>20</v>
      </c>
      <c r="I695" t="s">
        <v>43</v>
      </c>
      <c r="J695">
        <v>638.6</v>
      </c>
      <c r="K695">
        <v>1203.5999999999999</v>
      </c>
      <c r="L695">
        <v>8193000</v>
      </c>
      <c r="M695" t="b">
        <v>0</v>
      </c>
      <c r="N695" t="b">
        <v>0</v>
      </c>
      <c r="O695">
        <v>5000</v>
      </c>
      <c r="P695" t="b">
        <v>0</v>
      </c>
      <c r="Q695" t="b">
        <v>0</v>
      </c>
      <c r="R695" t="b">
        <v>0</v>
      </c>
      <c r="S695" t="s">
        <v>96</v>
      </c>
      <c r="T695" t="s">
        <v>1644</v>
      </c>
      <c r="U695">
        <v>24.071999999999999</v>
      </c>
      <c r="V695">
        <v>0</v>
      </c>
      <c r="W695">
        <v>0</v>
      </c>
      <c r="X695">
        <v>4</v>
      </c>
      <c r="Y695" s="6">
        <v>46113</v>
      </c>
    </row>
    <row r="696" spans="1:26" x14ac:dyDescent="0.3">
      <c r="A696" t="s">
        <v>801</v>
      </c>
      <c r="B696" s="5">
        <v>46125</v>
      </c>
      <c r="C696" s="5">
        <v>46126</v>
      </c>
      <c r="D696" s="5">
        <v>46130</v>
      </c>
      <c r="E696" s="5">
        <v>46130</v>
      </c>
      <c r="F696" t="s">
        <v>34</v>
      </c>
      <c r="G696" t="s">
        <v>60</v>
      </c>
      <c r="H696" t="s">
        <v>21</v>
      </c>
      <c r="I696" t="s">
        <v>42</v>
      </c>
      <c r="J696">
        <v>646.29999999999995</v>
      </c>
      <c r="K696">
        <v>8730.1500000000015</v>
      </c>
      <c r="L696">
        <v>13497000</v>
      </c>
      <c r="M696" t="b">
        <v>0</v>
      </c>
      <c r="N696" t="b">
        <v>0</v>
      </c>
      <c r="O696">
        <v>16000</v>
      </c>
      <c r="P696" t="b">
        <v>0</v>
      </c>
      <c r="Q696" t="b">
        <v>0</v>
      </c>
      <c r="R696" t="b">
        <v>0</v>
      </c>
      <c r="S696" t="s">
        <v>96</v>
      </c>
      <c r="T696" t="s">
        <v>1644</v>
      </c>
      <c r="U696">
        <v>54.563437500000013</v>
      </c>
      <c r="V696">
        <v>0</v>
      </c>
      <c r="W696">
        <v>0</v>
      </c>
      <c r="X696">
        <v>4</v>
      </c>
      <c r="Y696" s="6">
        <v>46113</v>
      </c>
    </row>
    <row r="697" spans="1:26" x14ac:dyDescent="0.3">
      <c r="A697" t="s">
        <v>802</v>
      </c>
      <c r="B697" s="5">
        <v>46196</v>
      </c>
      <c r="C697" s="5">
        <v>46197</v>
      </c>
      <c r="D697" s="5">
        <v>46200</v>
      </c>
      <c r="E697" s="5">
        <v>46200</v>
      </c>
      <c r="F697" t="s">
        <v>33</v>
      </c>
      <c r="G697" t="s">
        <v>57</v>
      </c>
      <c r="H697" t="s">
        <v>21</v>
      </c>
      <c r="I697" t="s">
        <v>43</v>
      </c>
      <c r="J697">
        <v>459.6</v>
      </c>
      <c r="K697">
        <v>1959.3</v>
      </c>
      <c r="L697">
        <v>6670000</v>
      </c>
      <c r="M697" t="b">
        <v>0</v>
      </c>
      <c r="N697" t="b">
        <v>0</v>
      </c>
      <c r="O697">
        <v>5000</v>
      </c>
      <c r="P697" t="b">
        <v>0</v>
      </c>
      <c r="Q697" t="b">
        <v>0</v>
      </c>
      <c r="R697" t="b">
        <v>0</v>
      </c>
      <c r="S697" t="s">
        <v>96</v>
      </c>
      <c r="T697" t="s">
        <v>1624</v>
      </c>
      <c r="U697">
        <v>39.186</v>
      </c>
      <c r="V697">
        <v>0</v>
      </c>
      <c r="W697">
        <v>0</v>
      </c>
      <c r="X697">
        <v>3</v>
      </c>
      <c r="Y697" s="6">
        <v>46174</v>
      </c>
    </row>
    <row r="698" spans="1:26" x14ac:dyDescent="0.3">
      <c r="A698" t="s">
        <v>803</v>
      </c>
      <c r="B698" s="5">
        <v>46072</v>
      </c>
      <c r="C698" s="5">
        <v>46073</v>
      </c>
      <c r="D698" s="5">
        <v>46074</v>
      </c>
      <c r="E698" s="5">
        <v>46074</v>
      </c>
      <c r="F698" t="s">
        <v>34</v>
      </c>
      <c r="G698" t="s">
        <v>61</v>
      </c>
      <c r="H698" t="s">
        <v>23</v>
      </c>
      <c r="I698" t="s">
        <v>43</v>
      </c>
      <c r="J698">
        <v>28.8</v>
      </c>
      <c r="K698">
        <v>1627.2</v>
      </c>
      <c r="L698">
        <v>1723000</v>
      </c>
      <c r="M698" t="b">
        <v>0</v>
      </c>
      <c r="N698" t="b">
        <v>0</v>
      </c>
      <c r="O698">
        <v>5000</v>
      </c>
      <c r="P698" t="b">
        <v>0</v>
      </c>
      <c r="Q698" t="b">
        <v>0</v>
      </c>
      <c r="R698" t="b">
        <v>0</v>
      </c>
      <c r="S698" t="s">
        <v>96</v>
      </c>
      <c r="T698" t="s">
        <v>1638</v>
      </c>
      <c r="U698">
        <v>32.543999999999997</v>
      </c>
      <c r="V698">
        <v>0</v>
      </c>
      <c r="W698">
        <v>0</v>
      </c>
      <c r="X698">
        <v>1</v>
      </c>
      <c r="Y698" s="6">
        <v>46054</v>
      </c>
    </row>
    <row r="699" spans="1:26" x14ac:dyDescent="0.3">
      <c r="A699" t="s">
        <v>804</v>
      </c>
      <c r="B699" s="5">
        <v>46068</v>
      </c>
      <c r="C699" s="5">
        <v>46069</v>
      </c>
      <c r="D699" s="5">
        <v>46072</v>
      </c>
      <c r="E699" s="5">
        <v>46073</v>
      </c>
      <c r="F699" t="s">
        <v>32</v>
      </c>
      <c r="G699" t="s">
        <v>52</v>
      </c>
      <c r="H699" t="s">
        <v>20</v>
      </c>
      <c r="I699" t="s">
        <v>43</v>
      </c>
      <c r="J699">
        <v>317</v>
      </c>
      <c r="K699">
        <v>2595.6999999999998</v>
      </c>
      <c r="L699">
        <v>5314000</v>
      </c>
      <c r="M699" t="b">
        <v>0</v>
      </c>
      <c r="N699" t="b">
        <v>0</v>
      </c>
      <c r="O699">
        <v>5000</v>
      </c>
      <c r="P699" t="b">
        <v>0</v>
      </c>
      <c r="Q699" t="b">
        <v>0</v>
      </c>
      <c r="R699" t="b">
        <v>0</v>
      </c>
      <c r="S699" t="s">
        <v>101</v>
      </c>
      <c r="T699" t="s">
        <v>1611</v>
      </c>
      <c r="U699">
        <v>51.913999999999987</v>
      </c>
      <c r="V699">
        <v>0</v>
      </c>
      <c r="W699">
        <v>0</v>
      </c>
      <c r="X699">
        <v>4</v>
      </c>
      <c r="Y699" s="6">
        <v>46054</v>
      </c>
      <c r="Z699">
        <v>1</v>
      </c>
    </row>
    <row r="700" spans="1:26" x14ac:dyDescent="0.3">
      <c r="A700" t="s">
        <v>805</v>
      </c>
      <c r="B700" s="5">
        <v>46158</v>
      </c>
      <c r="C700" s="5">
        <v>46159</v>
      </c>
      <c r="D700" s="5">
        <v>46160</v>
      </c>
      <c r="E700" s="5">
        <v>46161</v>
      </c>
      <c r="F700" t="s">
        <v>31</v>
      </c>
      <c r="G700" t="s">
        <v>61</v>
      </c>
      <c r="H700" t="s">
        <v>21</v>
      </c>
      <c r="I700" t="s">
        <v>43</v>
      </c>
      <c r="J700">
        <v>51.7</v>
      </c>
      <c r="K700">
        <v>2165.6</v>
      </c>
      <c r="L700">
        <v>2334000</v>
      </c>
      <c r="M700" t="b">
        <v>0</v>
      </c>
      <c r="N700" t="b">
        <v>0</v>
      </c>
      <c r="O700">
        <v>5000</v>
      </c>
      <c r="P700" t="b">
        <v>0</v>
      </c>
      <c r="Q700" t="b">
        <v>0</v>
      </c>
      <c r="R700" t="b">
        <v>0</v>
      </c>
      <c r="S700" t="s">
        <v>101</v>
      </c>
      <c r="T700" t="s">
        <v>1645</v>
      </c>
      <c r="U700">
        <v>43.311999999999998</v>
      </c>
      <c r="V700">
        <v>0</v>
      </c>
      <c r="W700">
        <v>0</v>
      </c>
      <c r="X700">
        <v>2</v>
      </c>
      <c r="Y700" s="6">
        <v>46143</v>
      </c>
      <c r="Z700">
        <v>1</v>
      </c>
    </row>
    <row r="701" spans="1:26" x14ac:dyDescent="0.3">
      <c r="A701" t="s">
        <v>806</v>
      </c>
      <c r="B701" s="5">
        <v>46130</v>
      </c>
      <c r="C701" s="5">
        <v>46131</v>
      </c>
      <c r="D701" s="5">
        <v>46133</v>
      </c>
      <c r="E701" s="5">
        <v>46133</v>
      </c>
      <c r="F701" t="s">
        <v>34</v>
      </c>
      <c r="G701" t="s">
        <v>57</v>
      </c>
      <c r="H701" t="s">
        <v>21</v>
      </c>
      <c r="I701" t="s">
        <v>44</v>
      </c>
      <c r="J701">
        <v>151.4</v>
      </c>
      <c r="K701">
        <v>1170.7</v>
      </c>
      <c r="L701">
        <v>2185000</v>
      </c>
      <c r="M701" t="b">
        <v>0</v>
      </c>
      <c r="N701" t="b">
        <v>0</v>
      </c>
      <c r="O701">
        <v>1500</v>
      </c>
      <c r="P701" t="b">
        <v>0</v>
      </c>
      <c r="Q701" t="b">
        <v>0</v>
      </c>
      <c r="R701" t="b">
        <v>0</v>
      </c>
      <c r="S701" t="s">
        <v>96</v>
      </c>
      <c r="T701" t="s">
        <v>1620</v>
      </c>
      <c r="U701">
        <v>78.046666666666667</v>
      </c>
      <c r="V701">
        <v>0</v>
      </c>
      <c r="W701">
        <v>0</v>
      </c>
      <c r="X701">
        <v>2</v>
      </c>
      <c r="Y701" s="6">
        <v>46113</v>
      </c>
    </row>
    <row r="702" spans="1:26" x14ac:dyDescent="0.3">
      <c r="A702" t="s">
        <v>807</v>
      </c>
      <c r="B702" s="5">
        <v>46109</v>
      </c>
      <c r="C702" s="5">
        <v>46109</v>
      </c>
      <c r="D702" s="5">
        <v>46113</v>
      </c>
      <c r="E702" s="5">
        <v>46113</v>
      </c>
      <c r="F702" t="s">
        <v>34</v>
      </c>
      <c r="G702" t="s">
        <v>59</v>
      </c>
      <c r="H702" t="s">
        <v>21</v>
      </c>
      <c r="I702" t="s">
        <v>45</v>
      </c>
      <c r="J702">
        <v>337.5</v>
      </c>
      <c r="K702">
        <v>439</v>
      </c>
      <c r="L702">
        <v>3632000</v>
      </c>
      <c r="M702" t="b">
        <v>0</v>
      </c>
      <c r="N702" t="b">
        <v>0</v>
      </c>
      <c r="O702">
        <v>1000</v>
      </c>
      <c r="P702" t="b">
        <v>0</v>
      </c>
      <c r="Q702" t="b">
        <v>0</v>
      </c>
      <c r="R702" t="b">
        <v>0</v>
      </c>
      <c r="S702" t="s">
        <v>96</v>
      </c>
      <c r="T702" t="s">
        <v>1616</v>
      </c>
      <c r="U702">
        <v>43.9</v>
      </c>
      <c r="V702">
        <v>0</v>
      </c>
      <c r="W702">
        <v>0</v>
      </c>
      <c r="X702">
        <v>4</v>
      </c>
      <c r="Y702" s="6">
        <v>46082</v>
      </c>
    </row>
    <row r="703" spans="1:26" x14ac:dyDescent="0.3">
      <c r="A703" t="s">
        <v>808</v>
      </c>
      <c r="B703" s="5">
        <v>46113</v>
      </c>
      <c r="C703" s="5">
        <v>46113</v>
      </c>
      <c r="D703" s="5">
        <v>46114</v>
      </c>
      <c r="E703" s="5">
        <v>46115</v>
      </c>
      <c r="F703" t="s">
        <v>34</v>
      </c>
      <c r="G703" t="s">
        <v>61</v>
      </c>
      <c r="H703" t="s">
        <v>23</v>
      </c>
      <c r="I703" t="s">
        <v>43</v>
      </c>
      <c r="J703">
        <v>26</v>
      </c>
      <c r="K703">
        <v>1845.9</v>
      </c>
      <c r="L703">
        <v>1842000</v>
      </c>
      <c r="M703" t="b">
        <v>0</v>
      </c>
      <c r="N703" t="b">
        <v>0</v>
      </c>
      <c r="O703">
        <v>5000</v>
      </c>
      <c r="P703" t="b">
        <v>0</v>
      </c>
      <c r="Q703" t="b">
        <v>0</v>
      </c>
      <c r="R703" t="b">
        <v>0</v>
      </c>
      <c r="S703" t="s">
        <v>101</v>
      </c>
      <c r="T703" t="s">
        <v>1638</v>
      </c>
      <c r="U703">
        <v>36.917999999999999</v>
      </c>
      <c r="V703">
        <v>0</v>
      </c>
      <c r="W703">
        <v>0</v>
      </c>
      <c r="X703">
        <v>2</v>
      </c>
      <c r="Y703" s="6">
        <v>46113</v>
      </c>
      <c r="Z703">
        <v>1</v>
      </c>
    </row>
    <row r="704" spans="1:26" x14ac:dyDescent="0.3">
      <c r="A704" t="s">
        <v>809</v>
      </c>
      <c r="B704" s="5">
        <v>46073</v>
      </c>
      <c r="C704" s="5">
        <v>46073</v>
      </c>
      <c r="D704" s="5">
        <v>46077</v>
      </c>
      <c r="E704" s="5">
        <v>46077</v>
      </c>
      <c r="F704" t="s">
        <v>32</v>
      </c>
      <c r="G704" t="s">
        <v>56</v>
      </c>
      <c r="H704" t="s">
        <v>24</v>
      </c>
      <c r="I704" t="s">
        <v>45</v>
      </c>
      <c r="J704">
        <v>1115.5999999999999</v>
      </c>
      <c r="K704">
        <v>82</v>
      </c>
      <c r="L704">
        <v>9191000</v>
      </c>
      <c r="M704" t="b">
        <v>0</v>
      </c>
      <c r="N704" t="b">
        <v>0</v>
      </c>
      <c r="O704">
        <v>1000</v>
      </c>
      <c r="P704" t="b">
        <v>0</v>
      </c>
      <c r="Q704" t="b">
        <v>0</v>
      </c>
      <c r="R704" t="b">
        <v>0</v>
      </c>
      <c r="S704" t="s">
        <v>96</v>
      </c>
      <c r="T704" t="s">
        <v>1658</v>
      </c>
      <c r="U704">
        <v>8.2000000000000011</v>
      </c>
      <c r="V704">
        <v>0</v>
      </c>
      <c r="W704">
        <v>0</v>
      </c>
      <c r="X704">
        <v>4</v>
      </c>
      <c r="Y704" s="6">
        <v>46054</v>
      </c>
    </row>
    <row r="705" spans="1:26" x14ac:dyDescent="0.3">
      <c r="A705" t="s">
        <v>810</v>
      </c>
      <c r="B705" s="5">
        <v>46149</v>
      </c>
      <c r="C705" s="5">
        <v>46150</v>
      </c>
      <c r="D705" s="5">
        <v>46153</v>
      </c>
      <c r="E705" s="5">
        <v>46153</v>
      </c>
      <c r="F705" t="s">
        <v>34</v>
      </c>
      <c r="G705" t="s">
        <v>59</v>
      </c>
      <c r="H705" t="s">
        <v>20</v>
      </c>
      <c r="I705" t="s">
        <v>43</v>
      </c>
      <c r="J705">
        <v>309.5</v>
      </c>
      <c r="K705">
        <v>3634.4</v>
      </c>
      <c r="L705">
        <v>6056000</v>
      </c>
      <c r="M705" t="b">
        <v>0</v>
      </c>
      <c r="N705" t="b">
        <v>0</v>
      </c>
      <c r="O705">
        <v>5000</v>
      </c>
      <c r="P705" t="b">
        <v>0</v>
      </c>
      <c r="Q705" t="b">
        <v>0</v>
      </c>
      <c r="R705" t="b">
        <v>0</v>
      </c>
      <c r="S705" t="s">
        <v>96</v>
      </c>
      <c r="T705" t="s">
        <v>1616</v>
      </c>
      <c r="U705">
        <v>72.688000000000002</v>
      </c>
      <c r="V705">
        <v>0</v>
      </c>
      <c r="W705">
        <v>0</v>
      </c>
      <c r="X705">
        <v>3</v>
      </c>
      <c r="Y705" s="6">
        <v>46143</v>
      </c>
    </row>
    <row r="706" spans="1:26" x14ac:dyDescent="0.3">
      <c r="A706" t="s">
        <v>811</v>
      </c>
      <c r="B706" s="5">
        <v>46176</v>
      </c>
      <c r="C706" s="5">
        <v>46177</v>
      </c>
      <c r="D706" s="5">
        <v>46176</v>
      </c>
      <c r="E706" s="5">
        <v>46180</v>
      </c>
      <c r="F706" t="s">
        <v>34</v>
      </c>
      <c r="G706" t="s">
        <v>63</v>
      </c>
      <c r="H706" t="s">
        <v>20</v>
      </c>
      <c r="I706" t="s">
        <v>45</v>
      </c>
      <c r="J706">
        <v>326.8</v>
      </c>
      <c r="K706">
        <v>166.7</v>
      </c>
      <c r="L706">
        <v>3158000</v>
      </c>
      <c r="M706" t="b">
        <v>1</v>
      </c>
      <c r="N706" t="b">
        <v>0</v>
      </c>
      <c r="O706">
        <v>1000</v>
      </c>
      <c r="P706" t="b">
        <v>0</v>
      </c>
      <c r="Q706" t="b">
        <v>0</v>
      </c>
      <c r="R706" t="b">
        <v>1</v>
      </c>
      <c r="S706" t="s">
        <v>260</v>
      </c>
      <c r="T706" t="s">
        <v>1613</v>
      </c>
      <c r="U706">
        <v>16.670000000000002</v>
      </c>
      <c r="V706">
        <v>0</v>
      </c>
      <c r="W706">
        <v>1</v>
      </c>
      <c r="Y706" s="6">
        <v>46174</v>
      </c>
    </row>
    <row r="707" spans="1:26" x14ac:dyDescent="0.3">
      <c r="A707" t="s">
        <v>812</v>
      </c>
      <c r="B707" s="5">
        <v>46105</v>
      </c>
      <c r="C707" s="5">
        <v>46105</v>
      </c>
      <c r="D707" s="5">
        <v>46107</v>
      </c>
      <c r="E707" s="5">
        <v>46109</v>
      </c>
      <c r="F707" t="s">
        <v>34</v>
      </c>
      <c r="G707" t="s">
        <v>58</v>
      </c>
      <c r="H707" t="s">
        <v>24</v>
      </c>
      <c r="I707" t="s">
        <v>44</v>
      </c>
      <c r="J707">
        <v>142</v>
      </c>
      <c r="K707">
        <v>1299.5999999999999</v>
      </c>
      <c r="L707">
        <v>2606000</v>
      </c>
      <c r="M707" t="b">
        <v>0</v>
      </c>
      <c r="N707" t="b">
        <v>0</v>
      </c>
      <c r="O707">
        <v>1500</v>
      </c>
      <c r="P707" t="b">
        <v>0</v>
      </c>
      <c r="Q707" t="b">
        <v>0</v>
      </c>
      <c r="R707" t="b">
        <v>0</v>
      </c>
      <c r="S707" t="s">
        <v>101</v>
      </c>
      <c r="T707" t="s">
        <v>1637</v>
      </c>
      <c r="U707">
        <v>86.64</v>
      </c>
      <c r="V707">
        <v>0</v>
      </c>
      <c r="W707">
        <v>0</v>
      </c>
      <c r="X707">
        <v>4</v>
      </c>
      <c r="Y707" s="6">
        <v>46082</v>
      </c>
      <c r="Z707">
        <v>2</v>
      </c>
    </row>
    <row r="708" spans="1:26" x14ac:dyDescent="0.3">
      <c r="A708" t="s">
        <v>813</v>
      </c>
      <c r="B708" s="5">
        <v>46027</v>
      </c>
      <c r="C708" s="5">
        <v>46028</v>
      </c>
      <c r="D708" s="5">
        <v>46032</v>
      </c>
      <c r="E708" s="5">
        <v>46032</v>
      </c>
      <c r="F708" t="s">
        <v>33</v>
      </c>
      <c r="G708" t="s">
        <v>55</v>
      </c>
      <c r="H708" t="s">
        <v>24</v>
      </c>
      <c r="I708" t="s">
        <v>42</v>
      </c>
      <c r="J708">
        <v>668.4</v>
      </c>
      <c r="K708">
        <v>14047.6</v>
      </c>
      <c r="L708">
        <v>18110000</v>
      </c>
      <c r="M708" t="b">
        <v>0</v>
      </c>
      <c r="N708" t="b">
        <v>0</v>
      </c>
      <c r="O708">
        <v>16000</v>
      </c>
      <c r="P708" t="b">
        <v>0</v>
      </c>
      <c r="Q708" t="b">
        <v>0</v>
      </c>
      <c r="R708" t="b">
        <v>0</v>
      </c>
      <c r="S708" t="s">
        <v>96</v>
      </c>
      <c r="T708" t="s">
        <v>1626</v>
      </c>
      <c r="U708">
        <v>87.797499999999999</v>
      </c>
      <c r="V708">
        <v>0</v>
      </c>
      <c r="W708">
        <v>0</v>
      </c>
      <c r="X708">
        <v>4</v>
      </c>
      <c r="Y708" s="6">
        <v>46023</v>
      </c>
    </row>
    <row r="709" spans="1:26" x14ac:dyDescent="0.3">
      <c r="A709" t="s">
        <v>814</v>
      </c>
      <c r="B709" s="5">
        <v>46088</v>
      </c>
      <c r="C709" s="5">
        <v>46089</v>
      </c>
      <c r="D709" s="5">
        <v>46091</v>
      </c>
      <c r="E709" s="5">
        <v>46092</v>
      </c>
      <c r="F709" t="s">
        <v>34</v>
      </c>
      <c r="G709" t="s">
        <v>52</v>
      </c>
      <c r="H709" t="s">
        <v>23</v>
      </c>
      <c r="I709" t="s">
        <v>44</v>
      </c>
      <c r="J709">
        <v>269</v>
      </c>
      <c r="K709">
        <v>385.9</v>
      </c>
      <c r="L709">
        <v>3423000</v>
      </c>
      <c r="M709" t="b">
        <v>0</v>
      </c>
      <c r="N709" t="b">
        <v>0</v>
      </c>
      <c r="O709">
        <v>1500</v>
      </c>
      <c r="P709" t="b">
        <v>0</v>
      </c>
      <c r="Q709" t="b">
        <v>0</v>
      </c>
      <c r="R709" t="b">
        <v>0</v>
      </c>
      <c r="S709" t="s">
        <v>101</v>
      </c>
      <c r="T709" t="s">
        <v>1623</v>
      </c>
      <c r="U709">
        <v>25.726666666666659</v>
      </c>
      <c r="V709">
        <v>0</v>
      </c>
      <c r="W709">
        <v>0</v>
      </c>
      <c r="X709">
        <v>3</v>
      </c>
      <c r="Y709" s="6">
        <v>46082</v>
      </c>
      <c r="Z709">
        <v>1</v>
      </c>
    </row>
    <row r="710" spans="1:26" x14ac:dyDescent="0.3">
      <c r="A710" t="s">
        <v>815</v>
      </c>
      <c r="B710" s="5">
        <v>46032</v>
      </c>
      <c r="C710" s="5">
        <v>46032</v>
      </c>
      <c r="D710" s="5">
        <v>46034</v>
      </c>
      <c r="E710" s="5">
        <v>46034</v>
      </c>
      <c r="F710" t="s">
        <v>34</v>
      </c>
      <c r="G710" t="s">
        <v>57</v>
      </c>
      <c r="H710" t="s">
        <v>21</v>
      </c>
      <c r="I710" t="s">
        <v>44</v>
      </c>
      <c r="J710">
        <v>163.69999999999999</v>
      </c>
      <c r="K710">
        <v>414</v>
      </c>
      <c r="L710">
        <v>1854000</v>
      </c>
      <c r="M710" t="b">
        <v>0</v>
      </c>
      <c r="N710" t="b">
        <v>0</v>
      </c>
      <c r="O710">
        <v>1500</v>
      </c>
      <c r="P710" t="b">
        <v>0</v>
      </c>
      <c r="Q710" t="b">
        <v>0</v>
      </c>
      <c r="R710" t="b">
        <v>0</v>
      </c>
      <c r="S710" t="s">
        <v>96</v>
      </c>
      <c r="T710" t="s">
        <v>1620</v>
      </c>
      <c r="U710">
        <v>27.6</v>
      </c>
      <c r="V710">
        <v>0</v>
      </c>
      <c r="W710">
        <v>0</v>
      </c>
      <c r="X710">
        <v>2</v>
      </c>
      <c r="Y710" s="6">
        <v>46023</v>
      </c>
    </row>
    <row r="711" spans="1:26" x14ac:dyDescent="0.3">
      <c r="A711" t="s">
        <v>816</v>
      </c>
      <c r="B711" s="5">
        <v>46144</v>
      </c>
      <c r="C711" s="5">
        <v>46146</v>
      </c>
      <c r="D711" s="5">
        <v>46148</v>
      </c>
      <c r="E711" s="5">
        <v>46148</v>
      </c>
      <c r="F711" t="s">
        <v>32</v>
      </c>
      <c r="G711" t="s">
        <v>55</v>
      </c>
      <c r="H711" t="s">
        <v>21</v>
      </c>
      <c r="I711" t="s">
        <v>43</v>
      </c>
      <c r="J711">
        <v>132</v>
      </c>
      <c r="K711">
        <v>1003.5</v>
      </c>
      <c r="L711">
        <v>2525000</v>
      </c>
      <c r="M711" t="b">
        <v>0</v>
      </c>
      <c r="N711" t="b">
        <v>0</v>
      </c>
      <c r="O711">
        <v>5000</v>
      </c>
      <c r="P711" t="b">
        <v>0</v>
      </c>
      <c r="Q711" t="b">
        <v>0</v>
      </c>
      <c r="R711" t="b">
        <v>0</v>
      </c>
      <c r="S711" t="s">
        <v>96</v>
      </c>
      <c r="T711" t="s">
        <v>1633</v>
      </c>
      <c r="U711">
        <v>20.07</v>
      </c>
      <c r="V711">
        <v>0</v>
      </c>
      <c r="W711">
        <v>0</v>
      </c>
      <c r="X711">
        <v>2</v>
      </c>
      <c r="Y711" s="6">
        <v>46143</v>
      </c>
    </row>
    <row r="712" spans="1:26" x14ac:dyDescent="0.3">
      <c r="A712" t="s">
        <v>817</v>
      </c>
      <c r="B712" s="5">
        <v>46176</v>
      </c>
      <c r="C712" s="5">
        <v>46177</v>
      </c>
      <c r="D712" s="5">
        <v>46180</v>
      </c>
      <c r="E712" s="5">
        <v>46180</v>
      </c>
      <c r="F712" t="s">
        <v>31</v>
      </c>
      <c r="G712" t="s">
        <v>63</v>
      </c>
      <c r="H712" t="s">
        <v>22</v>
      </c>
      <c r="I712" t="s">
        <v>45</v>
      </c>
      <c r="J712">
        <v>307.7</v>
      </c>
      <c r="K712">
        <v>208.9</v>
      </c>
      <c r="L712">
        <v>3178000</v>
      </c>
      <c r="M712" t="b">
        <v>0</v>
      </c>
      <c r="N712" t="b">
        <v>0</v>
      </c>
      <c r="O712">
        <v>1000</v>
      </c>
      <c r="P712" t="b">
        <v>0</v>
      </c>
      <c r="Q712" t="b">
        <v>0</v>
      </c>
      <c r="R712" t="b">
        <v>0</v>
      </c>
      <c r="S712" t="s">
        <v>96</v>
      </c>
      <c r="T712" t="s">
        <v>1640</v>
      </c>
      <c r="U712">
        <v>20.89</v>
      </c>
      <c r="V712">
        <v>0</v>
      </c>
      <c r="W712">
        <v>0</v>
      </c>
      <c r="X712">
        <v>3</v>
      </c>
      <c r="Y712" s="6">
        <v>46174</v>
      </c>
    </row>
    <row r="713" spans="1:26" x14ac:dyDescent="0.3">
      <c r="A713" t="s">
        <v>818</v>
      </c>
      <c r="B713" s="5">
        <v>46092</v>
      </c>
      <c r="C713" s="5">
        <v>46093</v>
      </c>
      <c r="D713" s="5">
        <v>46094</v>
      </c>
      <c r="E713" s="5">
        <v>46093</v>
      </c>
      <c r="F713" t="s">
        <v>32</v>
      </c>
      <c r="G713" t="s">
        <v>57</v>
      </c>
      <c r="H713" t="s">
        <v>23</v>
      </c>
      <c r="I713" t="s">
        <v>45</v>
      </c>
      <c r="J713">
        <v>16.3</v>
      </c>
      <c r="K713">
        <v>775.8</v>
      </c>
      <c r="L713">
        <v>873000</v>
      </c>
      <c r="M713" t="b">
        <v>0</v>
      </c>
      <c r="N713" t="b">
        <v>0</v>
      </c>
      <c r="O713">
        <v>1000</v>
      </c>
      <c r="P713" t="b">
        <v>0</v>
      </c>
      <c r="Q713" t="b">
        <v>0</v>
      </c>
      <c r="R713" t="b">
        <v>0</v>
      </c>
      <c r="S713" t="s">
        <v>96</v>
      </c>
      <c r="T713" t="s">
        <v>1630</v>
      </c>
      <c r="U713">
        <v>77.58</v>
      </c>
      <c r="V713">
        <v>0</v>
      </c>
      <c r="W713">
        <v>0</v>
      </c>
      <c r="X713">
        <v>0</v>
      </c>
      <c r="Y713" s="6">
        <v>46082</v>
      </c>
    </row>
    <row r="714" spans="1:26" x14ac:dyDescent="0.3">
      <c r="A714" t="s">
        <v>819</v>
      </c>
      <c r="B714" s="5">
        <v>46162</v>
      </c>
      <c r="C714" s="5">
        <v>46163</v>
      </c>
      <c r="D714" s="5">
        <v>46167</v>
      </c>
      <c r="E714" s="5">
        <v>46168</v>
      </c>
      <c r="F714" t="s">
        <v>31</v>
      </c>
      <c r="G714" t="s">
        <v>60</v>
      </c>
      <c r="H714" t="s">
        <v>23</v>
      </c>
      <c r="I714" t="s">
        <v>45</v>
      </c>
      <c r="J714">
        <v>626.1</v>
      </c>
      <c r="K714">
        <v>142.69999999999999</v>
      </c>
      <c r="L714">
        <v>5898000</v>
      </c>
      <c r="M714" t="b">
        <v>0</v>
      </c>
      <c r="N714" t="b">
        <v>0</v>
      </c>
      <c r="O714">
        <v>1000</v>
      </c>
      <c r="P714" t="b">
        <v>0</v>
      </c>
      <c r="Q714" t="b">
        <v>0</v>
      </c>
      <c r="R714" t="b">
        <v>0</v>
      </c>
      <c r="S714" t="s">
        <v>101</v>
      </c>
      <c r="T714" t="s">
        <v>1652</v>
      </c>
      <c r="U714">
        <v>14.27</v>
      </c>
      <c r="V714">
        <v>0</v>
      </c>
      <c r="W714">
        <v>0</v>
      </c>
      <c r="X714">
        <v>5</v>
      </c>
      <c r="Y714" s="6">
        <v>46143</v>
      </c>
      <c r="Z714">
        <v>1</v>
      </c>
    </row>
    <row r="715" spans="1:26" x14ac:dyDescent="0.3">
      <c r="A715" t="s">
        <v>820</v>
      </c>
      <c r="B715" s="5">
        <v>46149</v>
      </c>
      <c r="C715" s="5">
        <v>46150</v>
      </c>
      <c r="D715" s="5">
        <v>46153</v>
      </c>
      <c r="E715" s="5">
        <v>46153</v>
      </c>
      <c r="F715" t="s">
        <v>34</v>
      </c>
      <c r="G715" t="s">
        <v>53</v>
      </c>
      <c r="H715" t="s">
        <v>22</v>
      </c>
      <c r="I715" t="s">
        <v>44</v>
      </c>
      <c r="J715">
        <v>303.5</v>
      </c>
      <c r="K715">
        <v>1297</v>
      </c>
      <c r="L715">
        <v>4009000</v>
      </c>
      <c r="M715" t="b">
        <v>0</v>
      </c>
      <c r="N715" t="b">
        <v>0</v>
      </c>
      <c r="O715">
        <v>1500</v>
      </c>
      <c r="P715" t="b">
        <v>0</v>
      </c>
      <c r="Q715" t="b">
        <v>0</v>
      </c>
      <c r="R715" t="b">
        <v>0</v>
      </c>
      <c r="S715" t="s">
        <v>96</v>
      </c>
      <c r="T715" t="s">
        <v>1636</v>
      </c>
      <c r="U715">
        <v>86.466666666666669</v>
      </c>
      <c r="V715">
        <v>0</v>
      </c>
      <c r="W715">
        <v>0</v>
      </c>
      <c r="X715">
        <v>3</v>
      </c>
      <c r="Y715" s="6">
        <v>46143</v>
      </c>
    </row>
    <row r="716" spans="1:26" x14ac:dyDescent="0.3">
      <c r="A716" t="s">
        <v>821</v>
      </c>
      <c r="B716" s="5">
        <v>46028</v>
      </c>
      <c r="C716" s="5">
        <v>46029</v>
      </c>
      <c r="D716" s="5">
        <v>46032</v>
      </c>
      <c r="E716" s="5">
        <v>46032</v>
      </c>
      <c r="F716" t="s">
        <v>32</v>
      </c>
      <c r="G716" t="s">
        <v>54</v>
      </c>
      <c r="H716" t="s">
        <v>22</v>
      </c>
      <c r="I716" t="s">
        <v>44</v>
      </c>
      <c r="J716">
        <v>562</v>
      </c>
      <c r="K716">
        <v>1085.7</v>
      </c>
      <c r="L716">
        <v>6744000</v>
      </c>
      <c r="M716" t="b">
        <v>0</v>
      </c>
      <c r="N716" t="b">
        <v>0</v>
      </c>
      <c r="O716">
        <v>1500</v>
      </c>
      <c r="P716" t="b">
        <v>0</v>
      </c>
      <c r="Q716" t="b">
        <v>0</v>
      </c>
      <c r="R716" t="b">
        <v>0</v>
      </c>
      <c r="S716" t="s">
        <v>96</v>
      </c>
      <c r="T716" t="s">
        <v>1655</v>
      </c>
      <c r="U716">
        <v>72.38</v>
      </c>
      <c r="V716">
        <v>0</v>
      </c>
      <c r="W716">
        <v>0</v>
      </c>
      <c r="X716">
        <v>3</v>
      </c>
      <c r="Y716" s="6">
        <v>46023</v>
      </c>
    </row>
    <row r="717" spans="1:26" x14ac:dyDescent="0.3">
      <c r="A717" t="s">
        <v>822</v>
      </c>
      <c r="B717" s="5">
        <v>46177</v>
      </c>
      <c r="C717" s="5">
        <v>46179</v>
      </c>
      <c r="D717" s="5">
        <v>46180</v>
      </c>
      <c r="E717" s="5">
        <v>46180</v>
      </c>
      <c r="F717" t="s">
        <v>34</v>
      </c>
      <c r="G717" t="s">
        <v>55</v>
      </c>
      <c r="H717" t="s">
        <v>20</v>
      </c>
      <c r="I717" t="s">
        <v>45</v>
      </c>
      <c r="J717">
        <v>54.3</v>
      </c>
      <c r="K717">
        <v>215.6</v>
      </c>
      <c r="L717">
        <v>819000</v>
      </c>
      <c r="M717" t="b">
        <v>0</v>
      </c>
      <c r="N717" t="b">
        <v>0</v>
      </c>
      <c r="O717">
        <v>1000</v>
      </c>
      <c r="P717" t="b">
        <v>0</v>
      </c>
      <c r="Q717" t="b">
        <v>0</v>
      </c>
      <c r="R717" t="b">
        <v>0</v>
      </c>
      <c r="S717" t="s">
        <v>96</v>
      </c>
      <c r="T717" t="s">
        <v>1639</v>
      </c>
      <c r="U717">
        <v>21.56</v>
      </c>
      <c r="V717">
        <v>0</v>
      </c>
      <c r="W717">
        <v>0</v>
      </c>
      <c r="X717">
        <v>1</v>
      </c>
      <c r="Y717" s="6">
        <v>46174</v>
      </c>
    </row>
    <row r="718" spans="1:26" x14ac:dyDescent="0.3">
      <c r="A718" t="s">
        <v>823</v>
      </c>
      <c r="B718" s="5">
        <v>46193</v>
      </c>
      <c r="C718" s="5">
        <v>46193</v>
      </c>
      <c r="D718" s="5">
        <v>46195</v>
      </c>
      <c r="E718" s="5"/>
      <c r="F718" t="s">
        <v>32</v>
      </c>
      <c r="G718" t="s">
        <v>57</v>
      </c>
      <c r="H718" t="s">
        <v>23</v>
      </c>
      <c r="I718" t="s">
        <v>43</v>
      </c>
      <c r="J718">
        <v>15.2</v>
      </c>
      <c r="K718">
        <v>2020</v>
      </c>
      <c r="L718">
        <v>1792000</v>
      </c>
      <c r="M718" t="b">
        <v>0</v>
      </c>
      <c r="N718" t="b">
        <v>0</v>
      </c>
      <c r="O718">
        <v>5000</v>
      </c>
      <c r="P718" t="b">
        <v>0</v>
      </c>
      <c r="Q718" t="b">
        <v>0</v>
      </c>
      <c r="R718" t="b">
        <v>0</v>
      </c>
      <c r="S718" t="s">
        <v>203</v>
      </c>
      <c r="T718" t="s">
        <v>1630</v>
      </c>
      <c r="U718">
        <v>40.400000000000013</v>
      </c>
      <c r="V718">
        <v>0</v>
      </c>
      <c r="W718">
        <v>0</v>
      </c>
      <c r="Y718" s="6">
        <v>46174</v>
      </c>
    </row>
    <row r="719" spans="1:26" x14ac:dyDescent="0.3">
      <c r="A719" t="s">
        <v>824</v>
      </c>
      <c r="B719" s="5">
        <v>46106</v>
      </c>
      <c r="C719" s="5">
        <v>46107</v>
      </c>
      <c r="D719" s="5">
        <v>46108</v>
      </c>
      <c r="E719" s="5">
        <v>46108</v>
      </c>
      <c r="F719" t="s">
        <v>32</v>
      </c>
      <c r="G719" t="s">
        <v>57</v>
      </c>
      <c r="H719" t="s">
        <v>22</v>
      </c>
      <c r="I719" t="s">
        <v>43</v>
      </c>
      <c r="J719">
        <v>18.899999999999999</v>
      </c>
      <c r="K719">
        <v>4034.6</v>
      </c>
      <c r="L719">
        <v>2604000</v>
      </c>
      <c r="M719" t="b">
        <v>0</v>
      </c>
      <c r="N719" t="b">
        <v>0</v>
      </c>
      <c r="O719">
        <v>5000</v>
      </c>
      <c r="P719" t="b">
        <v>0</v>
      </c>
      <c r="Q719" t="b">
        <v>0</v>
      </c>
      <c r="R719" t="b">
        <v>0</v>
      </c>
      <c r="S719" t="s">
        <v>96</v>
      </c>
      <c r="T719" t="s">
        <v>1630</v>
      </c>
      <c r="U719">
        <v>80.691999999999993</v>
      </c>
      <c r="V719">
        <v>0</v>
      </c>
      <c r="W719">
        <v>0</v>
      </c>
      <c r="X719">
        <v>1</v>
      </c>
      <c r="Y719" s="6">
        <v>46082</v>
      </c>
    </row>
    <row r="720" spans="1:26" x14ac:dyDescent="0.3">
      <c r="A720" t="s">
        <v>825</v>
      </c>
      <c r="B720" s="5">
        <v>46165</v>
      </c>
      <c r="C720" s="5">
        <v>46166</v>
      </c>
      <c r="D720" s="5">
        <v>46170</v>
      </c>
      <c r="E720" s="5">
        <v>46172</v>
      </c>
      <c r="F720" t="s">
        <v>34</v>
      </c>
      <c r="G720" t="s">
        <v>62</v>
      </c>
      <c r="H720" t="s">
        <v>24</v>
      </c>
      <c r="I720" t="s">
        <v>44</v>
      </c>
      <c r="J720">
        <v>750.4</v>
      </c>
      <c r="K720">
        <v>1362.2</v>
      </c>
      <c r="L720">
        <v>7838000</v>
      </c>
      <c r="M720" t="b">
        <v>0</v>
      </c>
      <c r="N720" t="b">
        <v>0</v>
      </c>
      <c r="O720">
        <v>1500</v>
      </c>
      <c r="P720" t="b">
        <v>0</v>
      </c>
      <c r="Q720" t="b">
        <v>0</v>
      </c>
      <c r="R720" t="b">
        <v>0</v>
      </c>
      <c r="S720" t="s">
        <v>101</v>
      </c>
      <c r="T720" t="s">
        <v>1649</v>
      </c>
      <c r="U720">
        <v>90.813333333333318</v>
      </c>
      <c r="V720">
        <v>0</v>
      </c>
      <c r="W720">
        <v>0</v>
      </c>
      <c r="X720">
        <v>6</v>
      </c>
      <c r="Y720" s="6">
        <v>46143</v>
      </c>
      <c r="Z720">
        <v>2</v>
      </c>
    </row>
    <row r="721" spans="1:26" x14ac:dyDescent="0.3">
      <c r="A721" t="s">
        <v>826</v>
      </c>
      <c r="B721" s="5">
        <v>46033</v>
      </c>
      <c r="C721" s="5">
        <v>46034</v>
      </c>
      <c r="D721" s="5">
        <v>46035</v>
      </c>
      <c r="E721" s="5">
        <v>46035</v>
      </c>
      <c r="F721" t="s">
        <v>34</v>
      </c>
      <c r="G721" t="s">
        <v>61</v>
      </c>
      <c r="H721" t="s">
        <v>21</v>
      </c>
      <c r="I721" t="s">
        <v>43</v>
      </c>
      <c r="J721">
        <v>21.5</v>
      </c>
      <c r="K721">
        <v>551.70000000000005</v>
      </c>
      <c r="L721">
        <v>1181000</v>
      </c>
      <c r="M721" t="b">
        <v>0</v>
      </c>
      <c r="N721" t="b">
        <v>0</v>
      </c>
      <c r="O721">
        <v>5000</v>
      </c>
      <c r="P721" t="b">
        <v>0</v>
      </c>
      <c r="Q721" t="b">
        <v>0</v>
      </c>
      <c r="R721" t="b">
        <v>0</v>
      </c>
      <c r="S721" t="s">
        <v>96</v>
      </c>
      <c r="T721" t="s">
        <v>1638</v>
      </c>
      <c r="U721">
        <v>11.034000000000001</v>
      </c>
      <c r="V721">
        <v>0</v>
      </c>
      <c r="W721">
        <v>0</v>
      </c>
      <c r="X721">
        <v>1</v>
      </c>
      <c r="Y721" s="6">
        <v>46023</v>
      </c>
    </row>
    <row r="722" spans="1:26" x14ac:dyDescent="0.3">
      <c r="A722" t="s">
        <v>827</v>
      </c>
      <c r="B722" s="5">
        <v>46177</v>
      </c>
      <c r="C722" s="5">
        <v>46178</v>
      </c>
      <c r="D722" s="5">
        <v>46180</v>
      </c>
      <c r="E722" s="5">
        <v>46180</v>
      </c>
      <c r="F722" t="s">
        <v>34</v>
      </c>
      <c r="G722" t="s">
        <v>58</v>
      </c>
      <c r="H722" t="s">
        <v>22</v>
      </c>
      <c r="I722" t="s">
        <v>42</v>
      </c>
      <c r="J722">
        <v>159.6</v>
      </c>
      <c r="K722">
        <v>9509.1</v>
      </c>
      <c r="L722">
        <v>6749000</v>
      </c>
      <c r="M722" t="b">
        <v>0</v>
      </c>
      <c r="N722" t="b">
        <v>0</v>
      </c>
      <c r="O722">
        <v>16000</v>
      </c>
      <c r="P722" t="b">
        <v>0</v>
      </c>
      <c r="Q722" t="b">
        <v>0</v>
      </c>
      <c r="R722" t="b">
        <v>0</v>
      </c>
      <c r="S722" t="s">
        <v>96</v>
      </c>
      <c r="T722" t="s">
        <v>1637</v>
      </c>
      <c r="U722">
        <v>59.431874999999998</v>
      </c>
      <c r="V722">
        <v>0</v>
      </c>
      <c r="W722">
        <v>0</v>
      </c>
      <c r="X722">
        <v>2</v>
      </c>
      <c r="Y722" s="6">
        <v>46174</v>
      </c>
    </row>
    <row r="723" spans="1:26" x14ac:dyDescent="0.3">
      <c r="A723" t="s">
        <v>828</v>
      </c>
      <c r="B723" s="5">
        <v>46075</v>
      </c>
      <c r="C723" s="5">
        <v>46076</v>
      </c>
      <c r="D723" s="5">
        <v>46080</v>
      </c>
      <c r="E723" s="5">
        <v>46080</v>
      </c>
      <c r="F723" t="s">
        <v>31</v>
      </c>
      <c r="G723" t="s">
        <v>54</v>
      </c>
      <c r="H723" t="s">
        <v>24</v>
      </c>
      <c r="I723" t="s">
        <v>44</v>
      </c>
      <c r="J723">
        <v>479.5</v>
      </c>
      <c r="K723">
        <v>214.2</v>
      </c>
      <c r="L723">
        <v>4205000</v>
      </c>
      <c r="M723" t="b">
        <v>0</v>
      </c>
      <c r="N723" t="b">
        <v>0</v>
      </c>
      <c r="O723">
        <v>1500</v>
      </c>
      <c r="P723" t="b">
        <v>0</v>
      </c>
      <c r="Q723" t="b">
        <v>0</v>
      </c>
      <c r="R723" t="b">
        <v>0</v>
      </c>
      <c r="S723" t="s">
        <v>96</v>
      </c>
      <c r="T723" t="s">
        <v>1631</v>
      </c>
      <c r="U723">
        <v>14.28</v>
      </c>
      <c r="V723">
        <v>0</v>
      </c>
      <c r="W723">
        <v>0</v>
      </c>
      <c r="X723">
        <v>4</v>
      </c>
      <c r="Y723" s="6">
        <v>46054</v>
      </c>
    </row>
    <row r="724" spans="1:26" x14ac:dyDescent="0.3">
      <c r="A724" t="s">
        <v>829</v>
      </c>
      <c r="B724" s="5">
        <v>46170</v>
      </c>
      <c r="C724" s="5">
        <v>46171</v>
      </c>
      <c r="D724" s="5">
        <v>46175</v>
      </c>
      <c r="E724" s="5">
        <v>46176</v>
      </c>
      <c r="F724" t="s">
        <v>31</v>
      </c>
      <c r="G724" t="s">
        <v>62</v>
      </c>
      <c r="H724" t="s">
        <v>21</v>
      </c>
      <c r="I724" t="s">
        <v>44</v>
      </c>
      <c r="J724">
        <v>683.2</v>
      </c>
      <c r="K724">
        <v>524</v>
      </c>
      <c r="L724">
        <v>7947000</v>
      </c>
      <c r="M724" t="b">
        <v>0</v>
      </c>
      <c r="N724" t="b">
        <v>0</v>
      </c>
      <c r="O724">
        <v>1500</v>
      </c>
      <c r="P724" t="b">
        <v>0</v>
      </c>
      <c r="Q724" t="b">
        <v>0</v>
      </c>
      <c r="R724" t="b">
        <v>0</v>
      </c>
      <c r="S724" t="s">
        <v>101</v>
      </c>
      <c r="T724" t="s">
        <v>1615</v>
      </c>
      <c r="U724">
        <v>34.93333333333333</v>
      </c>
      <c r="V724">
        <v>0</v>
      </c>
      <c r="W724">
        <v>0</v>
      </c>
      <c r="X724">
        <v>5</v>
      </c>
      <c r="Y724" s="6">
        <v>46143</v>
      </c>
      <c r="Z724">
        <v>1</v>
      </c>
    </row>
    <row r="725" spans="1:26" x14ac:dyDescent="0.3">
      <c r="A725" t="s">
        <v>830</v>
      </c>
      <c r="B725" s="5">
        <v>46165</v>
      </c>
      <c r="C725" s="5">
        <v>46166</v>
      </c>
      <c r="D725" s="5">
        <v>46169</v>
      </c>
      <c r="E725" s="5">
        <v>46169</v>
      </c>
      <c r="F725" t="s">
        <v>31</v>
      </c>
      <c r="G725" t="s">
        <v>59</v>
      </c>
      <c r="H725" t="s">
        <v>20</v>
      </c>
      <c r="I725" t="s">
        <v>43</v>
      </c>
      <c r="J725">
        <v>303.2</v>
      </c>
      <c r="K725">
        <v>2346.5</v>
      </c>
      <c r="L725">
        <v>5659000</v>
      </c>
      <c r="M725" t="b">
        <v>0</v>
      </c>
      <c r="N725" t="b">
        <v>0</v>
      </c>
      <c r="O725">
        <v>5000</v>
      </c>
      <c r="P725" t="b">
        <v>0</v>
      </c>
      <c r="Q725" t="b">
        <v>0</v>
      </c>
      <c r="R725" t="b">
        <v>0</v>
      </c>
      <c r="S725" t="s">
        <v>96</v>
      </c>
      <c r="T725" t="s">
        <v>1628</v>
      </c>
      <c r="U725">
        <v>46.93</v>
      </c>
      <c r="V725">
        <v>0</v>
      </c>
      <c r="W725">
        <v>0</v>
      </c>
      <c r="X725">
        <v>3</v>
      </c>
      <c r="Y725" s="6">
        <v>46143</v>
      </c>
    </row>
    <row r="726" spans="1:26" x14ac:dyDescent="0.3">
      <c r="A726" t="s">
        <v>831</v>
      </c>
      <c r="B726" s="5">
        <v>46123</v>
      </c>
      <c r="C726" s="5">
        <v>46124</v>
      </c>
      <c r="D726" s="5">
        <v>46128</v>
      </c>
      <c r="E726" s="5">
        <v>46128</v>
      </c>
      <c r="F726" t="s">
        <v>33</v>
      </c>
      <c r="G726" t="s">
        <v>56</v>
      </c>
      <c r="H726" t="s">
        <v>21</v>
      </c>
      <c r="I726" t="s">
        <v>43</v>
      </c>
      <c r="J726">
        <v>1466.7</v>
      </c>
      <c r="K726">
        <v>4157.7</v>
      </c>
      <c r="L726">
        <v>19183000</v>
      </c>
      <c r="M726" t="b">
        <v>0</v>
      </c>
      <c r="N726" t="b">
        <v>0</v>
      </c>
      <c r="O726">
        <v>5000</v>
      </c>
      <c r="P726" t="b">
        <v>0</v>
      </c>
      <c r="Q726" t="b">
        <v>0</v>
      </c>
      <c r="R726" t="b">
        <v>0</v>
      </c>
      <c r="S726" t="s">
        <v>96</v>
      </c>
      <c r="T726" t="s">
        <v>1654</v>
      </c>
      <c r="U726">
        <v>83.153999999999996</v>
      </c>
      <c r="V726">
        <v>0</v>
      </c>
      <c r="W726">
        <v>0</v>
      </c>
      <c r="X726">
        <v>4</v>
      </c>
      <c r="Y726" s="6">
        <v>46113</v>
      </c>
    </row>
    <row r="727" spans="1:26" x14ac:dyDescent="0.3">
      <c r="A727" t="s">
        <v>832</v>
      </c>
      <c r="B727" s="5">
        <v>46079</v>
      </c>
      <c r="C727" s="5">
        <v>46080</v>
      </c>
      <c r="D727" s="5">
        <v>46083</v>
      </c>
      <c r="E727" s="5">
        <v>46085</v>
      </c>
      <c r="F727" t="s">
        <v>34</v>
      </c>
      <c r="G727" t="s">
        <v>54</v>
      </c>
      <c r="H727" t="s">
        <v>22</v>
      </c>
      <c r="I727" t="s">
        <v>43</v>
      </c>
      <c r="J727">
        <v>444.3</v>
      </c>
      <c r="K727">
        <v>1139.5999999999999</v>
      </c>
      <c r="L727">
        <v>5502000</v>
      </c>
      <c r="M727" t="b">
        <v>0</v>
      </c>
      <c r="N727" t="b">
        <v>0</v>
      </c>
      <c r="O727">
        <v>5000</v>
      </c>
      <c r="P727" t="b">
        <v>0</v>
      </c>
      <c r="Q727" t="b">
        <v>0</v>
      </c>
      <c r="R727" t="b">
        <v>0</v>
      </c>
      <c r="S727" t="s">
        <v>101</v>
      </c>
      <c r="T727" t="s">
        <v>1635</v>
      </c>
      <c r="U727">
        <v>22.792000000000002</v>
      </c>
      <c r="V727">
        <v>0</v>
      </c>
      <c r="W727">
        <v>0</v>
      </c>
      <c r="X727">
        <v>5</v>
      </c>
      <c r="Y727" s="6">
        <v>46054</v>
      </c>
      <c r="Z727">
        <v>2</v>
      </c>
    </row>
    <row r="728" spans="1:26" x14ac:dyDescent="0.3">
      <c r="A728" t="s">
        <v>833</v>
      </c>
      <c r="B728" s="5">
        <v>46119</v>
      </c>
      <c r="C728" s="5">
        <v>46120</v>
      </c>
      <c r="D728" s="5">
        <v>46124</v>
      </c>
      <c r="E728" s="5">
        <v>46124</v>
      </c>
      <c r="F728" t="s">
        <v>34</v>
      </c>
      <c r="G728" t="s">
        <v>56</v>
      </c>
      <c r="H728" t="s">
        <v>23</v>
      </c>
      <c r="I728" t="s">
        <v>44</v>
      </c>
      <c r="J728">
        <v>926.3</v>
      </c>
      <c r="K728">
        <v>766.6</v>
      </c>
      <c r="L728">
        <v>9615000</v>
      </c>
      <c r="M728" t="b">
        <v>0</v>
      </c>
      <c r="N728" t="b">
        <v>0</v>
      </c>
      <c r="O728">
        <v>1500</v>
      </c>
      <c r="P728" t="b">
        <v>0</v>
      </c>
      <c r="Q728" t="b">
        <v>0</v>
      </c>
      <c r="R728" t="b">
        <v>0</v>
      </c>
      <c r="S728" t="s">
        <v>96</v>
      </c>
      <c r="T728" t="s">
        <v>1646</v>
      </c>
      <c r="U728">
        <v>51.106666666666669</v>
      </c>
      <c r="V728">
        <v>0</v>
      </c>
      <c r="W728">
        <v>0</v>
      </c>
      <c r="X728">
        <v>4</v>
      </c>
      <c r="Y728" s="6">
        <v>46113</v>
      </c>
    </row>
    <row r="729" spans="1:26" x14ac:dyDescent="0.3">
      <c r="A729" t="s">
        <v>834</v>
      </c>
      <c r="B729" s="5">
        <v>46106</v>
      </c>
      <c r="C729" s="5">
        <v>46107</v>
      </c>
      <c r="D729" s="5">
        <v>46109</v>
      </c>
      <c r="E729" s="5">
        <v>46109</v>
      </c>
      <c r="F729" t="s">
        <v>31</v>
      </c>
      <c r="G729" t="s">
        <v>53</v>
      </c>
      <c r="H729" t="s">
        <v>21</v>
      </c>
      <c r="I729" t="s">
        <v>45</v>
      </c>
      <c r="J729">
        <v>286.10000000000002</v>
      </c>
      <c r="K729">
        <v>408.8</v>
      </c>
      <c r="L729">
        <v>2985000</v>
      </c>
      <c r="M729" t="b">
        <v>0</v>
      </c>
      <c r="N729" t="b">
        <v>0</v>
      </c>
      <c r="O729">
        <v>1000</v>
      </c>
      <c r="P729" t="b">
        <v>0</v>
      </c>
      <c r="Q729" t="b">
        <v>0</v>
      </c>
      <c r="R729" t="b">
        <v>0</v>
      </c>
      <c r="S729" t="s">
        <v>96</v>
      </c>
      <c r="T729" t="s">
        <v>1627</v>
      </c>
      <c r="U729">
        <v>40.880000000000003</v>
      </c>
      <c r="V729">
        <v>0</v>
      </c>
      <c r="W729">
        <v>0</v>
      </c>
      <c r="X729">
        <v>2</v>
      </c>
      <c r="Y729" s="6">
        <v>46082</v>
      </c>
    </row>
    <row r="730" spans="1:26" x14ac:dyDescent="0.3">
      <c r="A730" t="s">
        <v>835</v>
      </c>
      <c r="B730" s="5">
        <v>46146</v>
      </c>
      <c r="C730" s="5">
        <v>46147</v>
      </c>
      <c r="D730" s="5">
        <v>46151</v>
      </c>
      <c r="E730" s="5">
        <v>46151</v>
      </c>
      <c r="F730" t="s">
        <v>31</v>
      </c>
      <c r="G730" t="s">
        <v>52</v>
      </c>
      <c r="H730" t="s">
        <v>20</v>
      </c>
      <c r="I730" t="s">
        <v>44</v>
      </c>
      <c r="J730">
        <v>307.10000000000002</v>
      </c>
      <c r="K730">
        <v>1019.2</v>
      </c>
      <c r="L730">
        <v>3801000</v>
      </c>
      <c r="M730" t="b">
        <v>0</v>
      </c>
      <c r="N730" t="b">
        <v>0</v>
      </c>
      <c r="O730">
        <v>1500</v>
      </c>
      <c r="P730" t="b">
        <v>0</v>
      </c>
      <c r="Q730" t="b">
        <v>0</v>
      </c>
      <c r="R730" t="b">
        <v>0</v>
      </c>
      <c r="S730" t="s">
        <v>96</v>
      </c>
      <c r="T730" t="s">
        <v>1618</v>
      </c>
      <c r="U730">
        <v>67.946666666666673</v>
      </c>
      <c r="V730">
        <v>0</v>
      </c>
      <c r="W730">
        <v>0</v>
      </c>
      <c r="X730">
        <v>4</v>
      </c>
      <c r="Y730" s="6">
        <v>46143</v>
      </c>
    </row>
    <row r="731" spans="1:26" x14ac:dyDescent="0.3">
      <c r="A731" t="s">
        <v>836</v>
      </c>
      <c r="B731" s="5">
        <v>46155</v>
      </c>
      <c r="C731" s="5">
        <v>46156</v>
      </c>
      <c r="D731" s="5">
        <v>46157</v>
      </c>
      <c r="E731" s="5">
        <v>46157</v>
      </c>
      <c r="F731" t="s">
        <v>31</v>
      </c>
      <c r="G731" t="s">
        <v>61</v>
      </c>
      <c r="H731" t="s">
        <v>22</v>
      </c>
      <c r="I731" t="s">
        <v>44</v>
      </c>
      <c r="J731">
        <v>46.8</v>
      </c>
      <c r="K731">
        <v>810</v>
      </c>
      <c r="L731">
        <v>1405000</v>
      </c>
      <c r="M731" t="b">
        <v>0</v>
      </c>
      <c r="N731" t="b">
        <v>0</v>
      </c>
      <c r="O731">
        <v>1500</v>
      </c>
      <c r="P731" t="b">
        <v>0</v>
      </c>
      <c r="Q731" t="b">
        <v>0</v>
      </c>
      <c r="R731" t="b">
        <v>0</v>
      </c>
      <c r="S731" t="s">
        <v>96</v>
      </c>
      <c r="T731" t="s">
        <v>1645</v>
      </c>
      <c r="U731">
        <v>54</v>
      </c>
      <c r="V731">
        <v>0</v>
      </c>
      <c r="W731">
        <v>0</v>
      </c>
      <c r="X731">
        <v>1</v>
      </c>
      <c r="Y731" s="6">
        <v>46143</v>
      </c>
    </row>
    <row r="732" spans="1:26" x14ac:dyDescent="0.3">
      <c r="A732" t="s">
        <v>837</v>
      </c>
      <c r="B732" s="5">
        <v>46083</v>
      </c>
      <c r="C732" s="5">
        <v>46085</v>
      </c>
      <c r="D732" s="5">
        <v>46089</v>
      </c>
      <c r="E732" s="5">
        <v>46089</v>
      </c>
      <c r="F732" t="s">
        <v>34</v>
      </c>
      <c r="G732" t="s">
        <v>62</v>
      </c>
      <c r="H732" t="s">
        <v>22</v>
      </c>
      <c r="I732" t="s">
        <v>43</v>
      </c>
      <c r="J732">
        <v>663.6</v>
      </c>
      <c r="K732">
        <v>3916.5</v>
      </c>
      <c r="L732">
        <v>11532000</v>
      </c>
      <c r="M732" t="b">
        <v>0</v>
      </c>
      <c r="N732" t="b">
        <v>0</v>
      </c>
      <c r="O732">
        <v>5000</v>
      </c>
      <c r="P732" t="b">
        <v>0</v>
      </c>
      <c r="Q732" t="b">
        <v>0</v>
      </c>
      <c r="R732" t="b">
        <v>0</v>
      </c>
      <c r="S732" t="s">
        <v>96</v>
      </c>
      <c r="T732" t="s">
        <v>1649</v>
      </c>
      <c r="U732">
        <v>78.33</v>
      </c>
      <c r="V732">
        <v>0</v>
      </c>
      <c r="W732">
        <v>0</v>
      </c>
      <c r="X732">
        <v>4</v>
      </c>
      <c r="Y732" s="6">
        <v>46082</v>
      </c>
    </row>
    <row r="733" spans="1:26" x14ac:dyDescent="0.3">
      <c r="A733" t="s">
        <v>838</v>
      </c>
      <c r="B733" s="5">
        <v>46169</v>
      </c>
      <c r="C733" s="5">
        <v>46170</v>
      </c>
      <c r="D733" s="5">
        <v>46172</v>
      </c>
      <c r="E733" s="5">
        <v>46173</v>
      </c>
      <c r="F733" t="s">
        <v>31</v>
      </c>
      <c r="G733" t="s">
        <v>52</v>
      </c>
      <c r="H733" t="s">
        <v>21</v>
      </c>
      <c r="I733" t="s">
        <v>43</v>
      </c>
      <c r="J733">
        <v>297.2</v>
      </c>
      <c r="K733">
        <v>1063.5999999999999</v>
      </c>
      <c r="L733">
        <v>4540000</v>
      </c>
      <c r="M733" t="b">
        <v>0</v>
      </c>
      <c r="N733" t="b">
        <v>0</v>
      </c>
      <c r="O733">
        <v>5000</v>
      </c>
      <c r="P733" t="b">
        <v>0</v>
      </c>
      <c r="Q733" t="b">
        <v>0</v>
      </c>
      <c r="R733" t="b">
        <v>0</v>
      </c>
      <c r="S733" t="s">
        <v>101</v>
      </c>
      <c r="T733" t="s">
        <v>1618</v>
      </c>
      <c r="U733">
        <v>21.271999999999998</v>
      </c>
      <c r="V733">
        <v>0</v>
      </c>
      <c r="W733">
        <v>0</v>
      </c>
      <c r="X733">
        <v>3</v>
      </c>
      <c r="Y733" s="6">
        <v>46143</v>
      </c>
      <c r="Z733">
        <v>1</v>
      </c>
    </row>
    <row r="734" spans="1:26" x14ac:dyDescent="0.3">
      <c r="A734" t="s">
        <v>839</v>
      </c>
      <c r="B734" s="5">
        <v>46188</v>
      </c>
      <c r="C734" s="5">
        <v>46189</v>
      </c>
      <c r="D734" s="5">
        <v>46190</v>
      </c>
      <c r="E734" s="5">
        <v>46191</v>
      </c>
      <c r="F734" t="s">
        <v>31</v>
      </c>
      <c r="G734" t="s">
        <v>55</v>
      </c>
      <c r="H734" t="s">
        <v>21</v>
      </c>
      <c r="I734" t="s">
        <v>43</v>
      </c>
      <c r="J734">
        <v>23.6</v>
      </c>
      <c r="K734">
        <v>1447.2</v>
      </c>
      <c r="L734">
        <v>1638000</v>
      </c>
      <c r="M734" t="b">
        <v>0</v>
      </c>
      <c r="N734" t="b">
        <v>0</v>
      </c>
      <c r="O734">
        <v>5000</v>
      </c>
      <c r="P734" t="b">
        <v>0</v>
      </c>
      <c r="Q734" t="b">
        <v>0</v>
      </c>
      <c r="R734" t="b">
        <v>0</v>
      </c>
      <c r="S734" t="s">
        <v>101</v>
      </c>
      <c r="T734" t="s">
        <v>1629</v>
      </c>
      <c r="U734">
        <v>28.943999999999999</v>
      </c>
      <c r="V734">
        <v>0</v>
      </c>
      <c r="W734">
        <v>0</v>
      </c>
      <c r="X734">
        <v>2</v>
      </c>
      <c r="Y734" s="6">
        <v>46174</v>
      </c>
      <c r="Z734">
        <v>1</v>
      </c>
    </row>
    <row r="735" spans="1:26" x14ac:dyDescent="0.3">
      <c r="A735" t="s">
        <v>840</v>
      </c>
      <c r="B735" s="5">
        <v>46168</v>
      </c>
      <c r="C735" s="5">
        <v>46169</v>
      </c>
      <c r="D735" s="5">
        <v>46171</v>
      </c>
      <c r="E735" s="5">
        <v>46171</v>
      </c>
      <c r="F735" t="s">
        <v>32</v>
      </c>
      <c r="G735" t="s">
        <v>55</v>
      </c>
      <c r="H735" t="s">
        <v>21</v>
      </c>
      <c r="I735" t="s">
        <v>42</v>
      </c>
      <c r="J735">
        <v>123.4</v>
      </c>
      <c r="K735">
        <v>6189.1</v>
      </c>
      <c r="L735">
        <v>4600000</v>
      </c>
      <c r="M735" t="b">
        <v>0</v>
      </c>
      <c r="N735" t="b">
        <v>0</v>
      </c>
      <c r="O735">
        <v>16000</v>
      </c>
      <c r="P735" t="b">
        <v>0</v>
      </c>
      <c r="Q735" t="b">
        <v>0</v>
      </c>
      <c r="R735" t="b">
        <v>0</v>
      </c>
      <c r="S735" t="s">
        <v>96</v>
      </c>
      <c r="T735" t="s">
        <v>1633</v>
      </c>
      <c r="U735">
        <v>38.681875000000012</v>
      </c>
      <c r="V735">
        <v>0</v>
      </c>
      <c r="W735">
        <v>0</v>
      </c>
      <c r="X735">
        <v>2</v>
      </c>
      <c r="Y735" s="6">
        <v>46143</v>
      </c>
    </row>
    <row r="736" spans="1:26" x14ac:dyDescent="0.3">
      <c r="A736" t="s">
        <v>841</v>
      </c>
      <c r="B736" s="5">
        <v>46101</v>
      </c>
      <c r="C736" s="5">
        <v>46102</v>
      </c>
      <c r="D736" s="5">
        <v>46106</v>
      </c>
      <c r="E736" s="5">
        <v>46107</v>
      </c>
      <c r="F736" t="s">
        <v>34</v>
      </c>
      <c r="G736" t="s">
        <v>62</v>
      </c>
      <c r="H736" t="s">
        <v>22</v>
      </c>
      <c r="I736" t="s">
        <v>44</v>
      </c>
      <c r="J736">
        <v>753.6</v>
      </c>
      <c r="K736">
        <v>745.5</v>
      </c>
      <c r="L736">
        <v>8726000</v>
      </c>
      <c r="M736" t="b">
        <v>0</v>
      </c>
      <c r="N736" t="b">
        <v>0</v>
      </c>
      <c r="O736">
        <v>1500</v>
      </c>
      <c r="P736" t="b">
        <v>0</v>
      </c>
      <c r="Q736" t="b">
        <v>0</v>
      </c>
      <c r="R736" t="b">
        <v>0</v>
      </c>
      <c r="S736" t="s">
        <v>101</v>
      </c>
      <c r="T736" t="s">
        <v>1649</v>
      </c>
      <c r="U736">
        <v>49.7</v>
      </c>
      <c r="V736">
        <v>0</v>
      </c>
      <c r="W736">
        <v>0</v>
      </c>
      <c r="X736">
        <v>5</v>
      </c>
      <c r="Y736" s="6">
        <v>46082</v>
      </c>
      <c r="Z736">
        <v>1</v>
      </c>
    </row>
    <row r="737" spans="1:26" x14ac:dyDescent="0.3">
      <c r="A737" t="s">
        <v>842</v>
      </c>
      <c r="B737" s="5">
        <v>46147</v>
      </c>
      <c r="C737" s="5">
        <v>46148</v>
      </c>
      <c r="D737" s="5">
        <v>46150</v>
      </c>
      <c r="E737" s="5">
        <v>46151</v>
      </c>
      <c r="F737" t="s">
        <v>32</v>
      </c>
      <c r="G737" t="s">
        <v>59</v>
      </c>
      <c r="H737" t="s">
        <v>23</v>
      </c>
      <c r="I737" t="s">
        <v>42</v>
      </c>
      <c r="J737">
        <v>163.5</v>
      </c>
      <c r="K737">
        <v>2587.4</v>
      </c>
      <c r="L737">
        <v>4694000</v>
      </c>
      <c r="M737" t="b">
        <v>0</v>
      </c>
      <c r="N737" t="b">
        <v>0</v>
      </c>
      <c r="O737">
        <v>16000</v>
      </c>
      <c r="P737" t="b">
        <v>0</v>
      </c>
      <c r="Q737" t="b">
        <v>0</v>
      </c>
      <c r="R737" t="b">
        <v>0</v>
      </c>
      <c r="S737" t="s">
        <v>101</v>
      </c>
      <c r="T737" t="s">
        <v>1619</v>
      </c>
      <c r="U737">
        <v>16.171250000000001</v>
      </c>
      <c r="V737">
        <v>0</v>
      </c>
      <c r="W737">
        <v>0</v>
      </c>
      <c r="X737">
        <v>3</v>
      </c>
      <c r="Y737" s="6">
        <v>46143</v>
      </c>
      <c r="Z737">
        <v>1</v>
      </c>
    </row>
    <row r="738" spans="1:26" x14ac:dyDescent="0.3">
      <c r="A738" t="s">
        <v>843</v>
      </c>
      <c r="B738" s="5">
        <v>46119</v>
      </c>
      <c r="C738" s="5">
        <v>46120</v>
      </c>
      <c r="D738" s="5">
        <v>46123</v>
      </c>
      <c r="E738" s="5">
        <v>46123</v>
      </c>
      <c r="F738" t="s">
        <v>31</v>
      </c>
      <c r="G738" t="s">
        <v>54</v>
      </c>
      <c r="H738" t="s">
        <v>20</v>
      </c>
      <c r="I738" t="s">
        <v>45</v>
      </c>
      <c r="J738">
        <v>472.3</v>
      </c>
      <c r="K738">
        <v>279.3</v>
      </c>
      <c r="L738">
        <v>4614000</v>
      </c>
      <c r="M738" t="b">
        <v>0</v>
      </c>
      <c r="N738" t="b">
        <v>0</v>
      </c>
      <c r="O738">
        <v>1000</v>
      </c>
      <c r="P738" t="b">
        <v>0</v>
      </c>
      <c r="Q738" t="b">
        <v>0</v>
      </c>
      <c r="R738" t="b">
        <v>0</v>
      </c>
      <c r="S738" t="s">
        <v>96</v>
      </c>
      <c r="T738" t="s">
        <v>1631</v>
      </c>
      <c r="U738">
        <v>27.93</v>
      </c>
      <c r="V738">
        <v>0</v>
      </c>
      <c r="W738">
        <v>0</v>
      </c>
      <c r="X738">
        <v>3</v>
      </c>
      <c r="Y738" s="6">
        <v>46113</v>
      </c>
    </row>
    <row r="739" spans="1:26" x14ac:dyDescent="0.3">
      <c r="A739" t="s">
        <v>844</v>
      </c>
      <c r="B739" s="5">
        <v>46175</v>
      </c>
      <c r="C739" s="5">
        <v>46177</v>
      </c>
      <c r="D739" s="5">
        <v>46178</v>
      </c>
      <c r="E739" s="5">
        <v>46178</v>
      </c>
      <c r="F739" t="s">
        <v>34</v>
      </c>
      <c r="G739" t="s">
        <v>55</v>
      </c>
      <c r="H739" t="s">
        <v>20</v>
      </c>
      <c r="I739" t="s">
        <v>42</v>
      </c>
      <c r="J739">
        <v>54.6</v>
      </c>
      <c r="K739">
        <v>14805.3</v>
      </c>
      <c r="L739">
        <v>5777000</v>
      </c>
      <c r="M739" t="b">
        <v>0</v>
      </c>
      <c r="N739" t="b">
        <v>0</v>
      </c>
      <c r="O739">
        <v>16000</v>
      </c>
      <c r="P739" t="b">
        <v>0</v>
      </c>
      <c r="Q739" t="b">
        <v>0</v>
      </c>
      <c r="R739" t="b">
        <v>0</v>
      </c>
      <c r="S739" t="s">
        <v>96</v>
      </c>
      <c r="T739" t="s">
        <v>1639</v>
      </c>
      <c r="U739">
        <v>92.533124999999998</v>
      </c>
      <c r="V739">
        <v>0</v>
      </c>
      <c r="W739">
        <v>0</v>
      </c>
      <c r="X739">
        <v>1</v>
      </c>
      <c r="Y739" s="6">
        <v>46174</v>
      </c>
    </row>
    <row r="740" spans="1:26" x14ac:dyDescent="0.3">
      <c r="A740" t="s">
        <v>845</v>
      </c>
      <c r="B740" s="5">
        <v>46089</v>
      </c>
      <c r="C740" s="5">
        <v>46090</v>
      </c>
      <c r="D740" s="5">
        <v>46094</v>
      </c>
      <c r="E740" s="5">
        <v>46094</v>
      </c>
      <c r="F740" t="s">
        <v>32</v>
      </c>
      <c r="G740" t="s">
        <v>58</v>
      </c>
      <c r="H740" t="s">
        <v>21</v>
      </c>
      <c r="I740" t="s">
        <v>43</v>
      </c>
      <c r="J740">
        <v>311</v>
      </c>
      <c r="K740">
        <v>1322.2</v>
      </c>
      <c r="L740">
        <v>5107000</v>
      </c>
      <c r="M740" t="b">
        <v>0</v>
      </c>
      <c r="N740" t="b">
        <v>0</v>
      </c>
      <c r="O740">
        <v>5000</v>
      </c>
      <c r="P740" t="b">
        <v>0</v>
      </c>
      <c r="Q740" t="b">
        <v>0</v>
      </c>
      <c r="R740" t="b">
        <v>0</v>
      </c>
      <c r="S740" t="s">
        <v>96</v>
      </c>
      <c r="T740" t="s">
        <v>1656</v>
      </c>
      <c r="U740">
        <v>26.443999999999999</v>
      </c>
      <c r="V740">
        <v>0</v>
      </c>
      <c r="W740">
        <v>0</v>
      </c>
      <c r="X740">
        <v>4</v>
      </c>
      <c r="Y740" s="6">
        <v>46082</v>
      </c>
    </row>
    <row r="741" spans="1:26" x14ac:dyDescent="0.3">
      <c r="A741" t="s">
        <v>846</v>
      </c>
      <c r="B741" s="5">
        <v>46024</v>
      </c>
      <c r="C741" s="5">
        <v>46025</v>
      </c>
      <c r="D741" s="5">
        <v>46028</v>
      </c>
      <c r="E741" s="5">
        <v>46028</v>
      </c>
      <c r="F741" t="s">
        <v>31</v>
      </c>
      <c r="G741" t="s">
        <v>54</v>
      </c>
      <c r="H741" t="s">
        <v>24</v>
      </c>
      <c r="I741" t="s">
        <v>43</v>
      </c>
      <c r="J741">
        <v>509.4</v>
      </c>
      <c r="K741">
        <v>1882.3</v>
      </c>
      <c r="L741">
        <v>7377000</v>
      </c>
      <c r="M741" t="b">
        <v>0</v>
      </c>
      <c r="N741" t="b">
        <v>0</v>
      </c>
      <c r="O741">
        <v>5000</v>
      </c>
      <c r="P741" t="b">
        <v>0</v>
      </c>
      <c r="Q741" t="b">
        <v>0</v>
      </c>
      <c r="R741" t="b">
        <v>0</v>
      </c>
      <c r="S741" t="s">
        <v>96</v>
      </c>
      <c r="T741" t="s">
        <v>1631</v>
      </c>
      <c r="U741">
        <v>37.646000000000001</v>
      </c>
      <c r="V741">
        <v>0</v>
      </c>
      <c r="W741">
        <v>0</v>
      </c>
      <c r="X741">
        <v>3</v>
      </c>
      <c r="Y741" s="6">
        <v>46023</v>
      </c>
    </row>
    <row r="742" spans="1:26" x14ac:dyDescent="0.3">
      <c r="A742" t="s">
        <v>847</v>
      </c>
      <c r="B742" s="5">
        <v>46103</v>
      </c>
      <c r="C742" s="5">
        <v>46104</v>
      </c>
      <c r="D742" s="5">
        <v>46108</v>
      </c>
      <c r="E742" s="5">
        <v>46108</v>
      </c>
      <c r="F742" t="s">
        <v>34</v>
      </c>
      <c r="G742" t="s">
        <v>56</v>
      </c>
      <c r="H742" t="s">
        <v>20</v>
      </c>
      <c r="I742" t="s">
        <v>44</v>
      </c>
      <c r="J742">
        <v>913.9</v>
      </c>
      <c r="K742">
        <v>616.6</v>
      </c>
      <c r="L742">
        <v>8418000</v>
      </c>
      <c r="M742" t="b">
        <v>0</v>
      </c>
      <c r="N742" t="b">
        <v>0</v>
      </c>
      <c r="O742">
        <v>1500</v>
      </c>
      <c r="P742" t="b">
        <v>0</v>
      </c>
      <c r="Q742" t="b">
        <v>0</v>
      </c>
      <c r="R742" t="b">
        <v>0</v>
      </c>
      <c r="S742" t="s">
        <v>96</v>
      </c>
      <c r="T742" t="s">
        <v>1646</v>
      </c>
      <c r="U742">
        <v>41.106666666666669</v>
      </c>
      <c r="V742">
        <v>0</v>
      </c>
      <c r="W742">
        <v>0</v>
      </c>
      <c r="X742">
        <v>4</v>
      </c>
      <c r="Y742" s="6">
        <v>46082</v>
      </c>
    </row>
    <row r="743" spans="1:26" x14ac:dyDescent="0.3">
      <c r="A743" t="s">
        <v>848</v>
      </c>
      <c r="B743" s="5">
        <v>46141</v>
      </c>
      <c r="C743" s="5">
        <v>46141</v>
      </c>
      <c r="D743" s="5">
        <v>46144</v>
      </c>
      <c r="E743" s="5">
        <v>46144</v>
      </c>
      <c r="F743" t="s">
        <v>32</v>
      </c>
      <c r="G743" t="s">
        <v>60</v>
      </c>
      <c r="H743" t="s">
        <v>23</v>
      </c>
      <c r="I743" t="s">
        <v>45</v>
      </c>
      <c r="J743">
        <v>460.9</v>
      </c>
      <c r="K743">
        <v>823.9</v>
      </c>
      <c r="L743">
        <v>4913000</v>
      </c>
      <c r="M743" t="b">
        <v>0</v>
      </c>
      <c r="N743" t="b">
        <v>0</v>
      </c>
      <c r="O743">
        <v>1000</v>
      </c>
      <c r="P743" t="b">
        <v>0</v>
      </c>
      <c r="Q743" t="b">
        <v>0</v>
      </c>
      <c r="R743" t="b">
        <v>0</v>
      </c>
      <c r="S743" t="s">
        <v>96</v>
      </c>
      <c r="T743" t="s">
        <v>1647</v>
      </c>
      <c r="U743">
        <v>82.39</v>
      </c>
      <c r="V743">
        <v>0</v>
      </c>
      <c r="W743">
        <v>0</v>
      </c>
      <c r="X743">
        <v>3</v>
      </c>
      <c r="Y743" s="6">
        <v>46113</v>
      </c>
    </row>
    <row r="744" spans="1:26" x14ac:dyDescent="0.3">
      <c r="A744" t="s">
        <v>849</v>
      </c>
      <c r="B744" s="5">
        <v>46163</v>
      </c>
      <c r="C744" s="5">
        <v>46163</v>
      </c>
      <c r="D744" s="5">
        <v>46167</v>
      </c>
      <c r="E744" s="5">
        <v>46167</v>
      </c>
      <c r="F744" t="s">
        <v>33</v>
      </c>
      <c r="G744" t="s">
        <v>58</v>
      </c>
      <c r="H744" t="s">
        <v>23</v>
      </c>
      <c r="I744" t="s">
        <v>42</v>
      </c>
      <c r="J744">
        <v>715.6</v>
      </c>
      <c r="K744">
        <v>3294.1</v>
      </c>
      <c r="L744">
        <v>15131000</v>
      </c>
      <c r="M744" t="b">
        <v>0</v>
      </c>
      <c r="N744" t="b">
        <v>0</v>
      </c>
      <c r="O744">
        <v>16000</v>
      </c>
      <c r="P744" t="b">
        <v>0</v>
      </c>
      <c r="Q744" t="b">
        <v>0</v>
      </c>
      <c r="R744" t="b">
        <v>0</v>
      </c>
      <c r="S744" t="s">
        <v>96</v>
      </c>
      <c r="T744" t="s">
        <v>1651</v>
      </c>
      <c r="U744">
        <v>20.588125000000002</v>
      </c>
      <c r="V744">
        <v>0</v>
      </c>
      <c r="W744">
        <v>0</v>
      </c>
      <c r="X744">
        <v>4</v>
      </c>
      <c r="Y744" s="6">
        <v>46143</v>
      </c>
    </row>
    <row r="745" spans="1:26" x14ac:dyDescent="0.3">
      <c r="A745" t="s">
        <v>850</v>
      </c>
      <c r="B745" s="5">
        <v>46184</v>
      </c>
      <c r="C745" s="5">
        <v>46184</v>
      </c>
      <c r="D745" s="5">
        <v>46188</v>
      </c>
      <c r="E745" s="5">
        <v>46188</v>
      </c>
      <c r="F745" t="s">
        <v>34</v>
      </c>
      <c r="G745" t="s">
        <v>63</v>
      </c>
      <c r="H745" t="s">
        <v>22</v>
      </c>
      <c r="I745" t="s">
        <v>42</v>
      </c>
      <c r="J745">
        <v>336.8</v>
      </c>
      <c r="K745">
        <v>7008.2</v>
      </c>
      <c r="L745">
        <v>9462000</v>
      </c>
      <c r="M745" t="b">
        <v>0</v>
      </c>
      <c r="N745" t="b">
        <v>0</v>
      </c>
      <c r="O745">
        <v>16000</v>
      </c>
      <c r="P745" t="b">
        <v>0</v>
      </c>
      <c r="Q745" t="b">
        <v>0</v>
      </c>
      <c r="R745" t="b">
        <v>0</v>
      </c>
      <c r="S745" t="s">
        <v>96</v>
      </c>
      <c r="T745" t="s">
        <v>1613</v>
      </c>
      <c r="U745">
        <v>43.801250000000003</v>
      </c>
      <c r="V745">
        <v>0</v>
      </c>
      <c r="W745">
        <v>0</v>
      </c>
      <c r="X745">
        <v>4</v>
      </c>
      <c r="Y745" s="6">
        <v>46174</v>
      </c>
    </row>
    <row r="746" spans="1:26" x14ac:dyDescent="0.3">
      <c r="A746" t="s">
        <v>851</v>
      </c>
      <c r="B746" s="5">
        <v>46153</v>
      </c>
      <c r="C746" s="5">
        <v>46154</v>
      </c>
      <c r="D746" s="5">
        <v>46157</v>
      </c>
      <c r="E746" s="5">
        <v>46156</v>
      </c>
      <c r="F746" t="s">
        <v>34</v>
      </c>
      <c r="G746" t="s">
        <v>63</v>
      </c>
      <c r="H746" t="s">
        <v>20</v>
      </c>
      <c r="I746" t="s">
        <v>42</v>
      </c>
      <c r="J746">
        <v>320.39999999999998</v>
      </c>
      <c r="K746">
        <v>5091.8</v>
      </c>
      <c r="L746">
        <v>7840000</v>
      </c>
      <c r="M746" t="b">
        <v>0</v>
      </c>
      <c r="N746" t="b">
        <v>0</v>
      </c>
      <c r="O746">
        <v>16000</v>
      </c>
      <c r="P746" t="b">
        <v>0</v>
      </c>
      <c r="Q746" t="b">
        <v>0</v>
      </c>
      <c r="R746" t="b">
        <v>0</v>
      </c>
      <c r="S746" t="s">
        <v>96</v>
      </c>
      <c r="T746" t="s">
        <v>1613</v>
      </c>
      <c r="U746">
        <v>31.82375</v>
      </c>
      <c r="V746">
        <v>0</v>
      </c>
      <c r="W746">
        <v>0</v>
      </c>
      <c r="X746">
        <v>2</v>
      </c>
      <c r="Y746" s="6">
        <v>46143</v>
      </c>
    </row>
    <row r="747" spans="1:26" x14ac:dyDescent="0.3">
      <c r="A747" t="s">
        <v>852</v>
      </c>
      <c r="B747" s="5">
        <v>46201</v>
      </c>
      <c r="C747" s="5">
        <v>46203</v>
      </c>
      <c r="D747" s="5">
        <v>46204</v>
      </c>
      <c r="E747" s="5">
        <v>46204</v>
      </c>
      <c r="F747" t="s">
        <v>32</v>
      </c>
      <c r="G747" t="s">
        <v>57</v>
      </c>
      <c r="H747" t="s">
        <v>21</v>
      </c>
      <c r="I747" t="s">
        <v>44</v>
      </c>
      <c r="J747">
        <v>19.100000000000001</v>
      </c>
      <c r="K747">
        <v>942.5</v>
      </c>
      <c r="L747">
        <v>1175000</v>
      </c>
      <c r="M747" t="b">
        <v>0</v>
      </c>
      <c r="N747" t="b">
        <v>0</v>
      </c>
      <c r="O747">
        <v>1500</v>
      </c>
      <c r="P747" t="b">
        <v>0</v>
      </c>
      <c r="Q747" t="b">
        <v>0</v>
      </c>
      <c r="R747" t="b">
        <v>0</v>
      </c>
      <c r="S747" t="s">
        <v>96</v>
      </c>
      <c r="T747" t="s">
        <v>1630</v>
      </c>
      <c r="U747">
        <v>62.833333333333329</v>
      </c>
      <c r="V747">
        <v>0</v>
      </c>
      <c r="W747">
        <v>0</v>
      </c>
      <c r="X747">
        <v>1</v>
      </c>
      <c r="Y747" s="6">
        <v>46174</v>
      </c>
    </row>
    <row r="748" spans="1:26" x14ac:dyDescent="0.3">
      <c r="A748" t="s">
        <v>853</v>
      </c>
      <c r="B748" s="5">
        <v>46085</v>
      </c>
      <c r="C748" s="5">
        <v>46086</v>
      </c>
      <c r="D748" s="5">
        <v>46088</v>
      </c>
      <c r="E748" s="5">
        <v>46088</v>
      </c>
      <c r="F748" t="s">
        <v>34</v>
      </c>
      <c r="G748" t="s">
        <v>58</v>
      </c>
      <c r="H748" t="s">
        <v>20</v>
      </c>
      <c r="I748" t="s">
        <v>45</v>
      </c>
      <c r="J748">
        <v>158.80000000000001</v>
      </c>
      <c r="K748">
        <v>773.4</v>
      </c>
      <c r="L748">
        <v>2055000</v>
      </c>
      <c r="M748" t="b">
        <v>0</v>
      </c>
      <c r="N748" t="b">
        <v>0</v>
      </c>
      <c r="O748">
        <v>1000</v>
      </c>
      <c r="P748" t="b">
        <v>0</v>
      </c>
      <c r="Q748" t="b">
        <v>0</v>
      </c>
      <c r="R748" t="b">
        <v>0</v>
      </c>
      <c r="S748" t="s">
        <v>96</v>
      </c>
      <c r="T748" t="s">
        <v>1637</v>
      </c>
      <c r="U748">
        <v>77.34</v>
      </c>
      <c r="V748">
        <v>0</v>
      </c>
      <c r="W748">
        <v>0</v>
      </c>
      <c r="X748">
        <v>2</v>
      </c>
      <c r="Y748" s="6">
        <v>46082</v>
      </c>
    </row>
    <row r="749" spans="1:26" x14ac:dyDescent="0.3">
      <c r="A749" t="s">
        <v>854</v>
      </c>
      <c r="B749" s="5">
        <v>46048</v>
      </c>
      <c r="C749" s="5">
        <v>46049</v>
      </c>
      <c r="D749" s="5">
        <v>46051</v>
      </c>
      <c r="E749" s="5">
        <v>46051</v>
      </c>
      <c r="F749" t="s">
        <v>34</v>
      </c>
      <c r="G749" t="s">
        <v>58</v>
      </c>
      <c r="H749" t="s">
        <v>22</v>
      </c>
      <c r="I749" t="s">
        <v>44</v>
      </c>
      <c r="J749">
        <v>151.4</v>
      </c>
      <c r="K749">
        <v>1365.4</v>
      </c>
      <c r="L749">
        <v>2355000</v>
      </c>
      <c r="M749" t="b">
        <v>0</v>
      </c>
      <c r="N749" t="b">
        <v>0</v>
      </c>
      <c r="O749">
        <v>1500</v>
      </c>
      <c r="P749" t="b">
        <v>0</v>
      </c>
      <c r="Q749" t="b">
        <v>0</v>
      </c>
      <c r="R749" t="b">
        <v>0</v>
      </c>
      <c r="S749" t="s">
        <v>96</v>
      </c>
      <c r="T749" t="s">
        <v>1637</v>
      </c>
      <c r="U749">
        <v>91.026666666666685</v>
      </c>
      <c r="V749">
        <v>0</v>
      </c>
      <c r="W749">
        <v>0</v>
      </c>
      <c r="X749">
        <v>2</v>
      </c>
      <c r="Y749" s="6">
        <v>46023</v>
      </c>
    </row>
    <row r="750" spans="1:26" x14ac:dyDescent="0.3">
      <c r="A750" t="s">
        <v>855</v>
      </c>
      <c r="B750" s="5">
        <v>46048</v>
      </c>
      <c r="C750" s="5">
        <v>46049</v>
      </c>
      <c r="D750" s="5">
        <v>46052</v>
      </c>
      <c r="E750" s="5">
        <v>46052</v>
      </c>
      <c r="F750" t="s">
        <v>32</v>
      </c>
      <c r="G750" t="s">
        <v>55</v>
      </c>
      <c r="H750" t="s">
        <v>20</v>
      </c>
      <c r="I750" t="s">
        <v>43</v>
      </c>
      <c r="J750">
        <v>136.80000000000001</v>
      </c>
      <c r="K750">
        <v>1169.5999999999999</v>
      </c>
      <c r="L750">
        <v>2852000</v>
      </c>
      <c r="M750" t="b">
        <v>0</v>
      </c>
      <c r="N750" t="b">
        <v>0</v>
      </c>
      <c r="O750">
        <v>5000</v>
      </c>
      <c r="P750" t="b">
        <v>0</v>
      </c>
      <c r="Q750" t="b">
        <v>0</v>
      </c>
      <c r="R750" t="b">
        <v>0</v>
      </c>
      <c r="S750" t="s">
        <v>96</v>
      </c>
      <c r="T750" t="s">
        <v>1633</v>
      </c>
      <c r="U750">
        <v>23.391999999999999</v>
      </c>
      <c r="V750">
        <v>0</v>
      </c>
      <c r="W750">
        <v>0</v>
      </c>
      <c r="X750">
        <v>3</v>
      </c>
      <c r="Y750" s="6">
        <v>46023</v>
      </c>
    </row>
    <row r="751" spans="1:26" x14ac:dyDescent="0.3">
      <c r="A751" t="s">
        <v>856</v>
      </c>
      <c r="B751" s="5">
        <v>46164</v>
      </c>
      <c r="C751" s="5">
        <v>46165</v>
      </c>
      <c r="D751" s="5">
        <v>46166</v>
      </c>
      <c r="E751" s="5">
        <v>46166</v>
      </c>
      <c r="F751" t="s">
        <v>34</v>
      </c>
      <c r="G751" t="s">
        <v>61</v>
      </c>
      <c r="H751" t="s">
        <v>22</v>
      </c>
      <c r="I751" t="s">
        <v>44</v>
      </c>
      <c r="J751">
        <v>21.1</v>
      </c>
      <c r="K751">
        <v>1364.7</v>
      </c>
      <c r="L751">
        <v>1432000</v>
      </c>
      <c r="M751" t="b">
        <v>0</v>
      </c>
      <c r="N751" t="b">
        <v>0</v>
      </c>
      <c r="O751">
        <v>1500</v>
      </c>
      <c r="P751" t="b">
        <v>0</v>
      </c>
      <c r="Q751" t="b">
        <v>0</v>
      </c>
      <c r="R751" t="b">
        <v>0</v>
      </c>
      <c r="S751" t="s">
        <v>96</v>
      </c>
      <c r="T751" t="s">
        <v>1638</v>
      </c>
      <c r="U751">
        <v>90.98</v>
      </c>
      <c r="V751">
        <v>0</v>
      </c>
      <c r="W751">
        <v>0</v>
      </c>
      <c r="X751">
        <v>1</v>
      </c>
      <c r="Y751" s="6">
        <v>46143</v>
      </c>
    </row>
    <row r="752" spans="1:26" x14ac:dyDescent="0.3">
      <c r="A752" t="s">
        <v>857</v>
      </c>
      <c r="B752" s="5">
        <v>46040</v>
      </c>
      <c r="C752" s="5">
        <v>46040</v>
      </c>
      <c r="D752" s="5">
        <v>46042</v>
      </c>
      <c r="E752" s="5">
        <v>46042</v>
      </c>
      <c r="F752" t="s">
        <v>32</v>
      </c>
      <c r="G752" t="s">
        <v>59</v>
      </c>
      <c r="H752" t="s">
        <v>24</v>
      </c>
      <c r="I752" t="s">
        <v>45</v>
      </c>
      <c r="J752">
        <v>183.7</v>
      </c>
      <c r="K752">
        <v>594.6</v>
      </c>
      <c r="L752">
        <v>2400000</v>
      </c>
      <c r="M752" t="b">
        <v>0</v>
      </c>
      <c r="N752" t="b">
        <v>0</v>
      </c>
      <c r="O752">
        <v>1000</v>
      </c>
      <c r="P752" t="b">
        <v>0</v>
      </c>
      <c r="Q752" t="b">
        <v>0</v>
      </c>
      <c r="R752" t="b">
        <v>0</v>
      </c>
      <c r="S752" t="s">
        <v>96</v>
      </c>
      <c r="T752" t="s">
        <v>1619</v>
      </c>
      <c r="U752">
        <v>59.46</v>
      </c>
      <c r="V752">
        <v>0</v>
      </c>
      <c r="W752">
        <v>0</v>
      </c>
      <c r="X752">
        <v>2</v>
      </c>
      <c r="Y752" s="6">
        <v>46023</v>
      </c>
    </row>
    <row r="753" spans="1:26" x14ac:dyDescent="0.3">
      <c r="A753" t="s">
        <v>858</v>
      </c>
      <c r="B753" s="5">
        <v>46030</v>
      </c>
      <c r="C753" s="5">
        <v>46030</v>
      </c>
      <c r="D753" s="5">
        <v>46033</v>
      </c>
      <c r="E753" s="5">
        <v>46033</v>
      </c>
      <c r="F753" t="s">
        <v>34</v>
      </c>
      <c r="G753" t="s">
        <v>59</v>
      </c>
      <c r="H753" t="s">
        <v>23</v>
      </c>
      <c r="I753" t="s">
        <v>45</v>
      </c>
      <c r="J753">
        <v>322.60000000000002</v>
      </c>
      <c r="K753">
        <v>397.8</v>
      </c>
      <c r="L753">
        <v>3056000</v>
      </c>
      <c r="M753" t="b">
        <v>0</v>
      </c>
      <c r="N753" t="b">
        <v>0</v>
      </c>
      <c r="O753">
        <v>1000</v>
      </c>
      <c r="P753" t="b">
        <v>0</v>
      </c>
      <c r="Q753" t="b">
        <v>0</v>
      </c>
      <c r="R753" t="b">
        <v>0</v>
      </c>
      <c r="S753" t="s">
        <v>96</v>
      </c>
      <c r="T753" t="s">
        <v>1616</v>
      </c>
      <c r="U753">
        <v>39.78</v>
      </c>
      <c r="V753">
        <v>0</v>
      </c>
      <c r="W753">
        <v>0</v>
      </c>
      <c r="X753">
        <v>3</v>
      </c>
      <c r="Y753" s="6">
        <v>46023</v>
      </c>
    </row>
    <row r="754" spans="1:26" x14ac:dyDescent="0.3">
      <c r="A754" t="s">
        <v>859</v>
      </c>
      <c r="B754" s="5">
        <v>46094</v>
      </c>
      <c r="C754" s="5">
        <v>46096</v>
      </c>
      <c r="D754" s="5">
        <v>46098</v>
      </c>
      <c r="E754" s="5">
        <v>46099</v>
      </c>
      <c r="F754" t="s">
        <v>32</v>
      </c>
      <c r="G754" t="s">
        <v>53</v>
      </c>
      <c r="H754" t="s">
        <v>22</v>
      </c>
      <c r="I754" t="s">
        <v>43</v>
      </c>
      <c r="J754">
        <v>273.5</v>
      </c>
      <c r="K754">
        <v>1417.4</v>
      </c>
      <c r="L754">
        <v>4370000</v>
      </c>
      <c r="M754" t="b">
        <v>0</v>
      </c>
      <c r="N754" t="b">
        <v>0</v>
      </c>
      <c r="O754">
        <v>5000</v>
      </c>
      <c r="P754" t="b">
        <v>0</v>
      </c>
      <c r="Q754" t="b">
        <v>0</v>
      </c>
      <c r="R754" t="b">
        <v>0</v>
      </c>
      <c r="S754" t="s">
        <v>101</v>
      </c>
      <c r="T754" t="s">
        <v>1612</v>
      </c>
      <c r="U754">
        <v>28.347999999999999</v>
      </c>
      <c r="V754">
        <v>0</v>
      </c>
      <c r="W754">
        <v>0</v>
      </c>
      <c r="X754">
        <v>3</v>
      </c>
      <c r="Y754" s="6">
        <v>46082</v>
      </c>
      <c r="Z754">
        <v>1</v>
      </c>
    </row>
    <row r="755" spans="1:26" x14ac:dyDescent="0.3">
      <c r="A755" t="s">
        <v>860</v>
      </c>
      <c r="B755" s="5">
        <v>46174</v>
      </c>
      <c r="C755" s="5">
        <v>46176</v>
      </c>
      <c r="D755" s="5">
        <v>46178</v>
      </c>
      <c r="E755" s="5">
        <v>46178</v>
      </c>
      <c r="F755" t="s">
        <v>32</v>
      </c>
      <c r="G755" t="s">
        <v>63</v>
      </c>
      <c r="H755" t="s">
        <v>21</v>
      </c>
      <c r="I755" t="s">
        <v>43</v>
      </c>
      <c r="J755">
        <v>178.5</v>
      </c>
      <c r="K755">
        <v>634.29999999999995</v>
      </c>
      <c r="L755">
        <v>3226000</v>
      </c>
      <c r="M755" t="b">
        <v>0</v>
      </c>
      <c r="N755" t="b">
        <v>0</v>
      </c>
      <c r="O755">
        <v>5000</v>
      </c>
      <c r="P755" t="b">
        <v>0</v>
      </c>
      <c r="Q755" t="b">
        <v>0</v>
      </c>
      <c r="R755" t="b">
        <v>0</v>
      </c>
      <c r="S755" t="s">
        <v>96</v>
      </c>
      <c r="T755" t="s">
        <v>1634</v>
      </c>
      <c r="U755">
        <v>12.686</v>
      </c>
      <c r="V755">
        <v>0</v>
      </c>
      <c r="W755">
        <v>0</v>
      </c>
      <c r="X755">
        <v>2</v>
      </c>
      <c r="Y755" s="6">
        <v>46174</v>
      </c>
    </row>
    <row r="756" spans="1:26" x14ac:dyDescent="0.3">
      <c r="A756" t="s">
        <v>861</v>
      </c>
      <c r="B756" s="5">
        <v>46057</v>
      </c>
      <c r="C756" s="5">
        <v>46058</v>
      </c>
      <c r="D756" s="5">
        <v>46059</v>
      </c>
      <c r="E756" s="5">
        <v>46060</v>
      </c>
      <c r="F756" t="s">
        <v>33</v>
      </c>
      <c r="G756" t="s">
        <v>60</v>
      </c>
      <c r="H756" t="s">
        <v>24</v>
      </c>
      <c r="I756" t="s">
        <v>43</v>
      </c>
      <c r="J756">
        <v>13.3</v>
      </c>
      <c r="K756">
        <v>3489.5</v>
      </c>
      <c r="L756">
        <v>2328000</v>
      </c>
      <c r="M756" t="b">
        <v>0</v>
      </c>
      <c r="N756" t="b">
        <v>0</v>
      </c>
      <c r="O756">
        <v>5000</v>
      </c>
      <c r="P756" t="b">
        <v>0</v>
      </c>
      <c r="Q756" t="b">
        <v>0</v>
      </c>
      <c r="R756" t="b">
        <v>0</v>
      </c>
      <c r="S756" t="s">
        <v>101</v>
      </c>
      <c r="T756" t="s">
        <v>1650</v>
      </c>
      <c r="U756">
        <v>69.789999999999992</v>
      </c>
      <c r="V756">
        <v>0</v>
      </c>
      <c r="W756">
        <v>0</v>
      </c>
      <c r="X756">
        <v>2</v>
      </c>
      <c r="Y756" s="6">
        <v>46054</v>
      </c>
      <c r="Z756">
        <v>1</v>
      </c>
    </row>
    <row r="757" spans="1:26" x14ac:dyDescent="0.3">
      <c r="A757" t="s">
        <v>862</v>
      </c>
      <c r="B757" s="5">
        <v>46185</v>
      </c>
      <c r="C757" s="5">
        <v>46187</v>
      </c>
      <c r="D757" s="5">
        <v>46188</v>
      </c>
      <c r="E757" s="5">
        <v>46189</v>
      </c>
      <c r="F757" t="s">
        <v>34</v>
      </c>
      <c r="G757" t="s">
        <v>61</v>
      </c>
      <c r="H757" t="s">
        <v>24</v>
      </c>
      <c r="I757" t="s">
        <v>45</v>
      </c>
      <c r="J757">
        <v>22.3</v>
      </c>
      <c r="K757">
        <v>136.5</v>
      </c>
      <c r="L757">
        <v>574000</v>
      </c>
      <c r="M757" t="b">
        <v>0</v>
      </c>
      <c r="N757" t="b">
        <v>0</v>
      </c>
      <c r="O757">
        <v>1000</v>
      </c>
      <c r="P757" t="b">
        <v>0</v>
      </c>
      <c r="Q757" t="b">
        <v>0</v>
      </c>
      <c r="R757" t="b">
        <v>0</v>
      </c>
      <c r="S757" t="s">
        <v>101</v>
      </c>
      <c r="T757" t="s">
        <v>1638</v>
      </c>
      <c r="U757">
        <v>13.65</v>
      </c>
      <c r="V757">
        <v>0</v>
      </c>
      <c r="W757">
        <v>0</v>
      </c>
      <c r="X757">
        <v>2</v>
      </c>
      <c r="Y757" s="6">
        <v>46174</v>
      </c>
      <c r="Z757">
        <v>1</v>
      </c>
    </row>
    <row r="758" spans="1:26" x14ac:dyDescent="0.3">
      <c r="A758" t="s">
        <v>863</v>
      </c>
      <c r="B758" s="5">
        <v>46032</v>
      </c>
      <c r="C758" s="5">
        <v>46033</v>
      </c>
      <c r="D758" s="5">
        <v>46036</v>
      </c>
      <c r="E758" s="5">
        <v>46036</v>
      </c>
      <c r="F758" t="s">
        <v>31</v>
      </c>
      <c r="G758" t="s">
        <v>60</v>
      </c>
      <c r="H758" t="s">
        <v>20</v>
      </c>
      <c r="I758" t="s">
        <v>43</v>
      </c>
      <c r="J758">
        <v>567.20000000000005</v>
      </c>
      <c r="K758">
        <v>2031.2</v>
      </c>
      <c r="L758">
        <v>10422000</v>
      </c>
      <c r="M758" t="b">
        <v>0</v>
      </c>
      <c r="N758" t="b">
        <v>0</v>
      </c>
      <c r="O758">
        <v>5000</v>
      </c>
      <c r="P758" t="b">
        <v>0</v>
      </c>
      <c r="Q758" t="b">
        <v>0</v>
      </c>
      <c r="R758" t="b">
        <v>0</v>
      </c>
      <c r="S758" t="s">
        <v>96</v>
      </c>
      <c r="T758" t="s">
        <v>1652</v>
      </c>
      <c r="U758">
        <v>40.624000000000002</v>
      </c>
      <c r="V758">
        <v>0</v>
      </c>
      <c r="W758">
        <v>0</v>
      </c>
      <c r="X758">
        <v>3</v>
      </c>
      <c r="Y758" s="6">
        <v>46023</v>
      </c>
    </row>
    <row r="759" spans="1:26" x14ac:dyDescent="0.3">
      <c r="A759" t="s">
        <v>864</v>
      </c>
      <c r="B759" s="5">
        <v>46123</v>
      </c>
      <c r="C759" s="5">
        <v>46124</v>
      </c>
      <c r="D759" s="5">
        <v>46127</v>
      </c>
      <c r="E759" s="5">
        <v>46127</v>
      </c>
      <c r="F759" t="s">
        <v>34</v>
      </c>
      <c r="G759" t="s">
        <v>59</v>
      </c>
      <c r="H759" t="s">
        <v>24</v>
      </c>
      <c r="I759" t="s">
        <v>42</v>
      </c>
      <c r="J759">
        <v>311.8</v>
      </c>
      <c r="K759">
        <v>14216.8</v>
      </c>
      <c r="L759">
        <v>10431000</v>
      </c>
      <c r="M759" t="b">
        <v>0</v>
      </c>
      <c r="N759" t="b">
        <v>0</v>
      </c>
      <c r="O759">
        <v>16000</v>
      </c>
      <c r="P759" t="b">
        <v>0</v>
      </c>
      <c r="Q759" t="b">
        <v>0</v>
      </c>
      <c r="R759" t="b">
        <v>0</v>
      </c>
      <c r="S759" t="s">
        <v>96</v>
      </c>
      <c r="T759" t="s">
        <v>1616</v>
      </c>
      <c r="U759">
        <v>88.85499999999999</v>
      </c>
      <c r="V759">
        <v>0</v>
      </c>
      <c r="W759">
        <v>0</v>
      </c>
      <c r="X759">
        <v>3</v>
      </c>
      <c r="Y759" s="6">
        <v>46113</v>
      </c>
    </row>
    <row r="760" spans="1:26" x14ac:dyDescent="0.3">
      <c r="A760" t="s">
        <v>865</v>
      </c>
      <c r="B760" s="5">
        <v>46109</v>
      </c>
      <c r="C760" s="5">
        <v>46111</v>
      </c>
      <c r="D760" s="5">
        <v>46114</v>
      </c>
      <c r="E760" s="5">
        <v>46116</v>
      </c>
      <c r="F760" t="s">
        <v>34</v>
      </c>
      <c r="G760" t="s">
        <v>63</v>
      </c>
      <c r="H760" t="s">
        <v>22</v>
      </c>
      <c r="I760" t="s">
        <v>45</v>
      </c>
      <c r="J760">
        <v>375.4</v>
      </c>
      <c r="K760">
        <v>598</v>
      </c>
      <c r="L760">
        <v>3894000</v>
      </c>
      <c r="M760" t="b">
        <v>0</v>
      </c>
      <c r="N760" t="b">
        <v>0</v>
      </c>
      <c r="O760">
        <v>1000</v>
      </c>
      <c r="P760" t="b">
        <v>0</v>
      </c>
      <c r="Q760" t="b">
        <v>0</v>
      </c>
      <c r="R760" t="b">
        <v>0</v>
      </c>
      <c r="S760" t="s">
        <v>101</v>
      </c>
      <c r="T760" t="s">
        <v>1613</v>
      </c>
      <c r="U760">
        <v>59.8</v>
      </c>
      <c r="V760">
        <v>0</v>
      </c>
      <c r="W760">
        <v>0</v>
      </c>
      <c r="X760">
        <v>5</v>
      </c>
      <c r="Y760" s="6">
        <v>46082</v>
      </c>
      <c r="Z760">
        <v>2</v>
      </c>
    </row>
    <row r="761" spans="1:26" x14ac:dyDescent="0.3">
      <c r="A761" t="s">
        <v>866</v>
      </c>
      <c r="B761" s="5">
        <v>46117</v>
      </c>
      <c r="C761" s="5">
        <v>46118</v>
      </c>
      <c r="D761" s="5">
        <v>46122</v>
      </c>
      <c r="E761" s="5">
        <v>46123</v>
      </c>
      <c r="F761" t="s">
        <v>34</v>
      </c>
      <c r="G761" t="s">
        <v>60</v>
      </c>
      <c r="H761" t="s">
        <v>22</v>
      </c>
      <c r="I761" t="s">
        <v>45</v>
      </c>
      <c r="J761">
        <v>653.6</v>
      </c>
      <c r="K761">
        <v>163.1</v>
      </c>
      <c r="L761">
        <v>5041000</v>
      </c>
      <c r="M761" t="b">
        <v>0</v>
      </c>
      <c r="N761" t="b">
        <v>0</v>
      </c>
      <c r="O761">
        <v>1000</v>
      </c>
      <c r="P761" t="b">
        <v>0</v>
      </c>
      <c r="Q761" t="b">
        <v>0</v>
      </c>
      <c r="R761" t="b">
        <v>0</v>
      </c>
      <c r="S761" t="s">
        <v>101</v>
      </c>
      <c r="T761" t="s">
        <v>1644</v>
      </c>
      <c r="U761">
        <v>16.309999999999999</v>
      </c>
      <c r="V761">
        <v>0</v>
      </c>
      <c r="W761">
        <v>0</v>
      </c>
      <c r="X761">
        <v>5</v>
      </c>
      <c r="Y761" s="6">
        <v>46113</v>
      </c>
      <c r="Z761">
        <v>1</v>
      </c>
    </row>
    <row r="762" spans="1:26" x14ac:dyDescent="0.3">
      <c r="A762" t="s">
        <v>867</v>
      </c>
      <c r="B762" s="5">
        <v>46142</v>
      </c>
      <c r="C762" s="5">
        <v>46143</v>
      </c>
      <c r="D762" s="5">
        <v>46146</v>
      </c>
      <c r="E762" s="5">
        <v>46145</v>
      </c>
      <c r="F762" t="s">
        <v>33</v>
      </c>
      <c r="G762" t="s">
        <v>53</v>
      </c>
      <c r="H762" t="s">
        <v>21</v>
      </c>
      <c r="I762" t="s">
        <v>42</v>
      </c>
      <c r="J762">
        <v>583.29999999999995</v>
      </c>
      <c r="K762">
        <v>3530.7</v>
      </c>
      <c r="L762">
        <v>11294000</v>
      </c>
      <c r="M762" t="b">
        <v>0</v>
      </c>
      <c r="N762" t="b">
        <v>0</v>
      </c>
      <c r="O762">
        <v>16000</v>
      </c>
      <c r="P762" t="b">
        <v>0</v>
      </c>
      <c r="Q762" t="b">
        <v>0</v>
      </c>
      <c r="R762" t="b">
        <v>0</v>
      </c>
      <c r="S762" t="s">
        <v>96</v>
      </c>
      <c r="T762" t="s">
        <v>1632</v>
      </c>
      <c r="U762">
        <v>22.066875</v>
      </c>
      <c r="V762">
        <v>0</v>
      </c>
      <c r="W762">
        <v>0</v>
      </c>
      <c r="X762">
        <v>2</v>
      </c>
      <c r="Y762" s="6">
        <v>46143</v>
      </c>
    </row>
    <row r="763" spans="1:26" x14ac:dyDescent="0.3">
      <c r="A763" t="s">
        <v>868</v>
      </c>
      <c r="B763" s="5">
        <v>46201</v>
      </c>
      <c r="C763" s="5">
        <v>46203</v>
      </c>
      <c r="D763" s="5">
        <v>46205</v>
      </c>
      <c r="E763" s="5">
        <v>46205</v>
      </c>
      <c r="F763" t="s">
        <v>31</v>
      </c>
      <c r="G763" t="s">
        <v>62</v>
      </c>
      <c r="H763" t="s">
        <v>21</v>
      </c>
      <c r="I763" t="s">
        <v>44</v>
      </c>
      <c r="J763">
        <v>151.5</v>
      </c>
      <c r="K763">
        <v>1055.5999999999999</v>
      </c>
      <c r="L763">
        <v>2459000</v>
      </c>
      <c r="M763" t="b">
        <v>0</v>
      </c>
      <c r="N763" t="b">
        <v>0</v>
      </c>
      <c r="O763">
        <v>1500</v>
      </c>
      <c r="P763" t="b">
        <v>0</v>
      </c>
      <c r="Q763" t="b">
        <v>0</v>
      </c>
      <c r="R763" t="b">
        <v>0</v>
      </c>
      <c r="S763" t="s">
        <v>96</v>
      </c>
      <c r="T763" t="s">
        <v>1615</v>
      </c>
      <c r="U763">
        <v>70.373333333333335</v>
      </c>
      <c r="V763">
        <v>0</v>
      </c>
      <c r="W763">
        <v>0</v>
      </c>
      <c r="X763">
        <v>2</v>
      </c>
      <c r="Y763" s="6">
        <v>46174</v>
      </c>
    </row>
    <row r="764" spans="1:26" x14ac:dyDescent="0.3">
      <c r="A764" t="s">
        <v>869</v>
      </c>
      <c r="B764" s="5">
        <v>46116</v>
      </c>
      <c r="C764" s="5">
        <v>46117</v>
      </c>
      <c r="D764" s="5">
        <v>46119</v>
      </c>
      <c r="E764" s="5">
        <v>46119</v>
      </c>
      <c r="F764" t="s">
        <v>31</v>
      </c>
      <c r="G764" t="s">
        <v>57</v>
      </c>
      <c r="H764" t="s">
        <v>20</v>
      </c>
      <c r="I764" t="s">
        <v>43</v>
      </c>
      <c r="J764">
        <v>121</v>
      </c>
      <c r="K764">
        <v>3112.9</v>
      </c>
      <c r="L764">
        <v>3322000</v>
      </c>
      <c r="M764" t="b">
        <v>0</v>
      </c>
      <c r="N764" t="b">
        <v>0</v>
      </c>
      <c r="O764">
        <v>5000</v>
      </c>
      <c r="P764" t="b">
        <v>0</v>
      </c>
      <c r="Q764" t="b">
        <v>0</v>
      </c>
      <c r="R764" t="b">
        <v>0</v>
      </c>
      <c r="S764" t="s">
        <v>96</v>
      </c>
      <c r="T764" t="s">
        <v>1617</v>
      </c>
      <c r="U764">
        <v>62.258000000000003</v>
      </c>
      <c r="V764">
        <v>0</v>
      </c>
      <c r="W764">
        <v>0</v>
      </c>
      <c r="X764">
        <v>2</v>
      </c>
      <c r="Y764" s="6">
        <v>46113</v>
      </c>
    </row>
    <row r="765" spans="1:26" x14ac:dyDescent="0.3">
      <c r="A765" t="s">
        <v>870</v>
      </c>
      <c r="B765" s="5">
        <v>46032</v>
      </c>
      <c r="C765" s="5">
        <v>46033</v>
      </c>
      <c r="D765" s="5">
        <v>46034</v>
      </c>
      <c r="E765" s="5">
        <v>46034</v>
      </c>
      <c r="F765" t="s">
        <v>31</v>
      </c>
      <c r="G765" t="s">
        <v>61</v>
      </c>
      <c r="H765" t="s">
        <v>23</v>
      </c>
      <c r="I765" t="s">
        <v>42</v>
      </c>
      <c r="J765">
        <v>62.6</v>
      </c>
      <c r="K765">
        <v>3462.1</v>
      </c>
      <c r="L765">
        <v>3599000</v>
      </c>
      <c r="M765" t="b">
        <v>0</v>
      </c>
      <c r="N765" t="b">
        <v>0</v>
      </c>
      <c r="O765">
        <v>16000</v>
      </c>
      <c r="P765" t="b">
        <v>0</v>
      </c>
      <c r="Q765" t="b">
        <v>0</v>
      </c>
      <c r="R765" t="b">
        <v>0</v>
      </c>
      <c r="S765" t="s">
        <v>96</v>
      </c>
      <c r="T765" t="s">
        <v>1645</v>
      </c>
      <c r="U765">
        <v>21.638124999999999</v>
      </c>
      <c r="V765">
        <v>0</v>
      </c>
      <c r="W765">
        <v>0</v>
      </c>
      <c r="X765">
        <v>1</v>
      </c>
      <c r="Y765" s="6">
        <v>46023</v>
      </c>
    </row>
    <row r="766" spans="1:26" x14ac:dyDescent="0.3">
      <c r="A766" t="s">
        <v>871</v>
      </c>
      <c r="B766" s="5">
        <v>46181</v>
      </c>
      <c r="C766" s="5">
        <v>46182</v>
      </c>
      <c r="D766" s="5">
        <v>46184</v>
      </c>
      <c r="E766" s="5">
        <v>46184</v>
      </c>
      <c r="F766" t="s">
        <v>34</v>
      </c>
      <c r="G766" t="s">
        <v>57</v>
      </c>
      <c r="H766" t="s">
        <v>24</v>
      </c>
      <c r="I766" t="s">
        <v>44</v>
      </c>
      <c r="J766">
        <v>162.30000000000001</v>
      </c>
      <c r="K766">
        <v>337.4</v>
      </c>
      <c r="L766">
        <v>2278000</v>
      </c>
      <c r="M766" t="b">
        <v>0</v>
      </c>
      <c r="N766" t="b">
        <v>0</v>
      </c>
      <c r="O766">
        <v>1500</v>
      </c>
      <c r="P766" t="b">
        <v>0</v>
      </c>
      <c r="Q766" t="b">
        <v>0</v>
      </c>
      <c r="R766" t="b">
        <v>0</v>
      </c>
      <c r="S766" t="s">
        <v>96</v>
      </c>
      <c r="T766" t="s">
        <v>1620</v>
      </c>
      <c r="U766">
        <v>22.493333333333329</v>
      </c>
      <c r="V766">
        <v>0</v>
      </c>
      <c r="W766">
        <v>0</v>
      </c>
      <c r="X766">
        <v>2</v>
      </c>
      <c r="Y766" s="6">
        <v>46174</v>
      </c>
    </row>
    <row r="767" spans="1:26" x14ac:dyDescent="0.3">
      <c r="A767" t="s">
        <v>872</v>
      </c>
      <c r="B767" s="5">
        <v>46023</v>
      </c>
      <c r="C767" s="5">
        <v>46024</v>
      </c>
      <c r="D767" s="5">
        <v>46027</v>
      </c>
      <c r="E767" s="5">
        <v>46027</v>
      </c>
      <c r="F767" t="s">
        <v>31</v>
      </c>
      <c r="G767" t="s">
        <v>54</v>
      </c>
      <c r="H767" t="s">
        <v>21</v>
      </c>
      <c r="I767" t="s">
        <v>43</v>
      </c>
      <c r="J767">
        <v>446.8</v>
      </c>
      <c r="K767">
        <v>3852.1</v>
      </c>
      <c r="L767">
        <v>7084000</v>
      </c>
      <c r="M767" t="b">
        <v>0</v>
      </c>
      <c r="N767" t="b">
        <v>0</v>
      </c>
      <c r="O767">
        <v>5000</v>
      </c>
      <c r="P767" t="b">
        <v>0</v>
      </c>
      <c r="Q767" t="b">
        <v>0</v>
      </c>
      <c r="R767" t="b">
        <v>0</v>
      </c>
      <c r="S767" t="s">
        <v>96</v>
      </c>
      <c r="T767" t="s">
        <v>1631</v>
      </c>
      <c r="U767">
        <v>77.042000000000002</v>
      </c>
      <c r="V767">
        <v>0</v>
      </c>
      <c r="W767">
        <v>0</v>
      </c>
      <c r="X767">
        <v>3</v>
      </c>
      <c r="Y767" s="6">
        <v>46023</v>
      </c>
    </row>
    <row r="768" spans="1:26" x14ac:dyDescent="0.3">
      <c r="A768" t="s">
        <v>873</v>
      </c>
      <c r="B768" s="5">
        <v>46157</v>
      </c>
      <c r="C768" s="5">
        <v>46159</v>
      </c>
      <c r="D768" s="5">
        <v>46161</v>
      </c>
      <c r="E768" s="5">
        <v>46161</v>
      </c>
      <c r="F768" t="s">
        <v>31</v>
      </c>
      <c r="G768" t="s">
        <v>63</v>
      </c>
      <c r="H768" t="s">
        <v>20</v>
      </c>
      <c r="I768" t="s">
        <v>44</v>
      </c>
      <c r="J768">
        <v>296.10000000000002</v>
      </c>
      <c r="K768">
        <v>582.29999999999995</v>
      </c>
      <c r="L768">
        <v>3198000</v>
      </c>
      <c r="M768" t="b">
        <v>0</v>
      </c>
      <c r="N768" t="b">
        <v>0</v>
      </c>
      <c r="O768">
        <v>1500</v>
      </c>
      <c r="P768" t="b">
        <v>0</v>
      </c>
      <c r="Q768" t="b">
        <v>0</v>
      </c>
      <c r="R768" t="b">
        <v>0</v>
      </c>
      <c r="S768" t="s">
        <v>96</v>
      </c>
      <c r="T768" t="s">
        <v>1640</v>
      </c>
      <c r="U768">
        <v>38.82</v>
      </c>
      <c r="V768">
        <v>0</v>
      </c>
      <c r="W768">
        <v>0</v>
      </c>
      <c r="X768">
        <v>2</v>
      </c>
      <c r="Y768" s="6">
        <v>46143</v>
      </c>
    </row>
    <row r="769" spans="1:26" x14ac:dyDescent="0.3">
      <c r="A769" t="s">
        <v>874</v>
      </c>
      <c r="B769" s="5">
        <v>46064</v>
      </c>
      <c r="C769" s="5">
        <v>46064</v>
      </c>
      <c r="D769" s="5">
        <v>46067</v>
      </c>
      <c r="E769" s="5">
        <v>46067</v>
      </c>
      <c r="F769" t="s">
        <v>32</v>
      </c>
      <c r="G769" t="s">
        <v>60</v>
      </c>
      <c r="H769" t="s">
        <v>20</v>
      </c>
      <c r="I769" t="s">
        <v>45</v>
      </c>
      <c r="J769">
        <v>458.2</v>
      </c>
      <c r="K769">
        <v>465.2</v>
      </c>
      <c r="L769">
        <v>4914000</v>
      </c>
      <c r="M769" t="b">
        <v>0</v>
      </c>
      <c r="N769" t="b">
        <v>0</v>
      </c>
      <c r="O769">
        <v>1000</v>
      </c>
      <c r="P769" t="b">
        <v>0</v>
      </c>
      <c r="Q769" t="b">
        <v>0</v>
      </c>
      <c r="R769" t="b">
        <v>0</v>
      </c>
      <c r="S769" t="s">
        <v>96</v>
      </c>
      <c r="T769" t="s">
        <v>1647</v>
      </c>
      <c r="U769">
        <v>46.52</v>
      </c>
      <c r="V769">
        <v>0</v>
      </c>
      <c r="W769">
        <v>0</v>
      </c>
      <c r="X769">
        <v>3</v>
      </c>
      <c r="Y769" s="6">
        <v>46054</v>
      </c>
    </row>
    <row r="770" spans="1:26" x14ac:dyDescent="0.3">
      <c r="A770" t="s">
        <v>875</v>
      </c>
      <c r="B770" s="5">
        <v>46136</v>
      </c>
      <c r="C770" s="5">
        <v>46137</v>
      </c>
      <c r="D770" s="5">
        <v>46141</v>
      </c>
      <c r="E770" s="5">
        <v>46142</v>
      </c>
      <c r="F770" t="s">
        <v>34</v>
      </c>
      <c r="G770" t="s">
        <v>60</v>
      </c>
      <c r="H770" t="s">
        <v>23</v>
      </c>
      <c r="I770" t="s">
        <v>44</v>
      </c>
      <c r="J770">
        <v>682.7</v>
      </c>
      <c r="K770">
        <v>326.7</v>
      </c>
      <c r="L770">
        <v>7255000</v>
      </c>
      <c r="M770" t="b">
        <v>0</v>
      </c>
      <c r="N770" t="b">
        <v>0</v>
      </c>
      <c r="O770">
        <v>1500</v>
      </c>
      <c r="P770" t="b">
        <v>0</v>
      </c>
      <c r="Q770" t="b">
        <v>0</v>
      </c>
      <c r="R770" t="b">
        <v>0</v>
      </c>
      <c r="S770" t="s">
        <v>101</v>
      </c>
      <c r="T770" t="s">
        <v>1644</v>
      </c>
      <c r="U770">
        <v>21.78</v>
      </c>
      <c r="V770">
        <v>0</v>
      </c>
      <c r="W770">
        <v>0</v>
      </c>
      <c r="X770">
        <v>5</v>
      </c>
      <c r="Y770" s="6">
        <v>46113</v>
      </c>
      <c r="Z770">
        <v>1</v>
      </c>
    </row>
    <row r="771" spans="1:26" x14ac:dyDescent="0.3">
      <c r="A771" t="s">
        <v>876</v>
      </c>
      <c r="B771" s="5">
        <v>46177</v>
      </c>
      <c r="C771" s="5">
        <v>46178</v>
      </c>
      <c r="D771" s="5">
        <v>46180</v>
      </c>
      <c r="E771" s="5">
        <v>46180</v>
      </c>
      <c r="F771" t="s">
        <v>31</v>
      </c>
      <c r="G771" t="s">
        <v>63</v>
      </c>
      <c r="H771" t="s">
        <v>21</v>
      </c>
      <c r="I771" t="s">
        <v>43</v>
      </c>
      <c r="J771">
        <v>296.5</v>
      </c>
      <c r="K771">
        <v>4331.5</v>
      </c>
      <c r="L771">
        <v>5946000</v>
      </c>
      <c r="M771" t="b">
        <v>0</v>
      </c>
      <c r="N771" t="b">
        <v>0</v>
      </c>
      <c r="O771">
        <v>5000</v>
      </c>
      <c r="P771" t="b">
        <v>0</v>
      </c>
      <c r="Q771" t="b">
        <v>0</v>
      </c>
      <c r="R771" t="b">
        <v>0</v>
      </c>
      <c r="S771" t="s">
        <v>96</v>
      </c>
      <c r="T771" t="s">
        <v>1640</v>
      </c>
      <c r="U771">
        <v>86.63</v>
      </c>
      <c r="V771">
        <v>0</v>
      </c>
      <c r="W771">
        <v>0</v>
      </c>
      <c r="X771">
        <v>2</v>
      </c>
      <c r="Y771" s="6">
        <v>46174</v>
      </c>
    </row>
    <row r="772" spans="1:26" x14ac:dyDescent="0.3">
      <c r="A772" t="s">
        <v>877</v>
      </c>
      <c r="B772" s="5">
        <v>46052</v>
      </c>
      <c r="C772" s="5">
        <v>46053</v>
      </c>
      <c r="D772" s="5">
        <v>46057</v>
      </c>
      <c r="E772" s="5">
        <v>46056</v>
      </c>
      <c r="F772" t="s">
        <v>31</v>
      </c>
      <c r="G772" t="s">
        <v>53</v>
      </c>
      <c r="H772" t="s">
        <v>22</v>
      </c>
      <c r="I772" t="s">
        <v>42</v>
      </c>
      <c r="J772">
        <v>316.60000000000002</v>
      </c>
      <c r="K772">
        <v>10131.4</v>
      </c>
      <c r="L772">
        <v>10025000</v>
      </c>
      <c r="M772" t="b">
        <v>0</v>
      </c>
      <c r="N772" t="b">
        <v>0</v>
      </c>
      <c r="O772">
        <v>16000</v>
      </c>
      <c r="P772" t="b">
        <v>0</v>
      </c>
      <c r="Q772" t="b">
        <v>0</v>
      </c>
      <c r="R772" t="b">
        <v>0</v>
      </c>
      <c r="S772" t="s">
        <v>96</v>
      </c>
      <c r="T772" t="s">
        <v>1627</v>
      </c>
      <c r="U772">
        <v>63.321249999999992</v>
      </c>
      <c r="V772">
        <v>0</v>
      </c>
      <c r="W772">
        <v>0</v>
      </c>
      <c r="X772">
        <v>3</v>
      </c>
      <c r="Y772" s="6">
        <v>46023</v>
      </c>
    </row>
    <row r="773" spans="1:26" x14ac:dyDescent="0.3">
      <c r="A773" t="s">
        <v>878</v>
      </c>
      <c r="B773" s="5">
        <v>46137</v>
      </c>
      <c r="C773" s="5">
        <v>46138</v>
      </c>
      <c r="D773" s="5">
        <v>46141</v>
      </c>
      <c r="E773" s="5">
        <v>46141</v>
      </c>
      <c r="F773" t="s">
        <v>32</v>
      </c>
      <c r="G773" t="s">
        <v>60</v>
      </c>
      <c r="H773" t="s">
        <v>20</v>
      </c>
      <c r="I773" t="s">
        <v>44</v>
      </c>
      <c r="J773">
        <v>462.9</v>
      </c>
      <c r="K773">
        <v>731.7</v>
      </c>
      <c r="L773">
        <v>5370000</v>
      </c>
      <c r="M773" t="b">
        <v>0</v>
      </c>
      <c r="N773" t="b">
        <v>0</v>
      </c>
      <c r="O773">
        <v>1500</v>
      </c>
      <c r="P773" t="b">
        <v>0</v>
      </c>
      <c r="Q773" t="b">
        <v>0</v>
      </c>
      <c r="R773" t="b">
        <v>0</v>
      </c>
      <c r="S773" t="s">
        <v>96</v>
      </c>
      <c r="T773" t="s">
        <v>1647</v>
      </c>
      <c r="U773">
        <v>48.78</v>
      </c>
      <c r="V773">
        <v>0</v>
      </c>
      <c r="W773">
        <v>0</v>
      </c>
      <c r="X773">
        <v>3</v>
      </c>
      <c r="Y773" s="6">
        <v>46113</v>
      </c>
    </row>
    <row r="774" spans="1:26" x14ac:dyDescent="0.3">
      <c r="A774" t="s">
        <v>879</v>
      </c>
      <c r="B774" s="5">
        <v>46069</v>
      </c>
      <c r="C774" s="5">
        <v>46070</v>
      </c>
      <c r="D774" s="5">
        <v>46072</v>
      </c>
      <c r="E774" s="5">
        <v>46072</v>
      </c>
      <c r="F774" t="s">
        <v>34</v>
      </c>
      <c r="G774" t="s">
        <v>57</v>
      </c>
      <c r="H774" t="s">
        <v>21</v>
      </c>
      <c r="I774" t="s">
        <v>43</v>
      </c>
      <c r="J774">
        <v>164.4</v>
      </c>
      <c r="K774">
        <v>1500.3</v>
      </c>
      <c r="L774">
        <v>3416000</v>
      </c>
      <c r="M774" t="b">
        <v>0</v>
      </c>
      <c r="N774" t="b">
        <v>0</v>
      </c>
      <c r="O774">
        <v>5000</v>
      </c>
      <c r="P774" t="b">
        <v>0</v>
      </c>
      <c r="Q774" t="b">
        <v>0</v>
      </c>
      <c r="R774" t="b">
        <v>0</v>
      </c>
      <c r="S774" t="s">
        <v>96</v>
      </c>
      <c r="T774" t="s">
        <v>1620</v>
      </c>
      <c r="U774">
        <v>30.006</v>
      </c>
      <c r="V774">
        <v>0</v>
      </c>
      <c r="W774">
        <v>0</v>
      </c>
      <c r="X774">
        <v>2</v>
      </c>
      <c r="Y774" s="6">
        <v>46054</v>
      </c>
    </row>
    <row r="775" spans="1:26" x14ac:dyDescent="0.3">
      <c r="A775" t="s">
        <v>880</v>
      </c>
      <c r="B775" s="5">
        <v>46128</v>
      </c>
      <c r="C775" s="5">
        <v>46130</v>
      </c>
      <c r="D775" s="5">
        <v>46133</v>
      </c>
      <c r="E775" s="5">
        <v>46134</v>
      </c>
      <c r="F775" t="s">
        <v>32</v>
      </c>
      <c r="G775" t="s">
        <v>62</v>
      </c>
      <c r="H775" t="s">
        <v>23</v>
      </c>
      <c r="I775" t="s">
        <v>42</v>
      </c>
      <c r="J775">
        <v>555.1</v>
      </c>
      <c r="K775">
        <v>3572.5</v>
      </c>
      <c r="L775">
        <v>10254000</v>
      </c>
      <c r="M775" t="b">
        <v>0</v>
      </c>
      <c r="N775" t="b">
        <v>0</v>
      </c>
      <c r="O775">
        <v>16000</v>
      </c>
      <c r="P775" t="b">
        <v>0</v>
      </c>
      <c r="Q775" t="b">
        <v>0</v>
      </c>
      <c r="R775" t="b">
        <v>0</v>
      </c>
      <c r="S775" t="s">
        <v>101</v>
      </c>
      <c r="T775" t="s">
        <v>1641</v>
      </c>
      <c r="U775">
        <v>22.328125</v>
      </c>
      <c r="V775">
        <v>0</v>
      </c>
      <c r="W775">
        <v>0</v>
      </c>
      <c r="X775">
        <v>4</v>
      </c>
      <c r="Y775" s="6">
        <v>46113</v>
      </c>
      <c r="Z775">
        <v>1</v>
      </c>
    </row>
    <row r="776" spans="1:26" x14ac:dyDescent="0.3">
      <c r="A776" t="s">
        <v>881</v>
      </c>
      <c r="B776" s="5">
        <v>46129</v>
      </c>
      <c r="C776" s="5">
        <v>46130</v>
      </c>
      <c r="D776" s="5">
        <v>46133</v>
      </c>
      <c r="E776" s="5">
        <v>46133</v>
      </c>
      <c r="F776" t="s">
        <v>32</v>
      </c>
      <c r="G776" t="s">
        <v>58</v>
      </c>
      <c r="H776" t="s">
        <v>20</v>
      </c>
      <c r="I776" t="s">
        <v>43</v>
      </c>
      <c r="J776">
        <v>297.10000000000002</v>
      </c>
      <c r="K776">
        <v>3339.6</v>
      </c>
      <c r="L776">
        <v>5658000</v>
      </c>
      <c r="M776" t="b">
        <v>0</v>
      </c>
      <c r="N776" t="b">
        <v>0</v>
      </c>
      <c r="O776">
        <v>5000</v>
      </c>
      <c r="P776" t="b">
        <v>0</v>
      </c>
      <c r="Q776" t="b">
        <v>0</v>
      </c>
      <c r="R776" t="b">
        <v>0</v>
      </c>
      <c r="S776" t="s">
        <v>96</v>
      </c>
      <c r="T776" t="s">
        <v>1656</v>
      </c>
      <c r="U776">
        <v>66.792000000000002</v>
      </c>
      <c r="V776">
        <v>0</v>
      </c>
      <c r="W776">
        <v>0</v>
      </c>
      <c r="X776">
        <v>3</v>
      </c>
      <c r="Y776" s="6">
        <v>46113</v>
      </c>
    </row>
    <row r="777" spans="1:26" x14ac:dyDescent="0.3">
      <c r="A777" t="s">
        <v>882</v>
      </c>
      <c r="B777" s="5">
        <v>46030</v>
      </c>
      <c r="C777" s="5">
        <v>46031</v>
      </c>
      <c r="D777" s="5">
        <v>46036</v>
      </c>
      <c r="E777" s="5">
        <v>46036</v>
      </c>
      <c r="F777" t="s">
        <v>34</v>
      </c>
      <c r="G777" t="s">
        <v>56</v>
      </c>
      <c r="H777" t="s">
        <v>24</v>
      </c>
      <c r="I777" t="s">
        <v>44</v>
      </c>
      <c r="J777">
        <v>931.1</v>
      </c>
      <c r="K777">
        <v>1186.8</v>
      </c>
      <c r="L777">
        <v>9709000</v>
      </c>
      <c r="M777" t="b">
        <v>0</v>
      </c>
      <c r="N777" t="b">
        <v>0</v>
      </c>
      <c r="O777">
        <v>1500</v>
      </c>
      <c r="P777" t="b">
        <v>0</v>
      </c>
      <c r="Q777" t="b">
        <v>0</v>
      </c>
      <c r="R777" t="b">
        <v>0</v>
      </c>
      <c r="S777" t="s">
        <v>96</v>
      </c>
      <c r="T777" t="s">
        <v>1646</v>
      </c>
      <c r="U777">
        <v>79.12</v>
      </c>
      <c r="V777">
        <v>0</v>
      </c>
      <c r="W777">
        <v>0</v>
      </c>
      <c r="X777">
        <v>5</v>
      </c>
      <c r="Y777" s="6">
        <v>46023</v>
      </c>
    </row>
    <row r="778" spans="1:26" x14ac:dyDescent="0.3">
      <c r="A778" t="s">
        <v>883</v>
      </c>
      <c r="B778" s="5">
        <v>46125</v>
      </c>
      <c r="C778" s="5">
        <v>46126</v>
      </c>
      <c r="D778" s="5">
        <v>46130</v>
      </c>
      <c r="E778" s="5">
        <v>46129</v>
      </c>
      <c r="F778" t="s">
        <v>33</v>
      </c>
      <c r="G778" t="s">
        <v>54</v>
      </c>
      <c r="H778" t="s">
        <v>20</v>
      </c>
      <c r="I778" t="s">
        <v>45</v>
      </c>
      <c r="J778">
        <v>983.2</v>
      </c>
      <c r="K778">
        <v>480.1</v>
      </c>
      <c r="L778">
        <v>8542000</v>
      </c>
      <c r="M778" t="b">
        <v>0</v>
      </c>
      <c r="N778" t="b">
        <v>0</v>
      </c>
      <c r="O778">
        <v>1000</v>
      </c>
      <c r="P778" t="b">
        <v>0</v>
      </c>
      <c r="Q778" t="b">
        <v>0</v>
      </c>
      <c r="R778" t="b">
        <v>0</v>
      </c>
      <c r="S778" t="s">
        <v>96</v>
      </c>
      <c r="T778" t="s">
        <v>1642</v>
      </c>
      <c r="U778">
        <v>48.010000000000012</v>
      </c>
      <c r="V778">
        <v>0</v>
      </c>
      <c r="W778">
        <v>0</v>
      </c>
      <c r="X778">
        <v>3</v>
      </c>
      <c r="Y778" s="6">
        <v>46113</v>
      </c>
    </row>
    <row r="779" spans="1:26" x14ac:dyDescent="0.3">
      <c r="A779" t="s">
        <v>884</v>
      </c>
      <c r="B779" s="5">
        <v>46140</v>
      </c>
      <c r="C779" s="5">
        <v>46141</v>
      </c>
      <c r="D779" s="5">
        <v>46144</v>
      </c>
      <c r="E779" s="5">
        <v>46145</v>
      </c>
      <c r="F779" t="s">
        <v>31</v>
      </c>
      <c r="G779" t="s">
        <v>54</v>
      </c>
      <c r="H779" t="s">
        <v>24</v>
      </c>
      <c r="I779" t="s">
        <v>43</v>
      </c>
      <c r="J779">
        <v>497.9</v>
      </c>
      <c r="K779">
        <v>2881.3</v>
      </c>
      <c r="L779">
        <v>7705000</v>
      </c>
      <c r="M779" t="b">
        <v>0</v>
      </c>
      <c r="N779" t="b">
        <v>0</v>
      </c>
      <c r="O779">
        <v>5000</v>
      </c>
      <c r="P779" t="b">
        <v>0</v>
      </c>
      <c r="Q779" t="b">
        <v>0</v>
      </c>
      <c r="R779" t="b">
        <v>0</v>
      </c>
      <c r="S779" t="s">
        <v>101</v>
      </c>
      <c r="T779" t="s">
        <v>1631</v>
      </c>
      <c r="U779">
        <v>57.625999999999998</v>
      </c>
      <c r="V779">
        <v>0</v>
      </c>
      <c r="W779">
        <v>0</v>
      </c>
      <c r="X779">
        <v>4</v>
      </c>
      <c r="Y779" s="6">
        <v>46113</v>
      </c>
      <c r="Z779">
        <v>1</v>
      </c>
    </row>
    <row r="780" spans="1:26" x14ac:dyDescent="0.3">
      <c r="A780" t="s">
        <v>885</v>
      </c>
      <c r="B780" s="5">
        <v>46162</v>
      </c>
      <c r="C780" s="5">
        <v>46163</v>
      </c>
      <c r="D780" s="5">
        <v>46165</v>
      </c>
      <c r="E780" s="5">
        <v>46165</v>
      </c>
      <c r="F780" t="s">
        <v>31</v>
      </c>
      <c r="G780" t="s">
        <v>61</v>
      </c>
      <c r="H780" t="s">
        <v>24</v>
      </c>
      <c r="I780" t="s">
        <v>42</v>
      </c>
      <c r="J780">
        <v>58.2</v>
      </c>
      <c r="K780">
        <v>13560.2</v>
      </c>
      <c r="L780">
        <v>5839000</v>
      </c>
      <c r="M780" t="b">
        <v>0</v>
      </c>
      <c r="N780" t="b">
        <v>0</v>
      </c>
      <c r="O780">
        <v>16000</v>
      </c>
      <c r="P780" t="b">
        <v>0</v>
      </c>
      <c r="Q780" t="b">
        <v>0</v>
      </c>
      <c r="R780" t="b">
        <v>0</v>
      </c>
      <c r="S780" t="s">
        <v>96</v>
      </c>
      <c r="T780" t="s">
        <v>1645</v>
      </c>
      <c r="U780">
        <v>84.751249999999999</v>
      </c>
      <c r="V780">
        <v>0</v>
      </c>
      <c r="W780">
        <v>0</v>
      </c>
      <c r="X780">
        <v>2</v>
      </c>
      <c r="Y780" s="6">
        <v>46143</v>
      </c>
    </row>
    <row r="781" spans="1:26" x14ac:dyDescent="0.3">
      <c r="A781" t="s">
        <v>886</v>
      </c>
      <c r="B781" s="5">
        <v>46112</v>
      </c>
      <c r="C781" s="5">
        <v>46113</v>
      </c>
      <c r="D781" s="5">
        <v>46115</v>
      </c>
      <c r="E781" s="5">
        <v>46115</v>
      </c>
      <c r="F781" t="s">
        <v>32</v>
      </c>
      <c r="G781" t="s">
        <v>61</v>
      </c>
      <c r="H781" t="s">
        <v>21</v>
      </c>
      <c r="I781" t="s">
        <v>42</v>
      </c>
      <c r="J781">
        <v>167.1</v>
      </c>
      <c r="K781">
        <v>10254.700000000001</v>
      </c>
      <c r="L781">
        <v>5684000</v>
      </c>
      <c r="M781" t="b">
        <v>0</v>
      </c>
      <c r="N781" t="b">
        <v>0</v>
      </c>
      <c r="O781">
        <v>16000</v>
      </c>
      <c r="P781" t="b">
        <v>0</v>
      </c>
      <c r="Q781" t="b">
        <v>0</v>
      </c>
      <c r="R781" t="b">
        <v>0</v>
      </c>
      <c r="S781" t="s">
        <v>96</v>
      </c>
      <c r="T781" t="s">
        <v>1653</v>
      </c>
      <c r="U781">
        <v>64.091875000000016</v>
      </c>
      <c r="V781">
        <v>0</v>
      </c>
      <c r="W781">
        <v>0</v>
      </c>
      <c r="X781">
        <v>2</v>
      </c>
      <c r="Y781" s="6">
        <v>46113</v>
      </c>
    </row>
    <row r="782" spans="1:26" x14ac:dyDescent="0.3">
      <c r="A782" t="s">
        <v>887</v>
      </c>
      <c r="B782" s="5">
        <v>46151</v>
      </c>
      <c r="C782" s="5">
        <v>46152</v>
      </c>
      <c r="D782" s="5">
        <v>46156</v>
      </c>
      <c r="E782" s="5">
        <v>46156</v>
      </c>
      <c r="F782" t="s">
        <v>33</v>
      </c>
      <c r="G782" t="s">
        <v>58</v>
      </c>
      <c r="H782" t="s">
        <v>22</v>
      </c>
      <c r="I782" t="s">
        <v>44</v>
      </c>
      <c r="J782">
        <v>738.8</v>
      </c>
      <c r="K782">
        <v>175.2</v>
      </c>
      <c r="L782">
        <v>7618000</v>
      </c>
      <c r="M782" t="b">
        <v>0</v>
      </c>
      <c r="N782" t="b">
        <v>0</v>
      </c>
      <c r="O782">
        <v>1500</v>
      </c>
      <c r="P782" t="b">
        <v>0</v>
      </c>
      <c r="Q782" t="b">
        <v>0</v>
      </c>
      <c r="R782" t="b">
        <v>0</v>
      </c>
      <c r="S782" t="s">
        <v>96</v>
      </c>
      <c r="T782" t="s">
        <v>1651</v>
      </c>
      <c r="U782">
        <v>11.68</v>
      </c>
      <c r="V782">
        <v>0</v>
      </c>
      <c r="W782">
        <v>0</v>
      </c>
      <c r="X782">
        <v>4</v>
      </c>
      <c r="Y782" s="6">
        <v>46143</v>
      </c>
    </row>
    <row r="783" spans="1:26" x14ac:dyDescent="0.3">
      <c r="A783" t="s">
        <v>888</v>
      </c>
      <c r="B783" s="5">
        <v>46150</v>
      </c>
      <c r="C783" s="5">
        <v>46151</v>
      </c>
      <c r="D783" s="5">
        <v>46155</v>
      </c>
      <c r="E783" s="5">
        <v>46155</v>
      </c>
      <c r="F783" t="s">
        <v>34</v>
      </c>
      <c r="G783" t="s">
        <v>59</v>
      </c>
      <c r="H783" t="s">
        <v>22</v>
      </c>
      <c r="I783" t="s">
        <v>42</v>
      </c>
      <c r="J783">
        <v>324.8</v>
      </c>
      <c r="K783">
        <v>8743.4</v>
      </c>
      <c r="L783">
        <v>9165000</v>
      </c>
      <c r="M783" t="b">
        <v>0</v>
      </c>
      <c r="N783" t="b">
        <v>0</v>
      </c>
      <c r="O783">
        <v>16000</v>
      </c>
      <c r="P783" t="b">
        <v>0</v>
      </c>
      <c r="Q783" t="b">
        <v>0</v>
      </c>
      <c r="R783" t="b">
        <v>0</v>
      </c>
      <c r="S783" t="s">
        <v>96</v>
      </c>
      <c r="T783" t="s">
        <v>1616</v>
      </c>
      <c r="U783">
        <v>54.646249999999988</v>
      </c>
      <c r="V783">
        <v>0</v>
      </c>
      <c r="W783">
        <v>0</v>
      </c>
      <c r="X783">
        <v>4</v>
      </c>
      <c r="Y783" s="6">
        <v>46143</v>
      </c>
    </row>
    <row r="784" spans="1:26" x14ac:dyDescent="0.3">
      <c r="A784" t="s">
        <v>889</v>
      </c>
      <c r="B784" s="5">
        <v>46113</v>
      </c>
      <c r="C784" s="5">
        <v>46114</v>
      </c>
      <c r="D784" s="5">
        <v>46117</v>
      </c>
      <c r="E784" s="5">
        <v>46117</v>
      </c>
      <c r="F784" t="s">
        <v>33</v>
      </c>
      <c r="G784" t="s">
        <v>53</v>
      </c>
      <c r="H784" t="s">
        <v>22</v>
      </c>
      <c r="I784" t="s">
        <v>43</v>
      </c>
      <c r="J784">
        <v>557.1</v>
      </c>
      <c r="K784">
        <v>3319.7</v>
      </c>
      <c r="L784">
        <v>7927000</v>
      </c>
      <c r="M784" t="b">
        <v>0</v>
      </c>
      <c r="N784" t="b">
        <v>0</v>
      </c>
      <c r="O784">
        <v>5000</v>
      </c>
      <c r="P784" t="b">
        <v>0</v>
      </c>
      <c r="Q784" t="b">
        <v>0</v>
      </c>
      <c r="R784" t="b">
        <v>0</v>
      </c>
      <c r="S784" t="s">
        <v>96</v>
      </c>
      <c r="T784" t="s">
        <v>1632</v>
      </c>
      <c r="U784">
        <v>66.393999999999991</v>
      </c>
      <c r="V784">
        <v>0</v>
      </c>
      <c r="W784">
        <v>0</v>
      </c>
      <c r="X784">
        <v>3</v>
      </c>
      <c r="Y784" s="6">
        <v>46113</v>
      </c>
    </row>
    <row r="785" spans="1:26" x14ac:dyDescent="0.3">
      <c r="A785" t="s">
        <v>890</v>
      </c>
      <c r="B785" s="5">
        <v>46185</v>
      </c>
      <c r="C785" s="5">
        <v>46186</v>
      </c>
      <c r="D785" s="5">
        <v>46188</v>
      </c>
      <c r="E785" s="5">
        <v>46189</v>
      </c>
      <c r="F785" t="s">
        <v>31</v>
      </c>
      <c r="G785" t="s">
        <v>52</v>
      </c>
      <c r="H785" t="s">
        <v>22</v>
      </c>
      <c r="I785" t="s">
        <v>43</v>
      </c>
      <c r="J785">
        <v>275.5</v>
      </c>
      <c r="K785">
        <v>4090.2</v>
      </c>
      <c r="L785">
        <v>5224000</v>
      </c>
      <c r="M785" t="b">
        <v>0</v>
      </c>
      <c r="N785" t="b">
        <v>0</v>
      </c>
      <c r="O785">
        <v>5000</v>
      </c>
      <c r="P785" t="b">
        <v>0</v>
      </c>
      <c r="Q785" t="b">
        <v>0</v>
      </c>
      <c r="R785" t="b">
        <v>0</v>
      </c>
      <c r="S785" t="s">
        <v>101</v>
      </c>
      <c r="T785" t="s">
        <v>1618</v>
      </c>
      <c r="U785">
        <v>81.804000000000002</v>
      </c>
      <c r="V785">
        <v>0</v>
      </c>
      <c r="W785">
        <v>0</v>
      </c>
      <c r="X785">
        <v>3</v>
      </c>
      <c r="Y785" s="6">
        <v>46174</v>
      </c>
      <c r="Z785">
        <v>1</v>
      </c>
    </row>
    <row r="786" spans="1:26" x14ac:dyDescent="0.3">
      <c r="A786" t="s">
        <v>891</v>
      </c>
      <c r="B786" s="5">
        <v>46140</v>
      </c>
      <c r="C786" s="5">
        <v>46140</v>
      </c>
      <c r="D786" s="5">
        <v>46142</v>
      </c>
      <c r="E786" s="5">
        <v>46142</v>
      </c>
      <c r="F786" t="s">
        <v>34</v>
      </c>
      <c r="G786" t="s">
        <v>59</v>
      </c>
      <c r="H786" t="s">
        <v>20</v>
      </c>
      <c r="I786" t="s">
        <v>43</v>
      </c>
      <c r="J786">
        <v>296.89999999999998</v>
      </c>
      <c r="K786">
        <v>2567.1</v>
      </c>
      <c r="L786">
        <v>4793000</v>
      </c>
      <c r="M786" t="b">
        <v>0</v>
      </c>
      <c r="N786" t="b">
        <v>0</v>
      </c>
      <c r="O786">
        <v>5000</v>
      </c>
      <c r="P786" t="b">
        <v>0</v>
      </c>
      <c r="Q786" t="b">
        <v>0</v>
      </c>
      <c r="R786" t="b">
        <v>0</v>
      </c>
      <c r="S786" t="s">
        <v>96</v>
      </c>
      <c r="T786" t="s">
        <v>1616</v>
      </c>
      <c r="U786">
        <v>51.341999999999999</v>
      </c>
      <c r="V786">
        <v>0</v>
      </c>
      <c r="W786">
        <v>0</v>
      </c>
      <c r="X786">
        <v>2</v>
      </c>
      <c r="Y786" s="6">
        <v>46113</v>
      </c>
    </row>
    <row r="787" spans="1:26" x14ac:dyDescent="0.3">
      <c r="A787" t="s">
        <v>892</v>
      </c>
      <c r="B787" s="5">
        <v>46167</v>
      </c>
      <c r="C787" s="5">
        <v>46168</v>
      </c>
      <c r="D787" s="5">
        <v>46171</v>
      </c>
      <c r="E787" s="5">
        <v>46171</v>
      </c>
      <c r="F787" t="s">
        <v>31</v>
      </c>
      <c r="G787" t="s">
        <v>54</v>
      </c>
      <c r="H787" t="s">
        <v>21</v>
      </c>
      <c r="I787" t="s">
        <v>45</v>
      </c>
      <c r="J787">
        <v>531.9</v>
      </c>
      <c r="K787">
        <v>350.3</v>
      </c>
      <c r="L787">
        <v>4826000</v>
      </c>
      <c r="M787" t="b">
        <v>0</v>
      </c>
      <c r="N787" t="b">
        <v>0</v>
      </c>
      <c r="O787">
        <v>1000</v>
      </c>
      <c r="P787" t="b">
        <v>0</v>
      </c>
      <c r="Q787" t="b">
        <v>0</v>
      </c>
      <c r="R787" t="b">
        <v>0</v>
      </c>
      <c r="S787" t="s">
        <v>96</v>
      </c>
      <c r="T787" t="s">
        <v>1631</v>
      </c>
      <c r="U787">
        <v>35.03</v>
      </c>
      <c r="V787">
        <v>0</v>
      </c>
      <c r="W787">
        <v>0</v>
      </c>
      <c r="X787">
        <v>3</v>
      </c>
      <c r="Y787" s="6">
        <v>46143</v>
      </c>
    </row>
    <row r="788" spans="1:26" x14ac:dyDescent="0.3">
      <c r="A788" t="s">
        <v>893</v>
      </c>
      <c r="B788" s="5">
        <v>46178</v>
      </c>
      <c r="C788" s="5">
        <v>46180</v>
      </c>
      <c r="D788" s="5">
        <v>46184</v>
      </c>
      <c r="E788" s="5">
        <v>46184</v>
      </c>
      <c r="F788" t="s">
        <v>32</v>
      </c>
      <c r="G788" t="s">
        <v>52</v>
      </c>
      <c r="H788" t="s">
        <v>24</v>
      </c>
      <c r="I788" t="s">
        <v>43</v>
      </c>
      <c r="J788">
        <v>326.89999999999998</v>
      </c>
      <c r="K788">
        <v>1215.9000000000001</v>
      </c>
      <c r="L788">
        <v>5161000</v>
      </c>
      <c r="M788" t="b">
        <v>0</v>
      </c>
      <c r="N788" t="b">
        <v>0</v>
      </c>
      <c r="O788">
        <v>5000</v>
      </c>
      <c r="P788" t="b">
        <v>0</v>
      </c>
      <c r="Q788" t="b">
        <v>0</v>
      </c>
      <c r="R788" t="b">
        <v>0</v>
      </c>
      <c r="S788" t="s">
        <v>96</v>
      </c>
      <c r="T788" t="s">
        <v>1611</v>
      </c>
      <c r="U788">
        <v>24.318000000000001</v>
      </c>
      <c r="V788">
        <v>0</v>
      </c>
      <c r="W788">
        <v>0</v>
      </c>
      <c r="X788">
        <v>4</v>
      </c>
      <c r="Y788" s="6">
        <v>46174</v>
      </c>
    </row>
    <row r="789" spans="1:26" x14ac:dyDescent="0.3">
      <c r="A789" t="s">
        <v>894</v>
      </c>
      <c r="B789" s="5">
        <v>46034</v>
      </c>
      <c r="C789" s="5">
        <v>46036</v>
      </c>
      <c r="D789" s="5">
        <v>46038</v>
      </c>
      <c r="E789" s="5">
        <v>46038</v>
      </c>
      <c r="F789" t="s">
        <v>34</v>
      </c>
      <c r="G789" t="s">
        <v>58</v>
      </c>
      <c r="H789" t="s">
        <v>22</v>
      </c>
      <c r="I789" t="s">
        <v>44</v>
      </c>
      <c r="J789">
        <v>141.1</v>
      </c>
      <c r="K789">
        <v>836.4</v>
      </c>
      <c r="L789">
        <v>2182000</v>
      </c>
      <c r="M789" t="b">
        <v>0</v>
      </c>
      <c r="N789" t="b">
        <v>0</v>
      </c>
      <c r="O789">
        <v>1500</v>
      </c>
      <c r="P789" t="b">
        <v>0</v>
      </c>
      <c r="Q789" t="b">
        <v>0</v>
      </c>
      <c r="R789" t="b">
        <v>0</v>
      </c>
      <c r="S789" t="s">
        <v>96</v>
      </c>
      <c r="T789" t="s">
        <v>1637</v>
      </c>
      <c r="U789">
        <v>55.76</v>
      </c>
      <c r="V789">
        <v>0</v>
      </c>
      <c r="W789">
        <v>0</v>
      </c>
      <c r="X789">
        <v>2</v>
      </c>
      <c r="Y789" s="6">
        <v>46023</v>
      </c>
    </row>
    <row r="790" spans="1:26" x14ac:dyDescent="0.3">
      <c r="A790" t="s">
        <v>895</v>
      </c>
      <c r="B790" s="5">
        <v>46103</v>
      </c>
      <c r="C790" s="5">
        <v>46104</v>
      </c>
      <c r="D790" s="5">
        <v>46108</v>
      </c>
      <c r="E790" s="5">
        <v>46108</v>
      </c>
      <c r="F790" t="s">
        <v>31</v>
      </c>
      <c r="G790" t="s">
        <v>56</v>
      </c>
      <c r="H790" t="s">
        <v>21</v>
      </c>
      <c r="I790" t="s">
        <v>42</v>
      </c>
      <c r="J790">
        <v>888.2</v>
      </c>
      <c r="K790">
        <v>13218</v>
      </c>
      <c r="L790">
        <v>18695000</v>
      </c>
      <c r="M790" t="b">
        <v>0</v>
      </c>
      <c r="N790" t="b">
        <v>0</v>
      </c>
      <c r="O790">
        <v>16000</v>
      </c>
      <c r="P790" t="b">
        <v>0</v>
      </c>
      <c r="Q790" t="b">
        <v>0</v>
      </c>
      <c r="R790" t="b">
        <v>0</v>
      </c>
      <c r="S790" t="s">
        <v>96</v>
      </c>
      <c r="T790" t="s">
        <v>1614</v>
      </c>
      <c r="U790">
        <v>82.612499999999997</v>
      </c>
      <c r="V790">
        <v>0</v>
      </c>
      <c r="W790">
        <v>0</v>
      </c>
      <c r="X790">
        <v>4</v>
      </c>
      <c r="Y790" s="6">
        <v>46082</v>
      </c>
    </row>
    <row r="791" spans="1:26" x14ac:dyDescent="0.3">
      <c r="A791" t="s">
        <v>896</v>
      </c>
      <c r="B791" s="5">
        <v>46194</v>
      </c>
      <c r="C791" s="5">
        <v>46195</v>
      </c>
      <c r="D791" s="5">
        <v>46196</v>
      </c>
      <c r="E791" s="5">
        <v>46196</v>
      </c>
      <c r="F791" t="s">
        <v>34</v>
      </c>
      <c r="G791" t="s">
        <v>61</v>
      </c>
      <c r="H791" t="s">
        <v>24</v>
      </c>
      <c r="I791" t="s">
        <v>44</v>
      </c>
      <c r="J791">
        <v>26.3</v>
      </c>
      <c r="K791">
        <v>172.1</v>
      </c>
      <c r="L791">
        <v>734000</v>
      </c>
      <c r="M791" t="b">
        <v>0</v>
      </c>
      <c r="N791" t="b">
        <v>0</v>
      </c>
      <c r="O791">
        <v>1500</v>
      </c>
      <c r="P791" t="b">
        <v>0</v>
      </c>
      <c r="Q791" t="b">
        <v>0</v>
      </c>
      <c r="R791" t="b">
        <v>0</v>
      </c>
      <c r="S791" t="s">
        <v>96</v>
      </c>
      <c r="T791" t="s">
        <v>1638</v>
      </c>
      <c r="U791">
        <v>11.473333333333329</v>
      </c>
      <c r="V791">
        <v>0</v>
      </c>
      <c r="W791">
        <v>0</v>
      </c>
      <c r="X791">
        <v>1</v>
      </c>
      <c r="Y791" s="6">
        <v>46174</v>
      </c>
    </row>
    <row r="792" spans="1:26" x14ac:dyDescent="0.3">
      <c r="A792" t="s">
        <v>897</v>
      </c>
      <c r="B792" s="5">
        <v>46149</v>
      </c>
      <c r="C792" s="5">
        <v>46150</v>
      </c>
      <c r="D792" s="5">
        <v>46153</v>
      </c>
      <c r="E792" s="5">
        <v>46153</v>
      </c>
      <c r="F792" t="s">
        <v>32</v>
      </c>
      <c r="G792" t="s">
        <v>52</v>
      </c>
      <c r="H792" t="s">
        <v>20</v>
      </c>
      <c r="I792" t="s">
        <v>45</v>
      </c>
      <c r="J792">
        <v>352.1</v>
      </c>
      <c r="K792">
        <v>747.9</v>
      </c>
      <c r="L792">
        <v>3928000</v>
      </c>
      <c r="M792" t="b">
        <v>0</v>
      </c>
      <c r="N792" t="b">
        <v>0</v>
      </c>
      <c r="O792">
        <v>1000</v>
      </c>
      <c r="P792" t="b">
        <v>0</v>
      </c>
      <c r="Q792" t="b">
        <v>0</v>
      </c>
      <c r="R792" t="b">
        <v>0</v>
      </c>
      <c r="S792" t="s">
        <v>96</v>
      </c>
      <c r="T792" t="s">
        <v>1611</v>
      </c>
      <c r="U792">
        <v>74.790000000000006</v>
      </c>
      <c r="V792">
        <v>0</v>
      </c>
      <c r="W792">
        <v>0</v>
      </c>
      <c r="X792">
        <v>3</v>
      </c>
      <c r="Y792" s="6">
        <v>46143</v>
      </c>
    </row>
    <row r="793" spans="1:26" x14ac:dyDescent="0.3">
      <c r="A793" t="s">
        <v>898</v>
      </c>
      <c r="B793" s="5">
        <v>46089</v>
      </c>
      <c r="C793" s="5">
        <v>46089</v>
      </c>
      <c r="D793" s="5">
        <v>46092</v>
      </c>
      <c r="E793" s="5"/>
      <c r="F793" t="s">
        <v>34</v>
      </c>
      <c r="G793" t="s">
        <v>59</v>
      </c>
      <c r="H793" t="s">
        <v>23</v>
      </c>
      <c r="I793" t="s">
        <v>43</v>
      </c>
      <c r="J793">
        <v>331.2</v>
      </c>
      <c r="K793">
        <v>1974.1</v>
      </c>
      <c r="L793">
        <v>5013000</v>
      </c>
      <c r="M793" t="b">
        <v>0</v>
      </c>
      <c r="N793" t="b">
        <v>0</v>
      </c>
      <c r="O793">
        <v>5000</v>
      </c>
      <c r="P793" t="b">
        <v>0</v>
      </c>
      <c r="Q793" t="b">
        <v>0</v>
      </c>
      <c r="R793" t="b">
        <v>0</v>
      </c>
      <c r="S793" t="s">
        <v>203</v>
      </c>
      <c r="T793" t="s">
        <v>1616</v>
      </c>
      <c r="U793">
        <v>39.481999999999999</v>
      </c>
      <c r="V793">
        <v>0</v>
      </c>
      <c r="W793">
        <v>0</v>
      </c>
      <c r="Y793" s="6">
        <v>46082</v>
      </c>
    </row>
    <row r="794" spans="1:26" x14ac:dyDescent="0.3">
      <c r="A794" t="s">
        <v>899</v>
      </c>
      <c r="B794" s="5">
        <v>46111</v>
      </c>
      <c r="C794" s="5">
        <v>46112</v>
      </c>
      <c r="D794" s="5">
        <v>46116</v>
      </c>
      <c r="E794" s="5">
        <v>46116</v>
      </c>
      <c r="F794" t="s">
        <v>33</v>
      </c>
      <c r="G794" t="s">
        <v>61</v>
      </c>
      <c r="H794" t="s">
        <v>21</v>
      </c>
      <c r="I794" t="s">
        <v>44</v>
      </c>
      <c r="J794">
        <v>581.20000000000005</v>
      </c>
      <c r="K794">
        <v>962</v>
      </c>
      <c r="L794">
        <v>6651000</v>
      </c>
      <c r="M794" t="b">
        <v>0</v>
      </c>
      <c r="N794" t="b">
        <v>0</v>
      </c>
      <c r="O794">
        <v>1500</v>
      </c>
      <c r="P794" t="b">
        <v>0</v>
      </c>
      <c r="Q794" t="b">
        <v>0</v>
      </c>
      <c r="R794" t="b">
        <v>0</v>
      </c>
      <c r="S794" t="s">
        <v>96</v>
      </c>
      <c r="T794" t="s">
        <v>1643</v>
      </c>
      <c r="U794">
        <v>64.133333333333326</v>
      </c>
      <c r="V794">
        <v>0</v>
      </c>
      <c r="W794">
        <v>0</v>
      </c>
      <c r="X794">
        <v>4</v>
      </c>
      <c r="Y794" s="6">
        <v>46082</v>
      </c>
    </row>
    <row r="795" spans="1:26" x14ac:dyDescent="0.3">
      <c r="A795" t="s">
        <v>900</v>
      </c>
      <c r="B795" s="5">
        <v>46072</v>
      </c>
      <c r="C795" s="5">
        <v>46073</v>
      </c>
      <c r="D795" s="5">
        <v>46075</v>
      </c>
      <c r="E795" s="5">
        <v>46075</v>
      </c>
      <c r="F795" t="s">
        <v>33</v>
      </c>
      <c r="G795" t="s">
        <v>62</v>
      </c>
      <c r="H795" t="s">
        <v>24</v>
      </c>
      <c r="I795" t="s">
        <v>42</v>
      </c>
      <c r="J795">
        <v>139.30000000000001</v>
      </c>
      <c r="K795">
        <v>5309.2</v>
      </c>
      <c r="L795">
        <v>5512000</v>
      </c>
      <c r="M795" t="b">
        <v>0</v>
      </c>
      <c r="N795" t="b">
        <v>0</v>
      </c>
      <c r="O795">
        <v>16000</v>
      </c>
      <c r="P795" t="b">
        <v>0</v>
      </c>
      <c r="Q795" t="b">
        <v>0</v>
      </c>
      <c r="R795" t="b">
        <v>0</v>
      </c>
      <c r="S795" t="s">
        <v>96</v>
      </c>
      <c r="T795" t="s">
        <v>1657</v>
      </c>
      <c r="U795">
        <v>33.182499999999997</v>
      </c>
      <c r="V795">
        <v>0</v>
      </c>
      <c r="W795">
        <v>0</v>
      </c>
      <c r="X795">
        <v>2</v>
      </c>
      <c r="Y795" s="6">
        <v>46054</v>
      </c>
    </row>
    <row r="796" spans="1:26" x14ac:dyDescent="0.3">
      <c r="A796" t="s">
        <v>901</v>
      </c>
      <c r="B796" s="5">
        <v>46157</v>
      </c>
      <c r="C796" s="5">
        <v>46158</v>
      </c>
      <c r="D796" s="5">
        <v>46162</v>
      </c>
      <c r="E796" s="5">
        <v>46164</v>
      </c>
      <c r="F796" t="s">
        <v>34</v>
      </c>
      <c r="G796" t="s">
        <v>56</v>
      </c>
      <c r="H796" t="s">
        <v>22</v>
      </c>
      <c r="I796" t="s">
        <v>43</v>
      </c>
      <c r="J796">
        <v>859.7</v>
      </c>
      <c r="K796">
        <v>513.4</v>
      </c>
      <c r="L796">
        <v>12027000</v>
      </c>
      <c r="M796" t="b">
        <v>0</v>
      </c>
      <c r="N796" t="b">
        <v>0</v>
      </c>
      <c r="O796">
        <v>5000</v>
      </c>
      <c r="P796" t="b">
        <v>0</v>
      </c>
      <c r="Q796" t="b">
        <v>0</v>
      </c>
      <c r="R796" t="b">
        <v>0</v>
      </c>
      <c r="S796" t="s">
        <v>101</v>
      </c>
      <c r="T796" t="s">
        <v>1646</v>
      </c>
      <c r="U796">
        <v>10.268000000000001</v>
      </c>
      <c r="V796">
        <v>0</v>
      </c>
      <c r="W796">
        <v>0</v>
      </c>
      <c r="X796">
        <v>6</v>
      </c>
      <c r="Y796" s="6">
        <v>46143</v>
      </c>
      <c r="Z796">
        <v>2</v>
      </c>
    </row>
    <row r="797" spans="1:26" x14ac:dyDescent="0.3">
      <c r="A797" t="s">
        <v>902</v>
      </c>
      <c r="B797" s="5">
        <v>46078</v>
      </c>
      <c r="C797" s="5">
        <v>46080</v>
      </c>
      <c r="D797" s="5">
        <v>46083</v>
      </c>
      <c r="E797" s="5">
        <v>46084</v>
      </c>
      <c r="F797" t="s">
        <v>32</v>
      </c>
      <c r="G797" t="s">
        <v>60</v>
      </c>
      <c r="H797" t="s">
        <v>20</v>
      </c>
      <c r="I797" t="s">
        <v>44</v>
      </c>
      <c r="J797">
        <v>489</v>
      </c>
      <c r="K797">
        <v>482.9</v>
      </c>
      <c r="L797">
        <v>5190000</v>
      </c>
      <c r="M797" t="b">
        <v>0</v>
      </c>
      <c r="N797" t="b">
        <v>0</v>
      </c>
      <c r="O797">
        <v>1500</v>
      </c>
      <c r="P797" t="b">
        <v>0</v>
      </c>
      <c r="Q797" t="b">
        <v>0</v>
      </c>
      <c r="R797" t="b">
        <v>0</v>
      </c>
      <c r="S797" t="s">
        <v>101</v>
      </c>
      <c r="T797" t="s">
        <v>1647</v>
      </c>
      <c r="U797">
        <v>32.193333333333328</v>
      </c>
      <c r="V797">
        <v>0</v>
      </c>
      <c r="W797">
        <v>0</v>
      </c>
      <c r="X797">
        <v>4</v>
      </c>
      <c r="Y797" s="6">
        <v>46054</v>
      </c>
      <c r="Z797">
        <v>1</v>
      </c>
    </row>
    <row r="798" spans="1:26" x14ac:dyDescent="0.3">
      <c r="A798" t="s">
        <v>903</v>
      </c>
      <c r="B798" s="5">
        <v>46059</v>
      </c>
      <c r="C798" s="5">
        <v>46060</v>
      </c>
      <c r="D798" s="5">
        <v>46059</v>
      </c>
      <c r="E798" s="5">
        <v>46061</v>
      </c>
      <c r="F798" t="s">
        <v>31</v>
      </c>
      <c r="G798" t="s">
        <v>57</v>
      </c>
      <c r="H798" t="s">
        <v>21</v>
      </c>
      <c r="I798" t="s">
        <v>44</v>
      </c>
      <c r="J798">
        <v>130.1</v>
      </c>
      <c r="K798">
        <v>552.1</v>
      </c>
      <c r="L798">
        <v>1833000</v>
      </c>
      <c r="M798" t="b">
        <v>1</v>
      </c>
      <c r="N798" t="b">
        <v>0</v>
      </c>
      <c r="O798">
        <v>1500</v>
      </c>
      <c r="P798" t="b">
        <v>0</v>
      </c>
      <c r="Q798" t="b">
        <v>0</v>
      </c>
      <c r="R798" t="b">
        <v>1</v>
      </c>
      <c r="S798" t="s">
        <v>260</v>
      </c>
      <c r="T798" t="s">
        <v>1617</v>
      </c>
      <c r="U798">
        <v>36.806666666666672</v>
      </c>
      <c r="V798">
        <v>0</v>
      </c>
      <c r="W798">
        <v>1</v>
      </c>
      <c r="Y798" s="6">
        <v>46054</v>
      </c>
    </row>
    <row r="799" spans="1:26" x14ac:dyDescent="0.3">
      <c r="A799" t="s">
        <v>904</v>
      </c>
      <c r="B799" s="5">
        <v>46177</v>
      </c>
      <c r="C799" s="5">
        <v>46179</v>
      </c>
      <c r="D799" s="5">
        <v>46181</v>
      </c>
      <c r="E799" s="5">
        <v>46181</v>
      </c>
      <c r="F799" t="s">
        <v>31</v>
      </c>
      <c r="G799" t="s">
        <v>57</v>
      </c>
      <c r="H799" t="s">
        <v>23</v>
      </c>
      <c r="I799" t="s">
        <v>43</v>
      </c>
      <c r="J799">
        <v>128.9</v>
      </c>
      <c r="K799">
        <v>1961.7</v>
      </c>
      <c r="L799">
        <v>3209000</v>
      </c>
      <c r="M799" t="b">
        <v>0</v>
      </c>
      <c r="N799" t="b">
        <v>0</v>
      </c>
      <c r="O799">
        <v>5000</v>
      </c>
      <c r="P799" t="b">
        <v>0</v>
      </c>
      <c r="Q799" t="b">
        <v>0</v>
      </c>
      <c r="R799" t="b">
        <v>0</v>
      </c>
      <c r="S799" t="s">
        <v>96</v>
      </c>
      <c r="T799" t="s">
        <v>1617</v>
      </c>
      <c r="U799">
        <v>39.234000000000002</v>
      </c>
      <c r="V799">
        <v>0</v>
      </c>
      <c r="W799">
        <v>0</v>
      </c>
      <c r="X799">
        <v>2</v>
      </c>
      <c r="Y799" s="6">
        <v>46174</v>
      </c>
    </row>
    <row r="800" spans="1:26" x14ac:dyDescent="0.3">
      <c r="A800" t="s">
        <v>905</v>
      </c>
      <c r="B800" s="5">
        <v>46027</v>
      </c>
      <c r="C800" s="5">
        <v>46028</v>
      </c>
      <c r="D800" s="5">
        <v>46030</v>
      </c>
      <c r="E800" s="5">
        <v>46030</v>
      </c>
      <c r="F800" t="s">
        <v>32</v>
      </c>
      <c r="G800" t="s">
        <v>59</v>
      </c>
      <c r="H800" t="s">
        <v>22</v>
      </c>
      <c r="I800" t="s">
        <v>45</v>
      </c>
      <c r="J800">
        <v>165.7</v>
      </c>
      <c r="K800">
        <v>118.8</v>
      </c>
      <c r="L800">
        <v>1931000</v>
      </c>
      <c r="M800" t="b">
        <v>0</v>
      </c>
      <c r="N800" t="b">
        <v>0</v>
      </c>
      <c r="O800">
        <v>1000</v>
      </c>
      <c r="P800" t="b">
        <v>0</v>
      </c>
      <c r="Q800" t="b">
        <v>0</v>
      </c>
      <c r="R800" t="b">
        <v>0</v>
      </c>
      <c r="S800" t="s">
        <v>96</v>
      </c>
      <c r="T800" t="s">
        <v>1619</v>
      </c>
      <c r="U800">
        <v>11.88</v>
      </c>
      <c r="V800">
        <v>0</v>
      </c>
      <c r="W800">
        <v>0</v>
      </c>
      <c r="X800">
        <v>2</v>
      </c>
      <c r="Y800" s="6">
        <v>46023</v>
      </c>
    </row>
    <row r="801" spans="1:26" x14ac:dyDescent="0.3">
      <c r="A801" t="s">
        <v>906</v>
      </c>
      <c r="B801" s="5">
        <v>46090</v>
      </c>
      <c r="C801" s="5">
        <v>46091</v>
      </c>
      <c r="D801" s="5">
        <v>46095</v>
      </c>
      <c r="E801" s="5">
        <v>46096</v>
      </c>
      <c r="F801" t="s">
        <v>32</v>
      </c>
      <c r="G801" t="s">
        <v>62</v>
      </c>
      <c r="H801" t="s">
        <v>22</v>
      </c>
      <c r="I801" t="s">
        <v>43</v>
      </c>
      <c r="J801">
        <v>647.79999999999995</v>
      </c>
      <c r="K801">
        <v>1811.3</v>
      </c>
      <c r="L801">
        <v>10292000</v>
      </c>
      <c r="M801" t="b">
        <v>0</v>
      </c>
      <c r="N801" t="b">
        <v>0</v>
      </c>
      <c r="O801">
        <v>5000</v>
      </c>
      <c r="P801" t="b">
        <v>0</v>
      </c>
      <c r="Q801" t="b">
        <v>0</v>
      </c>
      <c r="R801" t="b">
        <v>0</v>
      </c>
      <c r="S801" t="s">
        <v>101</v>
      </c>
      <c r="T801" t="s">
        <v>1641</v>
      </c>
      <c r="U801">
        <v>36.225999999999999</v>
      </c>
      <c r="V801">
        <v>0</v>
      </c>
      <c r="W801">
        <v>0</v>
      </c>
      <c r="X801">
        <v>5</v>
      </c>
      <c r="Y801" s="6">
        <v>46082</v>
      </c>
      <c r="Z801">
        <v>1</v>
      </c>
    </row>
    <row r="802" spans="1:26" x14ac:dyDescent="0.3">
      <c r="A802" t="s">
        <v>907</v>
      </c>
      <c r="B802" s="5">
        <v>46050</v>
      </c>
      <c r="C802" s="5">
        <v>46051</v>
      </c>
      <c r="D802" s="5">
        <v>46052</v>
      </c>
      <c r="E802" s="5">
        <v>46053</v>
      </c>
      <c r="F802" t="s">
        <v>34</v>
      </c>
      <c r="G802" t="s">
        <v>55</v>
      </c>
      <c r="H802" t="s">
        <v>22</v>
      </c>
      <c r="I802" t="s">
        <v>45</v>
      </c>
      <c r="J802">
        <v>52.6</v>
      </c>
      <c r="K802">
        <v>536.79999999999995</v>
      </c>
      <c r="L802">
        <v>1175000</v>
      </c>
      <c r="M802" t="b">
        <v>0</v>
      </c>
      <c r="N802" t="b">
        <v>0</v>
      </c>
      <c r="O802">
        <v>1000</v>
      </c>
      <c r="P802" t="b">
        <v>0</v>
      </c>
      <c r="Q802" t="b">
        <v>0</v>
      </c>
      <c r="R802" t="b">
        <v>0</v>
      </c>
      <c r="S802" t="s">
        <v>101</v>
      </c>
      <c r="T802" t="s">
        <v>1639</v>
      </c>
      <c r="U802">
        <v>53.679999999999993</v>
      </c>
      <c r="V802">
        <v>0</v>
      </c>
      <c r="W802">
        <v>0</v>
      </c>
      <c r="X802">
        <v>2</v>
      </c>
      <c r="Y802" s="6">
        <v>46023</v>
      </c>
      <c r="Z802">
        <v>1</v>
      </c>
    </row>
    <row r="803" spans="1:26" x14ac:dyDescent="0.3">
      <c r="A803" t="s">
        <v>908</v>
      </c>
      <c r="B803" s="5">
        <v>46067</v>
      </c>
      <c r="C803" s="5">
        <v>46069</v>
      </c>
      <c r="D803" s="5">
        <v>46071</v>
      </c>
      <c r="E803" s="5">
        <v>46071</v>
      </c>
      <c r="F803" t="s">
        <v>32</v>
      </c>
      <c r="G803" t="s">
        <v>59</v>
      </c>
      <c r="H803" t="s">
        <v>20</v>
      </c>
      <c r="I803" t="s">
        <v>44</v>
      </c>
      <c r="J803">
        <v>190.5</v>
      </c>
      <c r="K803">
        <v>781.9</v>
      </c>
      <c r="L803">
        <v>2408000</v>
      </c>
      <c r="M803" t="b">
        <v>0</v>
      </c>
      <c r="N803" t="b">
        <v>0</v>
      </c>
      <c r="O803">
        <v>1500</v>
      </c>
      <c r="P803" t="b">
        <v>0</v>
      </c>
      <c r="Q803" t="b">
        <v>0</v>
      </c>
      <c r="R803" t="b">
        <v>0</v>
      </c>
      <c r="S803" t="s">
        <v>96</v>
      </c>
      <c r="T803" t="s">
        <v>1619</v>
      </c>
      <c r="U803">
        <v>52.126666666666672</v>
      </c>
      <c r="V803">
        <v>0</v>
      </c>
      <c r="W803">
        <v>0</v>
      </c>
      <c r="X803">
        <v>2</v>
      </c>
      <c r="Y803" s="6">
        <v>46054</v>
      </c>
    </row>
    <row r="804" spans="1:26" x14ac:dyDescent="0.3">
      <c r="A804" t="s">
        <v>909</v>
      </c>
      <c r="B804" s="5">
        <v>46026</v>
      </c>
      <c r="C804" s="5">
        <v>46027</v>
      </c>
      <c r="D804" s="5">
        <v>46029</v>
      </c>
      <c r="E804" s="5">
        <v>46030</v>
      </c>
      <c r="F804" t="s">
        <v>34</v>
      </c>
      <c r="G804" t="s">
        <v>58</v>
      </c>
      <c r="H804" t="s">
        <v>21</v>
      </c>
      <c r="I804" t="s">
        <v>42</v>
      </c>
      <c r="J804">
        <v>138.30000000000001</v>
      </c>
      <c r="K804">
        <v>14190.6</v>
      </c>
      <c r="L804">
        <v>7212000</v>
      </c>
      <c r="M804" t="b">
        <v>0</v>
      </c>
      <c r="N804" t="b">
        <v>0</v>
      </c>
      <c r="O804">
        <v>16000</v>
      </c>
      <c r="P804" t="b">
        <v>0</v>
      </c>
      <c r="Q804" t="b">
        <v>0</v>
      </c>
      <c r="R804" t="b">
        <v>0</v>
      </c>
      <c r="S804" t="s">
        <v>101</v>
      </c>
      <c r="T804" t="s">
        <v>1637</v>
      </c>
      <c r="U804">
        <v>88.691249999999997</v>
      </c>
      <c r="V804">
        <v>0</v>
      </c>
      <c r="W804">
        <v>0</v>
      </c>
      <c r="X804">
        <v>3</v>
      </c>
      <c r="Y804" s="6">
        <v>46023</v>
      </c>
      <c r="Z804">
        <v>1</v>
      </c>
    </row>
    <row r="805" spans="1:26" x14ac:dyDescent="0.3">
      <c r="A805" t="s">
        <v>910</v>
      </c>
      <c r="B805" s="5">
        <v>46055</v>
      </c>
      <c r="C805" s="5">
        <v>46056</v>
      </c>
      <c r="D805" s="5">
        <v>46055</v>
      </c>
      <c r="E805" s="5">
        <v>46060</v>
      </c>
      <c r="F805" t="s">
        <v>32</v>
      </c>
      <c r="G805" t="s">
        <v>62</v>
      </c>
      <c r="H805" t="s">
        <v>20</v>
      </c>
      <c r="I805" t="s">
        <v>43</v>
      </c>
      <c r="J805">
        <v>616.5</v>
      </c>
      <c r="K805">
        <v>2726.6</v>
      </c>
      <c r="L805">
        <v>8297000</v>
      </c>
      <c r="M805" t="b">
        <v>1</v>
      </c>
      <c r="N805" t="b">
        <v>0</v>
      </c>
      <c r="O805">
        <v>5000</v>
      </c>
      <c r="P805" t="b">
        <v>0</v>
      </c>
      <c r="Q805" t="b">
        <v>0</v>
      </c>
      <c r="R805" t="b">
        <v>1</v>
      </c>
      <c r="S805" t="s">
        <v>260</v>
      </c>
      <c r="T805" t="s">
        <v>1641</v>
      </c>
      <c r="U805">
        <v>54.531999999999996</v>
      </c>
      <c r="V805">
        <v>0</v>
      </c>
      <c r="W805">
        <v>1</v>
      </c>
      <c r="Y805" s="6">
        <v>46054</v>
      </c>
    </row>
    <row r="806" spans="1:26" x14ac:dyDescent="0.3">
      <c r="A806" t="s">
        <v>911</v>
      </c>
      <c r="B806" s="5">
        <v>46048</v>
      </c>
      <c r="C806" s="5">
        <v>46049</v>
      </c>
      <c r="D806" s="5">
        <v>46051</v>
      </c>
      <c r="E806" s="5">
        <v>46052</v>
      </c>
      <c r="F806" t="s">
        <v>32</v>
      </c>
      <c r="G806" t="s">
        <v>63</v>
      </c>
      <c r="H806" t="s">
        <v>24</v>
      </c>
      <c r="I806" t="s">
        <v>45</v>
      </c>
      <c r="J806">
        <v>178.8</v>
      </c>
      <c r="K806">
        <v>773.7</v>
      </c>
      <c r="L806">
        <v>2405000</v>
      </c>
      <c r="M806" t="b">
        <v>0</v>
      </c>
      <c r="N806" t="b">
        <v>0</v>
      </c>
      <c r="O806">
        <v>1000</v>
      </c>
      <c r="P806" t="b">
        <v>0</v>
      </c>
      <c r="Q806" t="b">
        <v>0</v>
      </c>
      <c r="R806" t="b">
        <v>0</v>
      </c>
      <c r="S806" t="s">
        <v>101</v>
      </c>
      <c r="T806" t="s">
        <v>1634</v>
      </c>
      <c r="U806">
        <v>77.37</v>
      </c>
      <c r="V806">
        <v>0</v>
      </c>
      <c r="W806">
        <v>0</v>
      </c>
      <c r="X806">
        <v>3</v>
      </c>
      <c r="Y806" s="6">
        <v>46023</v>
      </c>
      <c r="Z806">
        <v>1</v>
      </c>
    </row>
    <row r="807" spans="1:26" x14ac:dyDescent="0.3">
      <c r="A807" t="s">
        <v>912</v>
      </c>
      <c r="B807" s="5">
        <v>46180</v>
      </c>
      <c r="C807" s="5">
        <v>46181</v>
      </c>
      <c r="D807" s="5">
        <v>46184</v>
      </c>
      <c r="E807" s="5">
        <v>46184</v>
      </c>
      <c r="F807" t="s">
        <v>32</v>
      </c>
      <c r="G807" t="s">
        <v>60</v>
      </c>
      <c r="H807" t="s">
        <v>21</v>
      </c>
      <c r="I807" t="s">
        <v>43</v>
      </c>
      <c r="J807">
        <v>496</v>
      </c>
      <c r="K807">
        <v>675.9</v>
      </c>
      <c r="L807">
        <v>7375000</v>
      </c>
      <c r="M807" t="b">
        <v>0</v>
      </c>
      <c r="N807" t="b">
        <v>0</v>
      </c>
      <c r="O807">
        <v>5000</v>
      </c>
      <c r="P807" t="b">
        <v>0</v>
      </c>
      <c r="Q807" t="b">
        <v>0</v>
      </c>
      <c r="R807" t="b">
        <v>0</v>
      </c>
      <c r="S807" t="s">
        <v>96</v>
      </c>
      <c r="T807" t="s">
        <v>1647</v>
      </c>
      <c r="U807">
        <v>13.518000000000001</v>
      </c>
      <c r="V807">
        <v>0</v>
      </c>
      <c r="W807">
        <v>0</v>
      </c>
      <c r="X807">
        <v>3</v>
      </c>
      <c r="Y807" s="6">
        <v>46174</v>
      </c>
    </row>
    <row r="808" spans="1:26" x14ac:dyDescent="0.3">
      <c r="A808" t="s">
        <v>913</v>
      </c>
      <c r="B808" s="5">
        <v>46040</v>
      </c>
      <c r="C808" s="5">
        <v>46040</v>
      </c>
      <c r="D808" s="5">
        <v>46041</v>
      </c>
      <c r="E808" s="5">
        <v>46041</v>
      </c>
      <c r="F808" t="s">
        <v>31</v>
      </c>
      <c r="G808" t="s">
        <v>55</v>
      </c>
      <c r="H808" t="s">
        <v>24</v>
      </c>
      <c r="I808" t="s">
        <v>43</v>
      </c>
      <c r="J808">
        <v>21.7</v>
      </c>
      <c r="K808">
        <v>4327</v>
      </c>
      <c r="L808">
        <v>2806000</v>
      </c>
      <c r="M808" t="b">
        <v>0</v>
      </c>
      <c r="N808" t="b">
        <v>0</v>
      </c>
      <c r="O808">
        <v>5000</v>
      </c>
      <c r="P808" t="b">
        <v>0</v>
      </c>
      <c r="Q808" t="b">
        <v>0</v>
      </c>
      <c r="R808" t="b">
        <v>0</v>
      </c>
      <c r="S808" t="s">
        <v>96</v>
      </c>
      <c r="T808" t="s">
        <v>1629</v>
      </c>
      <c r="U808">
        <v>86.539999999999992</v>
      </c>
      <c r="V808">
        <v>0</v>
      </c>
      <c r="W808">
        <v>0</v>
      </c>
      <c r="X808">
        <v>1</v>
      </c>
      <c r="Y808" s="6">
        <v>46023</v>
      </c>
    </row>
    <row r="809" spans="1:26" x14ac:dyDescent="0.3">
      <c r="A809" t="s">
        <v>914</v>
      </c>
      <c r="B809" s="5">
        <v>46074</v>
      </c>
      <c r="C809" s="5">
        <v>46075</v>
      </c>
      <c r="D809" s="5">
        <v>46079</v>
      </c>
      <c r="E809" s="5">
        <v>46079</v>
      </c>
      <c r="F809" t="s">
        <v>34</v>
      </c>
      <c r="G809" t="s">
        <v>62</v>
      </c>
      <c r="H809" t="s">
        <v>23</v>
      </c>
      <c r="I809" t="s">
        <v>44</v>
      </c>
      <c r="J809">
        <v>749.9</v>
      </c>
      <c r="K809">
        <v>1317.6</v>
      </c>
      <c r="L809">
        <v>7579000</v>
      </c>
      <c r="M809" t="b">
        <v>0</v>
      </c>
      <c r="N809" t="b">
        <v>0</v>
      </c>
      <c r="O809">
        <v>1500</v>
      </c>
      <c r="P809" t="b">
        <v>0</v>
      </c>
      <c r="Q809" t="b">
        <v>0</v>
      </c>
      <c r="R809" t="b">
        <v>0</v>
      </c>
      <c r="S809" t="s">
        <v>96</v>
      </c>
      <c r="T809" t="s">
        <v>1649</v>
      </c>
      <c r="U809">
        <v>87.839999999999989</v>
      </c>
      <c r="V809">
        <v>0</v>
      </c>
      <c r="W809">
        <v>0</v>
      </c>
      <c r="X809">
        <v>4</v>
      </c>
      <c r="Y809" s="6">
        <v>46054</v>
      </c>
    </row>
    <row r="810" spans="1:26" x14ac:dyDescent="0.3">
      <c r="A810" t="s">
        <v>915</v>
      </c>
      <c r="B810" s="5">
        <v>46104</v>
      </c>
      <c r="C810" s="5">
        <v>46106</v>
      </c>
      <c r="D810" s="5">
        <v>46108</v>
      </c>
      <c r="E810" s="5">
        <v>46108</v>
      </c>
      <c r="F810" t="s">
        <v>31</v>
      </c>
      <c r="G810" t="s">
        <v>63</v>
      </c>
      <c r="H810" t="s">
        <v>22</v>
      </c>
      <c r="I810" t="s">
        <v>42</v>
      </c>
      <c r="J810">
        <v>290.3</v>
      </c>
      <c r="K810">
        <v>6230.5</v>
      </c>
      <c r="L810">
        <v>9142000</v>
      </c>
      <c r="M810" t="b">
        <v>0</v>
      </c>
      <c r="N810" t="b">
        <v>0</v>
      </c>
      <c r="O810">
        <v>16000</v>
      </c>
      <c r="P810" t="b">
        <v>0</v>
      </c>
      <c r="Q810" t="b">
        <v>0</v>
      </c>
      <c r="R810" t="b">
        <v>0</v>
      </c>
      <c r="S810" t="s">
        <v>96</v>
      </c>
      <c r="T810" t="s">
        <v>1640</v>
      </c>
      <c r="U810">
        <v>38.940624999999997</v>
      </c>
      <c r="V810">
        <v>0</v>
      </c>
      <c r="W810">
        <v>0</v>
      </c>
      <c r="X810">
        <v>2</v>
      </c>
      <c r="Y810" s="6">
        <v>46082</v>
      </c>
    </row>
    <row r="811" spans="1:26" x14ac:dyDescent="0.3">
      <c r="A811" t="s">
        <v>916</v>
      </c>
      <c r="B811" s="5">
        <v>46109</v>
      </c>
      <c r="C811" s="5">
        <v>46111</v>
      </c>
      <c r="D811" s="5">
        <v>46114</v>
      </c>
      <c r="E811" s="5">
        <v>46114</v>
      </c>
      <c r="F811" t="s">
        <v>34</v>
      </c>
      <c r="G811" t="s">
        <v>54</v>
      </c>
      <c r="H811" t="s">
        <v>23</v>
      </c>
      <c r="I811" t="s">
        <v>45</v>
      </c>
      <c r="J811">
        <v>437</v>
      </c>
      <c r="K811">
        <v>378</v>
      </c>
      <c r="L811">
        <v>4220000</v>
      </c>
      <c r="M811" t="b">
        <v>0</v>
      </c>
      <c r="N811" t="b">
        <v>0</v>
      </c>
      <c r="O811">
        <v>1000</v>
      </c>
      <c r="P811" t="b">
        <v>0</v>
      </c>
      <c r="Q811" t="b">
        <v>0</v>
      </c>
      <c r="R811" t="b">
        <v>0</v>
      </c>
      <c r="S811" t="s">
        <v>96</v>
      </c>
      <c r="T811" t="s">
        <v>1635</v>
      </c>
      <c r="U811">
        <v>37.799999999999997</v>
      </c>
      <c r="V811">
        <v>0</v>
      </c>
      <c r="W811">
        <v>0</v>
      </c>
      <c r="X811">
        <v>3</v>
      </c>
      <c r="Y811" s="6">
        <v>46082</v>
      </c>
    </row>
    <row r="812" spans="1:26" x14ac:dyDescent="0.3">
      <c r="A812" t="s">
        <v>917</v>
      </c>
      <c r="B812" s="5">
        <v>46049</v>
      </c>
      <c r="C812" s="5">
        <v>46050</v>
      </c>
      <c r="D812" s="5">
        <v>46052</v>
      </c>
      <c r="E812" s="5">
        <v>46051</v>
      </c>
      <c r="F812" t="s">
        <v>33</v>
      </c>
      <c r="G812" t="s">
        <v>62</v>
      </c>
      <c r="H812" t="s">
        <v>23</v>
      </c>
      <c r="I812" t="s">
        <v>43</v>
      </c>
      <c r="J812">
        <v>147.5</v>
      </c>
      <c r="K812">
        <v>3366.6</v>
      </c>
      <c r="L812">
        <v>4175000</v>
      </c>
      <c r="M812" t="b">
        <v>0</v>
      </c>
      <c r="N812" t="b">
        <v>0</v>
      </c>
      <c r="O812">
        <v>5000</v>
      </c>
      <c r="P812" t="b">
        <v>0</v>
      </c>
      <c r="Q812" t="b">
        <v>0</v>
      </c>
      <c r="R812" t="b">
        <v>0</v>
      </c>
      <c r="S812" t="s">
        <v>96</v>
      </c>
      <c r="T812" t="s">
        <v>1657</v>
      </c>
      <c r="U812">
        <v>67.332000000000008</v>
      </c>
      <c r="V812">
        <v>0</v>
      </c>
      <c r="W812">
        <v>0</v>
      </c>
      <c r="X812">
        <v>1</v>
      </c>
      <c r="Y812" s="6">
        <v>46023</v>
      </c>
    </row>
    <row r="813" spans="1:26" x14ac:dyDescent="0.3">
      <c r="A813" t="s">
        <v>918</v>
      </c>
      <c r="B813" s="5">
        <v>46200</v>
      </c>
      <c r="C813" s="5">
        <v>46201</v>
      </c>
      <c r="D813" s="5">
        <v>46204</v>
      </c>
      <c r="E813" s="5">
        <v>46204</v>
      </c>
      <c r="F813" t="s">
        <v>34</v>
      </c>
      <c r="G813" t="s">
        <v>53</v>
      </c>
      <c r="H813" t="s">
        <v>20</v>
      </c>
      <c r="I813" t="s">
        <v>45</v>
      </c>
      <c r="J813">
        <v>319.39999999999998</v>
      </c>
      <c r="K813">
        <v>857.6</v>
      </c>
      <c r="L813">
        <v>3722000</v>
      </c>
      <c r="M813" t="b">
        <v>0</v>
      </c>
      <c r="N813" t="b">
        <v>0</v>
      </c>
      <c r="O813">
        <v>1000</v>
      </c>
      <c r="P813" t="b">
        <v>0</v>
      </c>
      <c r="Q813" t="b">
        <v>0</v>
      </c>
      <c r="R813" t="b">
        <v>0</v>
      </c>
      <c r="S813" t="s">
        <v>96</v>
      </c>
      <c r="T813" t="s">
        <v>1636</v>
      </c>
      <c r="U813">
        <v>85.76</v>
      </c>
      <c r="V813">
        <v>0</v>
      </c>
      <c r="W813">
        <v>0</v>
      </c>
      <c r="X813">
        <v>3</v>
      </c>
      <c r="Y813" s="6">
        <v>46174</v>
      </c>
    </row>
    <row r="814" spans="1:26" x14ac:dyDescent="0.3">
      <c r="A814" t="s">
        <v>919</v>
      </c>
      <c r="B814" s="5">
        <v>46050</v>
      </c>
      <c r="C814" s="5">
        <v>46050</v>
      </c>
      <c r="D814" s="5">
        <v>46052</v>
      </c>
      <c r="E814" s="5">
        <v>46053</v>
      </c>
      <c r="F814" t="s">
        <v>31</v>
      </c>
      <c r="G814" t="s">
        <v>58</v>
      </c>
      <c r="H814" t="s">
        <v>23</v>
      </c>
      <c r="I814" t="s">
        <v>43</v>
      </c>
      <c r="J814">
        <v>184.2</v>
      </c>
      <c r="K814">
        <v>3233.1</v>
      </c>
      <c r="L814">
        <v>4027000</v>
      </c>
      <c r="M814" t="b">
        <v>0</v>
      </c>
      <c r="N814" t="b">
        <v>0</v>
      </c>
      <c r="O814">
        <v>5000</v>
      </c>
      <c r="P814" t="b">
        <v>0</v>
      </c>
      <c r="Q814" t="b">
        <v>0</v>
      </c>
      <c r="R814" t="b">
        <v>0</v>
      </c>
      <c r="S814" t="s">
        <v>101</v>
      </c>
      <c r="T814" t="s">
        <v>1621</v>
      </c>
      <c r="U814">
        <v>64.661999999999992</v>
      </c>
      <c r="V814">
        <v>0</v>
      </c>
      <c r="W814">
        <v>0</v>
      </c>
      <c r="X814">
        <v>3</v>
      </c>
      <c r="Y814" s="6">
        <v>46023</v>
      </c>
      <c r="Z814">
        <v>1</v>
      </c>
    </row>
    <row r="815" spans="1:26" x14ac:dyDescent="0.3">
      <c r="A815" t="s">
        <v>920</v>
      </c>
      <c r="B815" s="5">
        <v>46202</v>
      </c>
      <c r="C815" s="5">
        <v>46202</v>
      </c>
      <c r="D815" s="5">
        <v>46205</v>
      </c>
      <c r="E815" s="5">
        <v>46205</v>
      </c>
      <c r="F815" t="s">
        <v>31</v>
      </c>
      <c r="G815" t="s">
        <v>59</v>
      </c>
      <c r="H815" t="s">
        <v>21</v>
      </c>
      <c r="I815" t="s">
        <v>44</v>
      </c>
      <c r="J815">
        <v>304.10000000000002</v>
      </c>
      <c r="K815">
        <v>514.20000000000005</v>
      </c>
      <c r="L815">
        <v>3750000</v>
      </c>
      <c r="M815" t="b">
        <v>0</v>
      </c>
      <c r="N815" t="b">
        <v>0</v>
      </c>
      <c r="O815">
        <v>1500</v>
      </c>
      <c r="P815" t="b">
        <v>0</v>
      </c>
      <c r="Q815" t="b">
        <v>0</v>
      </c>
      <c r="R815" t="b">
        <v>0</v>
      </c>
      <c r="S815" t="s">
        <v>96</v>
      </c>
      <c r="T815" t="s">
        <v>1628</v>
      </c>
      <c r="U815">
        <v>34.280000000000008</v>
      </c>
      <c r="V815">
        <v>0</v>
      </c>
      <c r="W815">
        <v>0</v>
      </c>
      <c r="X815">
        <v>3</v>
      </c>
      <c r="Y815" s="6">
        <v>46174</v>
      </c>
    </row>
    <row r="816" spans="1:26" x14ac:dyDescent="0.3">
      <c r="A816" t="s">
        <v>921</v>
      </c>
      <c r="B816" s="5">
        <v>46182</v>
      </c>
      <c r="C816" s="5">
        <v>46183</v>
      </c>
      <c r="D816" s="5">
        <v>46187</v>
      </c>
      <c r="E816" s="5">
        <v>46187</v>
      </c>
      <c r="F816" t="s">
        <v>34</v>
      </c>
      <c r="G816" t="s">
        <v>60</v>
      </c>
      <c r="H816" t="s">
        <v>23</v>
      </c>
      <c r="I816" t="s">
        <v>45</v>
      </c>
      <c r="J816">
        <v>634</v>
      </c>
      <c r="K816">
        <v>869</v>
      </c>
      <c r="L816">
        <v>6357000</v>
      </c>
      <c r="M816" t="b">
        <v>0</v>
      </c>
      <c r="N816" t="b">
        <v>0</v>
      </c>
      <c r="O816">
        <v>1000</v>
      </c>
      <c r="P816" t="b">
        <v>0</v>
      </c>
      <c r="Q816" t="b">
        <v>0</v>
      </c>
      <c r="R816" t="b">
        <v>0</v>
      </c>
      <c r="S816" t="s">
        <v>96</v>
      </c>
      <c r="T816" t="s">
        <v>1644</v>
      </c>
      <c r="U816">
        <v>86.9</v>
      </c>
      <c r="V816">
        <v>0</v>
      </c>
      <c r="W816">
        <v>0</v>
      </c>
      <c r="X816">
        <v>4</v>
      </c>
      <c r="Y816" s="6">
        <v>46174</v>
      </c>
    </row>
    <row r="817" spans="1:26" x14ac:dyDescent="0.3">
      <c r="A817" t="s">
        <v>922</v>
      </c>
      <c r="B817" s="5">
        <v>46181</v>
      </c>
      <c r="C817" s="5">
        <v>46182</v>
      </c>
      <c r="D817" s="5">
        <v>46184</v>
      </c>
      <c r="E817" s="5">
        <v>46184</v>
      </c>
      <c r="F817" t="s">
        <v>31</v>
      </c>
      <c r="G817" t="s">
        <v>63</v>
      </c>
      <c r="H817" t="s">
        <v>21</v>
      </c>
      <c r="I817" t="s">
        <v>44</v>
      </c>
      <c r="J817">
        <v>279</v>
      </c>
      <c r="K817">
        <v>913.1</v>
      </c>
      <c r="L817">
        <v>3465000</v>
      </c>
      <c r="M817" t="b">
        <v>0</v>
      </c>
      <c r="N817" t="b">
        <v>0</v>
      </c>
      <c r="O817">
        <v>1500</v>
      </c>
      <c r="P817" t="b">
        <v>0</v>
      </c>
      <c r="Q817" t="b">
        <v>0</v>
      </c>
      <c r="R817" t="b">
        <v>0</v>
      </c>
      <c r="S817" t="s">
        <v>96</v>
      </c>
      <c r="T817" t="s">
        <v>1640</v>
      </c>
      <c r="U817">
        <v>60.873333333333328</v>
      </c>
      <c r="V817">
        <v>0</v>
      </c>
      <c r="W817">
        <v>0</v>
      </c>
      <c r="X817">
        <v>2</v>
      </c>
      <c r="Y817" s="6">
        <v>46174</v>
      </c>
    </row>
    <row r="818" spans="1:26" x14ac:dyDescent="0.3">
      <c r="A818" t="s">
        <v>923</v>
      </c>
      <c r="B818" s="5">
        <v>46065</v>
      </c>
      <c r="C818" s="5">
        <v>46066</v>
      </c>
      <c r="D818" s="5">
        <v>46070</v>
      </c>
      <c r="E818" s="5">
        <v>46071</v>
      </c>
      <c r="F818" t="s">
        <v>34</v>
      </c>
      <c r="G818" t="s">
        <v>62</v>
      </c>
      <c r="H818" t="s">
        <v>20</v>
      </c>
      <c r="I818" t="s">
        <v>42</v>
      </c>
      <c r="J818">
        <v>774.7</v>
      </c>
      <c r="K818">
        <v>5129.3</v>
      </c>
      <c r="L818">
        <v>15719000</v>
      </c>
      <c r="M818" t="b">
        <v>0</v>
      </c>
      <c r="N818" t="b">
        <v>0</v>
      </c>
      <c r="O818">
        <v>16000</v>
      </c>
      <c r="P818" t="b">
        <v>0</v>
      </c>
      <c r="Q818" t="b">
        <v>0</v>
      </c>
      <c r="R818" t="b">
        <v>0</v>
      </c>
      <c r="S818" t="s">
        <v>101</v>
      </c>
      <c r="T818" t="s">
        <v>1649</v>
      </c>
      <c r="U818">
        <v>32.058124999999997</v>
      </c>
      <c r="V818">
        <v>0</v>
      </c>
      <c r="W818">
        <v>0</v>
      </c>
      <c r="X818">
        <v>5</v>
      </c>
      <c r="Y818" s="6">
        <v>46054</v>
      </c>
      <c r="Z818">
        <v>1</v>
      </c>
    </row>
    <row r="819" spans="1:26" x14ac:dyDescent="0.3">
      <c r="A819" t="s">
        <v>924</v>
      </c>
      <c r="B819" s="5">
        <v>46187</v>
      </c>
      <c r="C819" s="5">
        <v>46188</v>
      </c>
      <c r="D819" s="5">
        <v>46190</v>
      </c>
      <c r="E819" s="5">
        <v>46190</v>
      </c>
      <c r="F819" t="s">
        <v>34</v>
      </c>
      <c r="G819" t="s">
        <v>58</v>
      </c>
      <c r="H819" t="s">
        <v>24</v>
      </c>
      <c r="I819" t="s">
        <v>42</v>
      </c>
      <c r="J819">
        <v>137.30000000000001</v>
      </c>
      <c r="K819">
        <v>13290.1</v>
      </c>
      <c r="L819">
        <v>6694000</v>
      </c>
      <c r="M819" t="b">
        <v>0</v>
      </c>
      <c r="N819" t="b">
        <v>0</v>
      </c>
      <c r="O819">
        <v>16000</v>
      </c>
      <c r="P819" t="b">
        <v>0</v>
      </c>
      <c r="Q819" t="b">
        <v>0</v>
      </c>
      <c r="R819" t="b">
        <v>0</v>
      </c>
      <c r="S819" t="s">
        <v>96</v>
      </c>
      <c r="T819" t="s">
        <v>1637</v>
      </c>
      <c r="U819">
        <v>83.063124999999999</v>
      </c>
      <c r="V819">
        <v>0</v>
      </c>
      <c r="W819">
        <v>0</v>
      </c>
      <c r="X819">
        <v>2</v>
      </c>
      <c r="Y819" s="6">
        <v>46174</v>
      </c>
    </row>
    <row r="820" spans="1:26" x14ac:dyDescent="0.3">
      <c r="A820" t="s">
        <v>925</v>
      </c>
      <c r="B820" s="5">
        <v>46153</v>
      </c>
      <c r="C820" s="5">
        <v>46155</v>
      </c>
      <c r="D820" s="5">
        <v>46157</v>
      </c>
      <c r="E820" s="5">
        <v>46157</v>
      </c>
      <c r="F820" t="s">
        <v>34</v>
      </c>
      <c r="G820" t="s">
        <v>57</v>
      </c>
      <c r="H820" t="s">
        <v>20</v>
      </c>
      <c r="I820" t="s">
        <v>43</v>
      </c>
      <c r="J820">
        <v>152</v>
      </c>
      <c r="K820">
        <v>1870.2</v>
      </c>
      <c r="L820">
        <v>3586000</v>
      </c>
      <c r="M820" t="b">
        <v>0</v>
      </c>
      <c r="N820" t="b">
        <v>0</v>
      </c>
      <c r="O820">
        <v>5000</v>
      </c>
      <c r="P820" t="b">
        <v>0</v>
      </c>
      <c r="Q820" t="b">
        <v>0</v>
      </c>
      <c r="R820" t="b">
        <v>0</v>
      </c>
      <c r="S820" t="s">
        <v>96</v>
      </c>
      <c r="T820" t="s">
        <v>1620</v>
      </c>
      <c r="U820">
        <v>37.404000000000003</v>
      </c>
      <c r="V820">
        <v>0</v>
      </c>
      <c r="W820">
        <v>0</v>
      </c>
      <c r="X820">
        <v>2</v>
      </c>
      <c r="Y820" s="6">
        <v>46143</v>
      </c>
    </row>
    <row r="821" spans="1:26" x14ac:dyDescent="0.3">
      <c r="A821" t="s">
        <v>926</v>
      </c>
      <c r="B821" s="5">
        <v>46044</v>
      </c>
      <c r="C821" s="5">
        <v>46044</v>
      </c>
      <c r="D821" s="5">
        <v>46046</v>
      </c>
      <c r="E821" s="5">
        <v>46046</v>
      </c>
      <c r="F821" t="s">
        <v>32</v>
      </c>
      <c r="G821" t="s">
        <v>61</v>
      </c>
      <c r="H821" t="s">
        <v>21</v>
      </c>
      <c r="I821" t="s">
        <v>43</v>
      </c>
      <c r="J821">
        <v>149.30000000000001</v>
      </c>
      <c r="K821">
        <v>3117.8</v>
      </c>
      <c r="L821">
        <v>3877000</v>
      </c>
      <c r="M821" t="b">
        <v>0</v>
      </c>
      <c r="N821" t="b">
        <v>0</v>
      </c>
      <c r="O821">
        <v>5000</v>
      </c>
      <c r="P821" t="b">
        <v>0</v>
      </c>
      <c r="Q821" t="b">
        <v>0</v>
      </c>
      <c r="R821" t="b">
        <v>0</v>
      </c>
      <c r="S821" t="s">
        <v>96</v>
      </c>
      <c r="T821" t="s">
        <v>1653</v>
      </c>
      <c r="U821">
        <v>62.356000000000002</v>
      </c>
      <c r="V821">
        <v>0</v>
      </c>
      <c r="W821">
        <v>0</v>
      </c>
      <c r="X821">
        <v>2</v>
      </c>
      <c r="Y821" s="6">
        <v>46023</v>
      </c>
    </row>
    <row r="822" spans="1:26" x14ac:dyDescent="0.3">
      <c r="A822" t="s">
        <v>927</v>
      </c>
      <c r="B822" s="5">
        <v>46074</v>
      </c>
      <c r="C822" s="5">
        <v>46075</v>
      </c>
      <c r="D822" s="5">
        <v>46076</v>
      </c>
      <c r="E822" s="5">
        <v>46076</v>
      </c>
      <c r="F822" t="s">
        <v>34</v>
      </c>
      <c r="G822" t="s">
        <v>55</v>
      </c>
      <c r="H822" t="s">
        <v>22</v>
      </c>
      <c r="I822" t="s">
        <v>43</v>
      </c>
      <c r="J822">
        <v>59.7</v>
      </c>
      <c r="K822">
        <v>1944.5</v>
      </c>
      <c r="L822">
        <v>2329000</v>
      </c>
      <c r="M822" t="b">
        <v>0</v>
      </c>
      <c r="N822" t="b">
        <v>0</v>
      </c>
      <c r="O822">
        <v>5000</v>
      </c>
      <c r="P822" t="b">
        <v>0</v>
      </c>
      <c r="Q822" t="b">
        <v>0</v>
      </c>
      <c r="R822" t="b">
        <v>0</v>
      </c>
      <c r="S822" t="s">
        <v>96</v>
      </c>
      <c r="T822" t="s">
        <v>1639</v>
      </c>
      <c r="U822">
        <v>38.89</v>
      </c>
      <c r="V822">
        <v>0</v>
      </c>
      <c r="W822">
        <v>0</v>
      </c>
      <c r="X822">
        <v>1</v>
      </c>
      <c r="Y822" s="6">
        <v>46054</v>
      </c>
    </row>
    <row r="823" spans="1:26" x14ac:dyDescent="0.3">
      <c r="A823" t="s">
        <v>928</v>
      </c>
      <c r="B823" s="5">
        <v>46202</v>
      </c>
      <c r="C823" s="5">
        <v>46203</v>
      </c>
      <c r="D823" s="5">
        <v>46205</v>
      </c>
      <c r="E823" s="5">
        <v>46205</v>
      </c>
      <c r="F823" t="s">
        <v>31</v>
      </c>
      <c r="G823" t="s">
        <v>53</v>
      </c>
      <c r="H823" t="s">
        <v>21</v>
      </c>
      <c r="I823" t="s">
        <v>44</v>
      </c>
      <c r="J823">
        <v>295.89999999999998</v>
      </c>
      <c r="K823">
        <v>326.7</v>
      </c>
      <c r="L823">
        <v>3797000</v>
      </c>
      <c r="M823" t="b">
        <v>0</v>
      </c>
      <c r="N823" t="b">
        <v>0</v>
      </c>
      <c r="O823">
        <v>1500</v>
      </c>
      <c r="P823" t="b">
        <v>0</v>
      </c>
      <c r="Q823" t="b">
        <v>0</v>
      </c>
      <c r="R823" t="b">
        <v>0</v>
      </c>
      <c r="S823" t="s">
        <v>96</v>
      </c>
      <c r="T823" t="s">
        <v>1627</v>
      </c>
      <c r="U823">
        <v>21.78</v>
      </c>
      <c r="V823">
        <v>0</v>
      </c>
      <c r="W823">
        <v>0</v>
      </c>
      <c r="X823">
        <v>2</v>
      </c>
      <c r="Y823" s="6">
        <v>46174</v>
      </c>
    </row>
    <row r="824" spans="1:26" x14ac:dyDescent="0.3">
      <c r="A824" t="s">
        <v>929</v>
      </c>
      <c r="B824" s="5">
        <v>46140</v>
      </c>
      <c r="C824" s="5">
        <v>46142</v>
      </c>
      <c r="D824" s="5">
        <v>46144</v>
      </c>
      <c r="E824" s="5">
        <v>46144</v>
      </c>
      <c r="F824" t="s">
        <v>34</v>
      </c>
      <c r="G824" t="s">
        <v>58</v>
      </c>
      <c r="H824" t="s">
        <v>20</v>
      </c>
      <c r="I824" t="s">
        <v>43</v>
      </c>
      <c r="J824">
        <v>145.5</v>
      </c>
      <c r="K824">
        <v>591</v>
      </c>
      <c r="L824">
        <v>2584000</v>
      </c>
      <c r="M824" t="b">
        <v>0</v>
      </c>
      <c r="N824" t="b">
        <v>0</v>
      </c>
      <c r="O824">
        <v>5000</v>
      </c>
      <c r="P824" t="b">
        <v>0</v>
      </c>
      <c r="Q824" t="b">
        <v>0</v>
      </c>
      <c r="R824" t="b">
        <v>0</v>
      </c>
      <c r="S824" t="s">
        <v>96</v>
      </c>
      <c r="T824" t="s">
        <v>1637</v>
      </c>
      <c r="U824">
        <v>11.82</v>
      </c>
      <c r="V824">
        <v>0</v>
      </c>
      <c r="W824">
        <v>0</v>
      </c>
      <c r="X824">
        <v>2</v>
      </c>
      <c r="Y824" s="6">
        <v>46113</v>
      </c>
    </row>
    <row r="825" spans="1:26" x14ac:dyDescent="0.3">
      <c r="A825" t="s">
        <v>930</v>
      </c>
      <c r="B825" s="5">
        <v>46030</v>
      </c>
      <c r="C825" s="5">
        <v>46031</v>
      </c>
      <c r="D825" s="5">
        <v>46033</v>
      </c>
      <c r="E825" s="5">
        <v>46033</v>
      </c>
      <c r="F825" t="s">
        <v>34</v>
      </c>
      <c r="G825" t="s">
        <v>58</v>
      </c>
      <c r="H825" t="s">
        <v>23</v>
      </c>
      <c r="I825" t="s">
        <v>42</v>
      </c>
      <c r="J825">
        <v>153.6</v>
      </c>
      <c r="K825">
        <v>12736.8</v>
      </c>
      <c r="L825">
        <v>6226000</v>
      </c>
      <c r="M825" t="b">
        <v>0</v>
      </c>
      <c r="N825" t="b">
        <v>0</v>
      </c>
      <c r="O825">
        <v>16000</v>
      </c>
      <c r="P825" t="b">
        <v>0</v>
      </c>
      <c r="Q825" t="b">
        <v>0</v>
      </c>
      <c r="R825" t="b">
        <v>0</v>
      </c>
      <c r="S825" t="s">
        <v>96</v>
      </c>
      <c r="T825" t="s">
        <v>1637</v>
      </c>
      <c r="U825">
        <v>79.60499999999999</v>
      </c>
      <c r="V825">
        <v>0</v>
      </c>
      <c r="W825">
        <v>0</v>
      </c>
      <c r="X825">
        <v>2</v>
      </c>
      <c r="Y825" s="6">
        <v>46023</v>
      </c>
    </row>
    <row r="826" spans="1:26" x14ac:dyDescent="0.3">
      <c r="A826" t="s">
        <v>931</v>
      </c>
      <c r="B826" s="5">
        <v>46185</v>
      </c>
      <c r="C826" s="5">
        <v>46186</v>
      </c>
      <c r="D826" s="5">
        <v>46188</v>
      </c>
      <c r="E826" s="5">
        <v>46187</v>
      </c>
      <c r="F826" t="s">
        <v>31</v>
      </c>
      <c r="G826" t="s">
        <v>58</v>
      </c>
      <c r="H826" t="s">
        <v>20</v>
      </c>
      <c r="I826" t="s">
        <v>44</v>
      </c>
      <c r="J826">
        <v>187.5</v>
      </c>
      <c r="K826">
        <v>810.1</v>
      </c>
      <c r="L826">
        <v>2478000</v>
      </c>
      <c r="M826" t="b">
        <v>0</v>
      </c>
      <c r="N826" t="b">
        <v>0</v>
      </c>
      <c r="O826">
        <v>1500</v>
      </c>
      <c r="P826" t="b">
        <v>0</v>
      </c>
      <c r="Q826" t="b">
        <v>0</v>
      </c>
      <c r="R826" t="b">
        <v>0</v>
      </c>
      <c r="S826" t="s">
        <v>96</v>
      </c>
      <c r="T826" t="s">
        <v>1621</v>
      </c>
      <c r="U826">
        <v>54.006666666666668</v>
      </c>
      <c r="V826">
        <v>0</v>
      </c>
      <c r="W826">
        <v>0</v>
      </c>
      <c r="X826">
        <v>1</v>
      </c>
      <c r="Y826" s="6">
        <v>46174</v>
      </c>
    </row>
    <row r="827" spans="1:26" x14ac:dyDescent="0.3">
      <c r="A827" t="s">
        <v>932</v>
      </c>
      <c r="B827" s="5">
        <v>46092</v>
      </c>
      <c r="C827" s="5">
        <v>46093</v>
      </c>
      <c r="D827" s="5">
        <v>46096</v>
      </c>
      <c r="E827" s="5">
        <v>46097</v>
      </c>
      <c r="F827" t="s">
        <v>34</v>
      </c>
      <c r="G827" t="s">
        <v>63</v>
      </c>
      <c r="H827" t="s">
        <v>20</v>
      </c>
      <c r="I827" t="s">
        <v>43</v>
      </c>
      <c r="J827">
        <v>324.2</v>
      </c>
      <c r="K827">
        <v>1838.8</v>
      </c>
      <c r="L827">
        <v>4574000</v>
      </c>
      <c r="M827" t="b">
        <v>0</v>
      </c>
      <c r="N827" t="b">
        <v>0</v>
      </c>
      <c r="O827">
        <v>5000</v>
      </c>
      <c r="P827" t="b">
        <v>0</v>
      </c>
      <c r="Q827" t="b">
        <v>0</v>
      </c>
      <c r="R827" t="b">
        <v>0</v>
      </c>
      <c r="S827" t="s">
        <v>101</v>
      </c>
      <c r="T827" t="s">
        <v>1613</v>
      </c>
      <c r="U827">
        <v>36.776000000000003</v>
      </c>
      <c r="V827">
        <v>0</v>
      </c>
      <c r="W827">
        <v>0</v>
      </c>
      <c r="X827">
        <v>4</v>
      </c>
      <c r="Y827" s="6">
        <v>46082</v>
      </c>
      <c r="Z827">
        <v>1</v>
      </c>
    </row>
    <row r="828" spans="1:26" x14ac:dyDescent="0.3">
      <c r="A828" t="s">
        <v>933</v>
      </c>
      <c r="B828" s="5">
        <v>46098</v>
      </c>
      <c r="C828" s="5">
        <v>46099</v>
      </c>
      <c r="D828" s="5">
        <v>46100</v>
      </c>
      <c r="E828" s="5">
        <v>46100</v>
      </c>
      <c r="F828" t="s">
        <v>31</v>
      </c>
      <c r="G828" t="s">
        <v>61</v>
      </c>
      <c r="H828" t="s">
        <v>22</v>
      </c>
      <c r="I828" t="s">
        <v>43</v>
      </c>
      <c r="J828">
        <v>52.4</v>
      </c>
      <c r="K828">
        <v>794.3</v>
      </c>
      <c r="L828">
        <v>1763000</v>
      </c>
      <c r="M828" t="b">
        <v>0</v>
      </c>
      <c r="N828" t="b">
        <v>0</v>
      </c>
      <c r="O828">
        <v>5000</v>
      </c>
      <c r="P828" t="b">
        <v>0</v>
      </c>
      <c r="Q828" t="b">
        <v>0</v>
      </c>
      <c r="R828" t="b">
        <v>0</v>
      </c>
      <c r="S828" t="s">
        <v>96</v>
      </c>
      <c r="T828" t="s">
        <v>1645</v>
      </c>
      <c r="U828">
        <v>15.885999999999999</v>
      </c>
      <c r="V828">
        <v>0</v>
      </c>
      <c r="W828">
        <v>0</v>
      </c>
      <c r="X828">
        <v>1</v>
      </c>
      <c r="Y828" s="6">
        <v>46082</v>
      </c>
    </row>
    <row r="829" spans="1:26" x14ac:dyDescent="0.3">
      <c r="A829" t="s">
        <v>934</v>
      </c>
      <c r="B829" s="5">
        <v>46026</v>
      </c>
      <c r="C829" s="5">
        <v>46027</v>
      </c>
      <c r="D829" s="5">
        <v>46030</v>
      </c>
      <c r="E829" s="5">
        <v>46030</v>
      </c>
      <c r="F829" t="s">
        <v>34</v>
      </c>
      <c r="G829" t="s">
        <v>63</v>
      </c>
      <c r="H829" t="s">
        <v>22</v>
      </c>
      <c r="I829" t="s">
        <v>43</v>
      </c>
      <c r="J829">
        <v>347</v>
      </c>
      <c r="K829">
        <v>3771</v>
      </c>
      <c r="L829">
        <v>6427000</v>
      </c>
      <c r="M829" t="b">
        <v>0</v>
      </c>
      <c r="N829" t="b">
        <v>0</v>
      </c>
      <c r="O829">
        <v>5000</v>
      </c>
      <c r="P829" t="b">
        <v>0</v>
      </c>
      <c r="Q829" t="b">
        <v>0</v>
      </c>
      <c r="R829" t="b">
        <v>0</v>
      </c>
      <c r="S829" t="s">
        <v>96</v>
      </c>
      <c r="T829" t="s">
        <v>1613</v>
      </c>
      <c r="U829">
        <v>75.42</v>
      </c>
      <c r="V829">
        <v>0</v>
      </c>
      <c r="W829">
        <v>0</v>
      </c>
      <c r="X829">
        <v>3</v>
      </c>
      <c r="Y829" s="6">
        <v>46023</v>
      </c>
    </row>
    <row r="830" spans="1:26" x14ac:dyDescent="0.3">
      <c r="A830" t="s">
        <v>935</v>
      </c>
      <c r="B830" s="5">
        <v>46052</v>
      </c>
      <c r="C830" s="5">
        <v>46053</v>
      </c>
      <c r="D830" s="5">
        <v>46056</v>
      </c>
      <c r="E830" s="5">
        <v>46056</v>
      </c>
      <c r="F830" t="s">
        <v>32</v>
      </c>
      <c r="G830" t="s">
        <v>60</v>
      </c>
      <c r="H830" t="s">
        <v>21</v>
      </c>
      <c r="I830" t="s">
        <v>42</v>
      </c>
      <c r="J830">
        <v>484.6</v>
      </c>
      <c r="K830">
        <v>9050.1</v>
      </c>
      <c r="L830">
        <v>11809000</v>
      </c>
      <c r="M830" t="b">
        <v>0</v>
      </c>
      <c r="N830" t="b">
        <v>0</v>
      </c>
      <c r="O830">
        <v>16000</v>
      </c>
      <c r="P830" t="b">
        <v>0</v>
      </c>
      <c r="Q830" t="b">
        <v>0</v>
      </c>
      <c r="R830" t="b">
        <v>0</v>
      </c>
      <c r="S830" t="s">
        <v>96</v>
      </c>
      <c r="T830" t="s">
        <v>1647</v>
      </c>
      <c r="U830">
        <v>56.563124999999999</v>
      </c>
      <c r="V830">
        <v>0</v>
      </c>
      <c r="W830">
        <v>0</v>
      </c>
      <c r="X830">
        <v>3</v>
      </c>
      <c r="Y830" s="6">
        <v>46023</v>
      </c>
    </row>
    <row r="831" spans="1:26" x14ac:dyDescent="0.3">
      <c r="A831" t="s">
        <v>936</v>
      </c>
      <c r="B831" s="5">
        <v>46192</v>
      </c>
      <c r="C831" s="5">
        <v>46194</v>
      </c>
      <c r="D831" s="5">
        <v>46197</v>
      </c>
      <c r="E831" s="5">
        <v>46198</v>
      </c>
      <c r="F831" t="s">
        <v>32</v>
      </c>
      <c r="G831" t="s">
        <v>59</v>
      </c>
      <c r="H831" t="s">
        <v>23</v>
      </c>
      <c r="I831" t="s">
        <v>43</v>
      </c>
      <c r="J831">
        <v>175.5</v>
      </c>
      <c r="K831">
        <v>744.9</v>
      </c>
      <c r="L831">
        <v>2948000</v>
      </c>
      <c r="M831" t="b">
        <v>0</v>
      </c>
      <c r="N831" t="b">
        <v>0</v>
      </c>
      <c r="O831">
        <v>5000</v>
      </c>
      <c r="P831" t="b">
        <v>0</v>
      </c>
      <c r="Q831" t="b">
        <v>0</v>
      </c>
      <c r="R831" t="b">
        <v>0</v>
      </c>
      <c r="S831" t="s">
        <v>101</v>
      </c>
      <c r="T831" t="s">
        <v>1619</v>
      </c>
      <c r="U831">
        <v>14.898</v>
      </c>
      <c r="V831">
        <v>0</v>
      </c>
      <c r="W831">
        <v>0</v>
      </c>
      <c r="X831">
        <v>4</v>
      </c>
      <c r="Y831" s="6">
        <v>46174</v>
      </c>
      <c r="Z831">
        <v>1</v>
      </c>
    </row>
    <row r="832" spans="1:26" x14ac:dyDescent="0.3">
      <c r="A832" t="s">
        <v>937</v>
      </c>
      <c r="B832" s="5">
        <v>46129</v>
      </c>
      <c r="C832" s="5">
        <v>46130</v>
      </c>
      <c r="D832" s="5">
        <v>46134</v>
      </c>
      <c r="E832" s="5">
        <v>46134</v>
      </c>
      <c r="F832" t="s">
        <v>34</v>
      </c>
      <c r="G832" t="s">
        <v>56</v>
      </c>
      <c r="H832" t="s">
        <v>20</v>
      </c>
      <c r="I832" t="s">
        <v>44</v>
      </c>
      <c r="J832">
        <v>897.3</v>
      </c>
      <c r="K832">
        <v>493.8</v>
      </c>
      <c r="L832">
        <v>10042000</v>
      </c>
      <c r="M832" t="b">
        <v>0</v>
      </c>
      <c r="N832" t="b">
        <v>0</v>
      </c>
      <c r="O832">
        <v>1500</v>
      </c>
      <c r="P832" t="b">
        <v>0</v>
      </c>
      <c r="Q832" t="b">
        <v>0</v>
      </c>
      <c r="R832" t="b">
        <v>0</v>
      </c>
      <c r="S832" t="s">
        <v>96</v>
      </c>
      <c r="T832" t="s">
        <v>1646</v>
      </c>
      <c r="U832">
        <v>32.92</v>
      </c>
      <c r="V832">
        <v>0</v>
      </c>
      <c r="W832">
        <v>0</v>
      </c>
      <c r="X832">
        <v>4</v>
      </c>
      <c r="Y832" s="6">
        <v>46113</v>
      </c>
    </row>
    <row r="833" spans="1:26" x14ac:dyDescent="0.3">
      <c r="A833" t="s">
        <v>938</v>
      </c>
      <c r="B833" s="5">
        <v>46148</v>
      </c>
      <c r="C833" s="5">
        <v>46149</v>
      </c>
      <c r="D833" s="5">
        <v>46150</v>
      </c>
      <c r="E833" s="5">
        <v>46150</v>
      </c>
      <c r="F833" t="s">
        <v>32</v>
      </c>
      <c r="G833" t="s">
        <v>57</v>
      </c>
      <c r="H833" t="s">
        <v>21</v>
      </c>
      <c r="I833" t="s">
        <v>42</v>
      </c>
      <c r="J833">
        <v>17.399999999999999</v>
      </c>
      <c r="K833">
        <v>5204.2</v>
      </c>
      <c r="L833">
        <v>2842000</v>
      </c>
      <c r="M833" t="b">
        <v>0</v>
      </c>
      <c r="N833" t="b">
        <v>0</v>
      </c>
      <c r="O833">
        <v>16000</v>
      </c>
      <c r="P833" t="b">
        <v>0</v>
      </c>
      <c r="Q833" t="b">
        <v>0</v>
      </c>
      <c r="R833" t="b">
        <v>0</v>
      </c>
      <c r="S833" t="s">
        <v>96</v>
      </c>
      <c r="T833" t="s">
        <v>1630</v>
      </c>
      <c r="U833">
        <v>32.526249999999997</v>
      </c>
      <c r="V833">
        <v>0</v>
      </c>
      <c r="W833">
        <v>0</v>
      </c>
      <c r="X833">
        <v>1</v>
      </c>
      <c r="Y833" s="6">
        <v>46143</v>
      </c>
    </row>
    <row r="834" spans="1:26" x14ac:dyDescent="0.3">
      <c r="A834" t="s">
        <v>939</v>
      </c>
      <c r="B834" s="5">
        <v>46044</v>
      </c>
      <c r="C834" s="5">
        <v>46046</v>
      </c>
      <c r="D834" s="5">
        <v>46049</v>
      </c>
      <c r="E834" s="5">
        <v>46049</v>
      </c>
      <c r="F834" t="s">
        <v>34</v>
      </c>
      <c r="G834" t="s">
        <v>54</v>
      </c>
      <c r="H834" t="s">
        <v>24</v>
      </c>
      <c r="I834" t="s">
        <v>45</v>
      </c>
      <c r="J834">
        <v>436.1</v>
      </c>
      <c r="K834">
        <v>733.3</v>
      </c>
      <c r="L834">
        <v>4495000</v>
      </c>
      <c r="M834" t="b">
        <v>0</v>
      </c>
      <c r="N834" t="b">
        <v>0</v>
      </c>
      <c r="O834">
        <v>1000</v>
      </c>
      <c r="P834" t="b">
        <v>0</v>
      </c>
      <c r="Q834" t="b">
        <v>0</v>
      </c>
      <c r="R834" t="b">
        <v>0</v>
      </c>
      <c r="S834" t="s">
        <v>96</v>
      </c>
      <c r="T834" t="s">
        <v>1635</v>
      </c>
      <c r="U834">
        <v>73.33</v>
      </c>
      <c r="V834">
        <v>0</v>
      </c>
      <c r="W834">
        <v>0</v>
      </c>
      <c r="X834">
        <v>3</v>
      </c>
      <c r="Y834" s="6">
        <v>46023</v>
      </c>
    </row>
    <row r="835" spans="1:26" x14ac:dyDescent="0.3">
      <c r="A835" t="s">
        <v>940</v>
      </c>
      <c r="B835" s="5">
        <v>46103</v>
      </c>
      <c r="C835" s="5">
        <v>46104</v>
      </c>
      <c r="D835" s="5">
        <v>46106</v>
      </c>
      <c r="E835" s="5">
        <v>46106</v>
      </c>
      <c r="F835" t="s">
        <v>32</v>
      </c>
      <c r="G835" t="s">
        <v>63</v>
      </c>
      <c r="H835" t="s">
        <v>21</v>
      </c>
      <c r="I835" t="s">
        <v>44</v>
      </c>
      <c r="J835">
        <v>168.3</v>
      </c>
      <c r="K835">
        <v>617.4</v>
      </c>
      <c r="L835">
        <v>2224000</v>
      </c>
      <c r="M835" t="b">
        <v>0</v>
      </c>
      <c r="N835" t="b">
        <v>0</v>
      </c>
      <c r="O835">
        <v>1500</v>
      </c>
      <c r="P835" t="b">
        <v>0</v>
      </c>
      <c r="Q835" t="b">
        <v>0</v>
      </c>
      <c r="R835" t="b">
        <v>0</v>
      </c>
      <c r="S835" t="s">
        <v>96</v>
      </c>
      <c r="T835" t="s">
        <v>1634</v>
      </c>
      <c r="U835">
        <v>41.16</v>
      </c>
      <c r="V835">
        <v>0</v>
      </c>
      <c r="W835">
        <v>0</v>
      </c>
      <c r="X835">
        <v>2</v>
      </c>
      <c r="Y835" s="6">
        <v>46082</v>
      </c>
    </row>
    <row r="836" spans="1:26" x14ac:dyDescent="0.3">
      <c r="A836" t="s">
        <v>941</v>
      </c>
      <c r="B836" s="5">
        <v>46035</v>
      </c>
      <c r="C836" s="5">
        <v>46034</v>
      </c>
      <c r="D836" s="5">
        <v>46041</v>
      </c>
      <c r="E836" s="5">
        <v>46041</v>
      </c>
      <c r="F836" t="s">
        <v>33</v>
      </c>
      <c r="G836" t="s">
        <v>61</v>
      </c>
      <c r="H836" t="s">
        <v>21</v>
      </c>
      <c r="I836" t="s">
        <v>44</v>
      </c>
      <c r="J836">
        <v>681.4</v>
      </c>
      <c r="K836">
        <v>981</v>
      </c>
      <c r="L836">
        <v>7088000</v>
      </c>
      <c r="M836" t="b">
        <v>1</v>
      </c>
      <c r="N836" t="b">
        <v>0</v>
      </c>
      <c r="O836">
        <v>1500</v>
      </c>
      <c r="P836" t="b">
        <v>0</v>
      </c>
      <c r="Q836" t="b">
        <v>0</v>
      </c>
      <c r="R836" t="b">
        <v>1</v>
      </c>
      <c r="S836" t="s">
        <v>260</v>
      </c>
      <c r="T836" t="s">
        <v>1643</v>
      </c>
      <c r="U836">
        <v>65.400000000000006</v>
      </c>
      <c r="V836">
        <v>0</v>
      </c>
      <c r="W836">
        <v>1</v>
      </c>
      <c r="Y836" s="6">
        <v>46023</v>
      </c>
    </row>
    <row r="837" spans="1:26" x14ac:dyDescent="0.3">
      <c r="A837" t="s">
        <v>942</v>
      </c>
      <c r="B837" s="5">
        <v>46149</v>
      </c>
      <c r="C837" s="5">
        <v>46149</v>
      </c>
      <c r="D837" s="5">
        <v>46151</v>
      </c>
      <c r="E837" s="5">
        <v>46151</v>
      </c>
      <c r="F837" t="s">
        <v>32</v>
      </c>
      <c r="G837" t="s">
        <v>55</v>
      </c>
      <c r="H837" t="s">
        <v>21</v>
      </c>
      <c r="I837" t="s">
        <v>45</v>
      </c>
      <c r="J837">
        <v>130.5</v>
      </c>
      <c r="K837">
        <v>231.1</v>
      </c>
      <c r="L837">
        <v>1564000</v>
      </c>
      <c r="M837" t="b">
        <v>0</v>
      </c>
      <c r="N837" t="b">
        <v>0</v>
      </c>
      <c r="O837">
        <v>1000</v>
      </c>
      <c r="P837" t="b">
        <v>0</v>
      </c>
      <c r="Q837" t="b">
        <v>0</v>
      </c>
      <c r="R837" t="b">
        <v>0</v>
      </c>
      <c r="S837" t="s">
        <v>96</v>
      </c>
      <c r="T837" t="s">
        <v>1633</v>
      </c>
      <c r="U837">
        <v>23.11</v>
      </c>
      <c r="V837">
        <v>0</v>
      </c>
      <c r="W837">
        <v>0</v>
      </c>
      <c r="X837">
        <v>2</v>
      </c>
      <c r="Y837" s="6">
        <v>46143</v>
      </c>
    </row>
    <row r="838" spans="1:26" x14ac:dyDescent="0.3">
      <c r="A838" t="s">
        <v>943</v>
      </c>
      <c r="B838" s="5">
        <v>46044</v>
      </c>
      <c r="C838" s="5">
        <v>46044</v>
      </c>
      <c r="D838" s="5">
        <v>46046</v>
      </c>
      <c r="E838" s="5">
        <v>46046</v>
      </c>
      <c r="F838" t="s">
        <v>34</v>
      </c>
      <c r="G838" t="s">
        <v>57</v>
      </c>
      <c r="H838" t="s">
        <v>23</v>
      </c>
      <c r="I838" t="s">
        <v>42</v>
      </c>
      <c r="J838">
        <v>161.5</v>
      </c>
      <c r="K838">
        <v>12665.4</v>
      </c>
      <c r="L838">
        <v>7866000</v>
      </c>
      <c r="M838" t="b">
        <v>0</v>
      </c>
      <c r="N838" t="b">
        <v>0</v>
      </c>
      <c r="O838">
        <v>16000</v>
      </c>
      <c r="P838" t="b">
        <v>0</v>
      </c>
      <c r="Q838" t="b">
        <v>0</v>
      </c>
      <c r="R838" t="b">
        <v>0</v>
      </c>
      <c r="S838" t="s">
        <v>96</v>
      </c>
      <c r="T838" t="s">
        <v>1620</v>
      </c>
      <c r="U838">
        <v>79.158749999999998</v>
      </c>
      <c r="V838">
        <v>0</v>
      </c>
      <c r="W838">
        <v>0</v>
      </c>
      <c r="X838">
        <v>2</v>
      </c>
      <c r="Y838" s="6">
        <v>46023</v>
      </c>
    </row>
    <row r="839" spans="1:26" x14ac:dyDescent="0.3">
      <c r="A839" t="s">
        <v>944</v>
      </c>
      <c r="B839" s="5">
        <v>46178</v>
      </c>
      <c r="C839" s="5">
        <v>46179</v>
      </c>
      <c r="D839" s="5">
        <v>46181</v>
      </c>
      <c r="E839" s="5">
        <v>46182</v>
      </c>
      <c r="F839" t="s">
        <v>32</v>
      </c>
      <c r="G839" t="s">
        <v>61</v>
      </c>
      <c r="H839" t="s">
        <v>23</v>
      </c>
      <c r="I839" t="s">
        <v>45</v>
      </c>
      <c r="J839">
        <v>153.19999999999999</v>
      </c>
      <c r="K839">
        <v>845</v>
      </c>
      <c r="L839">
        <v>2032000</v>
      </c>
      <c r="M839" t="b">
        <v>0</v>
      </c>
      <c r="N839" t="b">
        <v>0</v>
      </c>
      <c r="O839">
        <v>1000</v>
      </c>
      <c r="P839" t="b">
        <v>0</v>
      </c>
      <c r="Q839" t="b">
        <v>0</v>
      </c>
      <c r="R839" t="b">
        <v>0</v>
      </c>
      <c r="S839" t="s">
        <v>101</v>
      </c>
      <c r="T839" t="s">
        <v>1653</v>
      </c>
      <c r="U839">
        <v>84.5</v>
      </c>
      <c r="V839">
        <v>0</v>
      </c>
      <c r="W839">
        <v>0</v>
      </c>
      <c r="X839">
        <v>3</v>
      </c>
      <c r="Y839" s="6">
        <v>46174</v>
      </c>
      <c r="Z839">
        <v>1</v>
      </c>
    </row>
    <row r="840" spans="1:26" x14ac:dyDescent="0.3">
      <c r="A840" t="s">
        <v>945</v>
      </c>
      <c r="B840" s="5">
        <v>46128</v>
      </c>
      <c r="C840" s="5">
        <v>46129</v>
      </c>
      <c r="D840" s="5">
        <v>46133</v>
      </c>
      <c r="E840" s="5">
        <v>46133</v>
      </c>
      <c r="F840" t="s">
        <v>34</v>
      </c>
      <c r="G840" t="s">
        <v>62</v>
      </c>
      <c r="H840" t="s">
        <v>23</v>
      </c>
      <c r="I840" t="s">
        <v>45</v>
      </c>
      <c r="J840">
        <v>845</v>
      </c>
      <c r="K840">
        <v>228.5</v>
      </c>
      <c r="L840">
        <v>8556000</v>
      </c>
      <c r="M840" t="b">
        <v>0</v>
      </c>
      <c r="N840" t="b">
        <v>0</v>
      </c>
      <c r="O840">
        <v>1000</v>
      </c>
      <c r="P840" t="b">
        <v>0</v>
      </c>
      <c r="Q840" t="b">
        <v>0</v>
      </c>
      <c r="R840" t="b">
        <v>0</v>
      </c>
      <c r="S840" t="s">
        <v>96</v>
      </c>
      <c r="T840" t="s">
        <v>1649</v>
      </c>
      <c r="U840">
        <v>22.85</v>
      </c>
      <c r="V840">
        <v>0</v>
      </c>
      <c r="W840">
        <v>0</v>
      </c>
      <c r="X840">
        <v>4</v>
      </c>
      <c r="Y840" s="6">
        <v>46113</v>
      </c>
    </row>
    <row r="841" spans="1:26" x14ac:dyDescent="0.3">
      <c r="A841" t="s">
        <v>946</v>
      </c>
      <c r="B841" s="5">
        <v>46184</v>
      </c>
      <c r="C841" s="5">
        <v>46185</v>
      </c>
      <c r="D841" s="5">
        <v>46186</v>
      </c>
      <c r="E841" s="5">
        <v>46186</v>
      </c>
      <c r="F841" t="s">
        <v>34</v>
      </c>
      <c r="G841" t="s">
        <v>61</v>
      </c>
      <c r="H841" t="s">
        <v>22</v>
      </c>
      <c r="I841" t="s">
        <v>43</v>
      </c>
      <c r="J841">
        <v>33.6</v>
      </c>
      <c r="K841">
        <v>3873</v>
      </c>
      <c r="L841">
        <v>2583000</v>
      </c>
      <c r="M841" t="b">
        <v>0</v>
      </c>
      <c r="N841" t="b">
        <v>0</v>
      </c>
      <c r="O841">
        <v>5000</v>
      </c>
      <c r="P841" t="b">
        <v>0</v>
      </c>
      <c r="Q841" t="b">
        <v>0</v>
      </c>
      <c r="R841" t="b">
        <v>0</v>
      </c>
      <c r="S841" t="s">
        <v>96</v>
      </c>
      <c r="T841" t="s">
        <v>1638</v>
      </c>
      <c r="U841">
        <v>77.459999999999994</v>
      </c>
      <c r="V841">
        <v>0</v>
      </c>
      <c r="W841">
        <v>0</v>
      </c>
      <c r="X841">
        <v>1</v>
      </c>
      <c r="Y841" s="6">
        <v>46174</v>
      </c>
    </row>
    <row r="842" spans="1:26" x14ac:dyDescent="0.3">
      <c r="A842" t="s">
        <v>947</v>
      </c>
      <c r="B842" s="5">
        <v>46045</v>
      </c>
      <c r="C842" s="5">
        <v>46046</v>
      </c>
      <c r="D842" s="5">
        <v>46047</v>
      </c>
      <c r="E842" s="5">
        <v>46049</v>
      </c>
      <c r="F842" t="s">
        <v>34</v>
      </c>
      <c r="G842" t="s">
        <v>55</v>
      </c>
      <c r="H842" t="s">
        <v>22</v>
      </c>
      <c r="I842" t="s">
        <v>43</v>
      </c>
      <c r="J842">
        <v>46.7</v>
      </c>
      <c r="K842">
        <v>4374.8</v>
      </c>
      <c r="L842">
        <v>3289000</v>
      </c>
      <c r="M842" t="b">
        <v>0</v>
      </c>
      <c r="N842" t="b">
        <v>0</v>
      </c>
      <c r="O842">
        <v>5000</v>
      </c>
      <c r="P842" t="b">
        <v>0</v>
      </c>
      <c r="Q842" t="b">
        <v>0</v>
      </c>
      <c r="R842" t="b">
        <v>0</v>
      </c>
      <c r="S842" t="s">
        <v>101</v>
      </c>
      <c r="T842" t="s">
        <v>1639</v>
      </c>
      <c r="U842">
        <v>87.496000000000009</v>
      </c>
      <c r="V842">
        <v>0</v>
      </c>
      <c r="W842">
        <v>0</v>
      </c>
      <c r="X842">
        <v>3</v>
      </c>
      <c r="Y842" s="6">
        <v>46023</v>
      </c>
      <c r="Z842">
        <v>2</v>
      </c>
    </row>
    <row r="843" spans="1:26" x14ac:dyDescent="0.3">
      <c r="A843" t="s">
        <v>948</v>
      </c>
      <c r="B843" s="5">
        <v>46144</v>
      </c>
      <c r="C843" s="5">
        <v>46144</v>
      </c>
      <c r="D843" s="5">
        <v>46147</v>
      </c>
      <c r="E843" s="5">
        <v>46147</v>
      </c>
      <c r="F843" t="s">
        <v>32</v>
      </c>
      <c r="G843" t="s">
        <v>62</v>
      </c>
      <c r="H843" t="s">
        <v>24</v>
      </c>
      <c r="I843" t="s">
        <v>42</v>
      </c>
      <c r="J843">
        <v>557.70000000000005</v>
      </c>
      <c r="K843">
        <v>12809.2</v>
      </c>
      <c r="L843">
        <v>14539000</v>
      </c>
      <c r="M843" t="b">
        <v>0</v>
      </c>
      <c r="N843" t="b">
        <v>0</v>
      </c>
      <c r="O843">
        <v>16000</v>
      </c>
      <c r="P843" t="b">
        <v>0</v>
      </c>
      <c r="Q843" t="b">
        <v>0</v>
      </c>
      <c r="R843" t="b">
        <v>0</v>
      </c>
      <c r="S843" t="s">
        <v>96</v>
      </c>
      <c r="T843" t="s">
        <v>1641</v>
      </c>
      <c r="U843">
        <v>80.057500000000005</v>
      </c>
      <c r="V843">
        <v>0</v>
      </c>
      <c r="W843">
        <v>0</v>
      </c>
      <c r="X843">
        <v>3</v>
      </c>
      <c r="Y843" s="6">
        <v>46143</v>
      </c>
    </row>
    <row r="844" spans="1:26" x14ac:dyDescent="0.3">
      <c r="A844" t="s">
        <v>949</v>
      </c>
      <c r="B844" s="5">
        <v>46123</v>
      </c>
      <c r="C844" s="5">
        <v>46124</v>
      </c>
      <c r="D844" s="5">
        <v>46126</v>
      </c>
      <c r="E844" s="5">
        <v>46126</v>
      </c>
      <c r="F844" t="s">
        <v>34</v>
      </c>
      <c r="G844" t="s">
        <v>58</v>
      </c>
      <c r="H844" t="s">
        <v>20</v>
      </c>
      <c r="I844" t="s">
        <v>43</v>
      </c>
      <c r="J844">
        <v>133.69999999999999</v>
      </c>
      <c r="K844">
        <v>2481.5</v>
      </c>
      <c r="L844">
        <v>3549000</v>
      </c>
      <c r="M844" t="b">
        <v>0</v>
      </c>
      <c r="N844" t="b">
        <v>0</v>
      </c>
      <c r="O844">
        <v>5000</v>
      </c>
      <c r="P844" t="b">
        <v>0</v>
      </c>
      <c r="Q844" t="b">
        <v>0</v>
      </c>
      <c r="R844" t="b">
        <v>0</v>
      </c>
      <c r="S844" t="s">
        <v>96</v>
      </c>
      <c r="T844" t="s">
        <v>1637</v>
      </c>
      <c r="U844">
        <v>49.63</v>
      </c>
      <c r="V844">
        <v>0</v>
      </c>
      <c r="W844">
        <v>0</v>
      </c>
      <c r="X844">
        <v>2</v>
      </c>
      <c r="Y844" s="6">
        <v>46113</v>
      </c>
    </row>
    <row r="845" spans="1:26" x14ac:dyDescent="0.3">
      <c r="A845" t="s">
        <v>950</v>
      </c>
      <c r="B845" s="5">
        <v>46203</v>
      </c>
      <c r="C845" s="5">
        <v>46204</v>
      </c>
      <c r="D845" s="5">
        <v>46209</v>
      </c>
      <c r="E845" s="5">
        <v>46209</v>
      </c>
      <c r="F845" t="s">
        <v>33</v>
      </c>
      <c r="G845" t="s">
        <v>58</v>
      </c>
      <c r="H845" t="s">
        <v>20</v>
      </c>
      <c r="I845" t="s">
        <v>42</v>
      </c>
      <c r="J845">
        <v>643.20000000000005</v>
      </c>
      <c r="K845">
        <v>8767.4</v>
      </c>
      <c r="L845">
        <v>15165000</v>
      </c>
      <c r="M845" t="b">
        <v>0</v>
      </c>
      <c r="N845" t="b">
        <v>0</v>
      </c>
      <c r="O845">
        <v>16000</v>
      </c>
      <c r="P845" t="b">
        <v>0</v>
      </c>
      <c r="Q845" t="b">
        <v>0</v>
      </c>
      <c r="R845" t="b">
        <v>0</v>
      </c>
      <c r="S845" t="s">
        <v>96</v>
      </c>
      <c r="T845" t="s">
        <v>1651</v>
      </c>
      <c r="U845">
        <v>54.796250000000001</v>
      </c>
      <c r="V845">
        <v>0</v>
      </c>
      <c r="W845">
        <v>0</v>
      </c>
      <c r="X845">
        <v>5</v>
      </c>
      <c r="Y845" s="6">
        <v>46204</v>
      </c>
    </row>
    <row r="846" spans="1:26" x14ac:dyDescent="0.3">
      <c r="A846" t="s">
        <v>951</v>
      </c>
      <c r="B846" s="5">
        <v>46147</v>
      </c>
      <c r="C846" s="5">
        <v>46148</v>
      </c>
      <c r="D846" s="5">
        <v>46152</v>
      </c>
      <c r="E846" s="5">
        <v>46152</v>
      </c>
      <c r="F846" t="s">
        <v>33</v>
      </c>
      <c r="G846" t="s">
        <v>58</v>
      </c>
      <c r="H846" t="s">
        <v>20</v>
      </c>
      <c r="I846" t="s">
        <v>43</v>
      </c>
      <c r="J846">
        <v>714</v>
      </c>
      <c r="K846">
        <v>1737.4</v>
      </c>
      <c r="L846">
        <v>9842000</v>
      </c>
      <c r="M846" t="b">
        <v>0</v>
      </c>
      <c r="N846" t="b">
        <v>0</v>
      </c>
      <c r="O846">
        <v>5000</v>
      </c>
      <c r="P846" t="b">
        <v>0</v>
      </c>
      <c r="Q846" t="b">
        <v>0</v>
      </c>
      <c r="R846" t="b">
        <v>0</v>
      </c>
      <c r="S846" t="s">
        <v>96</v>
      </c>
      <c r="T846" t="s">
        <v>1651</v>
      </c>
      <c r="U846">
        <v>34.747999999999998</v>
      </c>
      <c r="V846">
        <v>0</v>
      </c>
      <c r="W846">
        <v>0</v>
      </c>
      <c r="X846">
        <v>4</v>
      </c>
      <c r="Y846" s="6">
        <v>46143</v>
      </c>
    </row>
    <row r="847" spans="1:26" x14ac:dyDescent="0.3">
      <c r="A847" t="s">
        <v>952</v>
      </c>
      <c r="B847" s="5">
        <v>46129</v>
      </c>
      <c r="C847" s="5">
        <v>46128</v>
      </c>
      <c r="D847" s="5">
        <v>46134</v>
      </c>
      <c r="E847" s="5">
        <v>46136</v>
      </c>
      <c r="F847" t="s">
        <v>31</v>
      </c>
      <c r="G847" t="s">
        <v>60</v>
      </c>
      <c r="H847" t="s">
        <v>24</v>
      </c>
      <c r="I847" t="s">
        <v>44</v>
      </c>
      <c r="J847">
        <v>603.79999999999995</v>
      </c>
      <c r="K847">
        <v>162.6</v>
      </c>
      <c r="L847">
        <v>6082000</v>
      </c>
      <c r="M847" t="b">
        <v>1</v>
      </c>
      <c r="N847" t="b">
        <v>0</v>
      </c>
      <c r="O847">
        <v>1500</v>
      </c>
      <c r="P847" t="b">
        <v>0</v>
      </c>
      <c r="Q847" t="b">
        <v>0</v>
      </c>
      <c r="R847" t="b">
        <v>1</v>
      </c>
      <c r="S847" t="s">
        <v>260</v>
      </c>
      <c r="T847" t="s">
        <v>1652</v>
      </c>
      <c r="U847">
        <v>10.84</v>
      </c>
      <c r="V847">
        <v>0</v>
      </c>
      <c r="W847">
        <v>1</v>
      </c>
      <c r="Y847" s="6">
        <v>46113</v>
      </c>
    </row>
    <row r="848" spans="1:26" x14ac:dyDescent="0.3">
      <c r="A848" t="s">
        <v>953</v>
      </c>
      <c r="B848" s="5">
        <v>46054</v>
      </c>
      <c r="C848" s="5">
        <v>46055</v>
      </c>
      <c r="D848" s="5">
        <v>46058</v>
      </c>
      <c r="E848" s="5">
        <v>46058</v>
      </c>
      <c r="F848" t="s">
        <v>34</v>
      </c>
      <c r="G848" t="s">
        <v>53</v>
      </c>
      <c r="H848" t="s">
        <v>20</v>
      </c>
      <c r="I848" t="s">
        <v>42</v>
      </c>
      <c r="J848">
        <v>308.5</v>
      </c>
      <c r="K848">
        <v>5019</v>
      </c>
      <c r="L848">
        <v>6920000</v>
      </c>
      <c r="M848" t="b">
        <v>0</v>
      </c>
      <c r="N848" t="b">
        <v>0</v>
      </c>
      <c r="O848">
        <v>16000</v>
      </c>
      <c r="P848" t="b">
        <v>0</v>
      </c>
      <c r="Q848" t="b">
        <v>0</v>
      </c>
      <c r="R848" t="b">
        <v>0</v>
      </c>
      <c r="S848" t="s">
        <v>96</v>
      </c>
      <c r="T848" t="s">
        <v>1636</v>
      </c>
      <c r="U848">
        <v>31.368749999999999</v>
      </c>
      <c r="V848">
        <v>0</v>
      </c>
      <c r="W848">
        <v>0</v>
      </c>
      <c r="X848">
        <v>3</v>
      </c>
      <c r="Y848" s="6">
        <v>46054</v>
      </c>
    </row>
    <row r="849" spans="1:26" x14ac:dyDescent="0.3">
      <c r="A849" t="s">
        <v>954</v>
      </c>
      <c r="B849" s="5">
        <v>46084</v>
      </c>
      <c r="C849" s="5">
        <v>46085</v>
      </c>
      <c r="D849" s="5">
        <v>46088</v>
      </c>
      <c r="E849" s="5">
        <v>46089</v>
      </c>
      <c r="F849" t="s">
        <v>34</v>
      </c>
      <c r="G849" t="s">
        <v>53</v>
      </c>
      <c r="H849" t="s">
        <v>23</v>
      </c>
      <c r="I849" t="s">
        <v>42</v>
      </c>
      <c r="J849">
        <v>324.60000000000002</v>
      </c>
      <c r="K849">
        <v>14955.4</v>
      </c>
      <c r="L849">
        <v>10696000</v>
      </c>
      <c r="M849" t="b">
        <v>0</v>
      </c>
      <c r="N849" t="b">
        <v>0</v>
      </c>
      <c r="O849">
        <v>16000</v>
      </c>
      <c r="P849" t="b">
        <v>0</v>
      </c>
      <c r="Q849" t="b">
        <v>0</v>
      </c>
      <c r="R849" t="b">
        <v>0</v>
      </c>
      <c r="S849" t="s">
        <v>101</v>
      </c>
      <c r="T849" t="s">
        <v>1636</v>
      </c>
      <c r="U849">
        <v>93.471249999999998</v>
      </c>
      <c r="V849">
        <v>0</v>
      </c>
      <c r="W849">
        <v>0</v>
      </c>
      <c r="X849">
        <v>4</v>
      </c>
      <c r="Y849" s="6">
        <v>46082</v>
      </c>
      <c r="Z849">
        <v>1</v>
      </c>
    </row>
    <row r="850" spans="1:26" x14ac:dyDescent="0.3">
      <c r="A850" t="s">
        <v>955</v>
      </c>
      <c r="B850" s="5">
        <v>46097</v>
      </c>
      <c r="C850" s="5">
        <v>46098</v>
      </c>
      <c r="D850" s="5">
        <v>46100</v>
      </c>
      <c r="E850" s="5">
        <v>46099</v>
      </c>
      <c r="F850" t="s">
        <v>31</v>
      </c>
      <c r="G850" t="s">
        <v>63</v>
      </c>
      <c r="H850" t="s">
        <v>22</v>
      </c>
      <c r="I850" t="s">
        <v>42</v>
      </c>
      <c r="J850">
        <v>274.39999999999998</v>
      </c>
      <c r="K850">
        <v>14721.4</v>
      </c>
      <c r="L850">
        <v>10251000</v>
      </c>
      <c r="M850" t="b">
        <v>0</v>
      </c>
      <c r="N850" t="b">
        <v>0</v>
      </c>
      <c r="O850">
        <v>16000</v>
      </c>
      <c r="P850" t="b">
        <v>0</v>
      </c>
      <c r="Q850" t="b">
        <v>0</v>
      </c>
      <c r="R850" t="b">
        <v>0</v>
      </c>
      <c r="S850" t="s">
        <v>96</v>
      </c>
      <c r="T850" t="s">
        <v>1640</v>
      </c>
      <c r="U850">
        <v>92.008750000000006</v>
      </c>
      <c r="V850">
        <v>0</v>
      </c>
      <c r="W850">
        <v>0</v>
      </c>
      <c r="X850">
        <v>1</v>
      </c>
      <c r="Y850" s="6">
        <v>46082</v>
      </c>
    </row>
    <row r="851" spans="1:26" x14ac:dyDescent="0.3">
      <c r="A851" t="s">
        <v>956</v>
      </c>
      <c r="B851" s="5">
        <v>46050</v>
      </c>
      <c r="C851" s="5">
        <v>46051</v>
      </c>
      <c r="D851" s="5">
        <v>46055</v>
      </c>
      <c r="E851" s="5">
        <v>46057</v>
      </c>
      <c r="F851" t="s">
        <v>33</v>
      </c>
      <c r="G851" t="s">
        <v>54</v>
      </c>
      <c r="H851" t="s">
        <v>24</v>
      </c>
      <c r="I851" t="s">
        <v>44</v>
      </c>
      <c r="J851">
        <v>886.2</v>
      </c>
      <c r="K851">
        <v>1392.9</v>
      </c>
      <c r="L851">
        <v>9575000</v>
      </c>
      <c r="M851" t="b">
        <v>0</v>
      </c>
      <c r="N851" t="b">
        <v>0</v>
      </c>
      <c r="O851">
        <v>1500</v>
      </c>
      <c r="P851" t="b">
        <v>0</v>
      </c>
      <c r="Q851" t="b">
        <v>0</v>
      </c>
      <c r="R851" t="b">
        <v>0</v>
      </c>
      <c r="S851" t="s">
        <v>101</v>
      </c>
      <c r="T851" t="s">
        <v>1642</v>
      </c>
      <c r="U851">
        <v>92.86</v>
      </c>
      <c r="V851">
        <v>0</v>
      </c>
      <c r="W851">
        <v>0</v>
      </c>
      <c r="X851">
        <v>6</v>
      </c>
      <c r="Y851" s="6">
        <v>46023</v>
      </c>
      <c r="Z851">
        <v>2</v>
      </c>
    </row>
    <row r="852" spans="1:26" x14ac:dyDescent="0.3">
      <c r="A852" t="s">
        <v>957</v>
      </c>
      <c r="B852" s="5">
        <v>46194</v>
      </c>
      <c r="C852" s="5">
        <v>46195</v>
      </c>
      <c r="D852" s="5">
        <v>46196</v>
      </c>
      <c r="E852" s="5">
        <v>46196</v>
      </c>
      <c r="F852" t="s">
        <v>34</v>
      </c>
      <c r="G852" t="s">
        <v>61</v>
      </c>
      <c r="H852" t="s">
        <v>23</v>
      </c>
      <c r="I852" t="s">
        <v>43</v>
      </c>
      <c r="J852">
        <v>22.3</v>
      </c>
      <c r="K852">
        <v>2678.4</v>
      </c>
      <c r="L852">
        <v>1923000</v>
      </c>
      <c r="M852" t="b">
        <v>0</v>
      </c>
      <c r="N852" t="b">
        <v>0</v>
      </c>
      <c r="O852">
        <v>5000</v>
      </c>
      <c r="P852" t="b">
        <v>0</v>
      </c>
      <c r="Q852" t="b">
        <v>0</v>
      </c>
      <c r="R852" t="b">
        <v>0</v>
      </c>
      <c r="S852" t="s">
        <v>96</v>
      </c>
      <c r="T852" t="s">
        <v>1638</v>
      </c>
      <c r="U852">
        <v>53.567999999999998</v>
      </c>
      <c r="V852">
        <v>0</v>
      </c>
      <c r="W852">
        <v>0</v>
      </c>
      <c r="X852">
        <v>1</v>
      </c>
      <c r="Y852" s="6">
        <v>46174</v>
      </c>
    </row>
    <row r="853" spans="1:26" x14ac:dyDescent="0.3">
      <c r="A853" t="s">
        <v>958</v>
      </c>
      <c r="B853" s="5">
        <v>46073</v>
      </c>
      <c r="C853" s="5">
        <v>46073</v>
      </c>
      <c r="D853" s="5">
        <v>46075</v>
      </c>
      <c r="E853" s="5">
        <v>46075</v>
      </c>
      <c r="F853" t="s">
        <v>34</v>
      </c>
      <c r="G853" t="s">
        <v>55</v>
      </c>
      <c r="H853" t="s">
        <v>21</v>
      </c>
      <c r="I853" t="s">
        <v>45</v>
      </c>
      <c r="J853">
        <v>52.6</v>
      </c>
      <c r="K853">
        <v>803.3</v>
      </c>
      <c r="L853">
        <v>1343000</v>
      </c>
      <c r="M853" t="b">
        <v>0</v>
      </c>
      <c r="N853" t="b">
        <v>0</v>
      </c>
      <c r="O853">
        <v>1000</v>
      </c>
      <c r="P853" t="b">
        <v>0</v>
      </c>
      <c r="Q853" t="b">
        <v>0</v>
      </c>
      <c r="R853" t="b">
        <v>0</v>
      </c>
      <c r="S853" t="s">
        <v>96</v>
      </c>
      <c r="T853" t="s">
        <v>1639</v>
      </c>
      <c r="U853">
        <v>80.329999999999984</v>
      </c>
      <c r="V853">
        <v>0</v>
      </c>
      <c r="W853">
        <v>0</v>
      </c>
      <c r="X853">
        <v>2</v>
      </c>
      <c r="Y853" s="6">
        <v>46054</v>
      </c>
    </row>
    <row r="854" spans="1:26" x14ac:dyDescent="0.3">
      <c r="A854" t="s">
        <v>959</v>
      </c>
      <c r="B854" s="5">
        <v>46079</v>
      </c>
      <c r="C854" s="5">
        <v>46080</v>
      </c>
      <c r="D854" s="5">
        <v>46082</v>
      </c>
      <c r="E854" s="5">
        <v>46082</v>
      </c>
      <c r="F854" t="s">
        <v>34</v>
      </c>
      <c r="G854" t="s">
        <v>52</v>
      </c>
      <c r="H854" t="s">
        <v>21</v>
      </c>
      <c r="I854" t="s">
        <v>45</v>
      </c>
      <c r="J854">
        <v>296.5</v>
      </c>
      <c r="K854">
        <v>874.3</v>
      </c>
      <c r="L854">
        <v>3124000</v>
      </c>
      <c r="M854" t="b">
        <v>0</v>
      </c>
      <c r="N854" t="b">
        <v>0</v>
      </c>
      <c r="O854">
        <v>1000</v>
      </c>
      <c r="P854" t="b">
        <v>0</v>
      </c>
      <c r="Q854" t="b">
        <v>0</v>
      </c>
      <c r="R854" t="b">
        <v>0</v>
      </c>
      <c r="S854" t="s">
        <v>96</v>
      </c>
      <c r="T854" t="s">
        <v>1623</v>
      </c>
      <c r="U854">
        <v>87.429999999999993</v>
      </c>
      <c r="V854">
        <v>0</v>
      </c>
      <c r="W854">
        <v>0</v>
      </c>
      <c r="X854">
        <v>2</v>
      </c>
      <c r="Y854" s="6">
        <v>46054</v>
      </c>
    </row>
    <row r="855" spans="1:26" x14ac:dyDescent="0.3">
      <c r="A855" t="s">
        <v>960</v>
      </c>
      <c r="B855" s="5">
        <v>46157</v>
      </c>
      <c r="C855" s="5">
        <v>46157</v>
      </c>
      <c r="D855" s="5">
        <v>46158</v>
      </c>
      <c r="E855" s="5">
        <v>46158</v>
      </c>
      <c r="F855" t="s">
        <v>32</v>
      </c>
      <c r="G855" t="s">
        <v>57</v>
      </c>
      <c r="H855" t="s">
        <v>20</v>
      </c>
      <c r="I855" t="s">
        <v>43</v>
      </c>
      <c r="J855">
        <v>13.5</v>
      </c>
      <c r="K855">
        <v>3828.1</v>
      </c>
      <c r="L855">
        <v>2589000</v>
      </c>
      <c r="M855" t="b">
        <v>0</v>
      </c>
      <c r="N855" t="b">
        <v>0</v>
      </c>
      <c r="O855">
        <v>5000</v>
      </c>
      <c r="P855" t="b">
        <v>0</v>
      </c>
      <c r="Q855" t="b">
        <v>0</v>
      </c>
      <c r="R855" t="b">
        <v>0</v>
      </c>
      <c r="S855" t="s">
        <v>96</v>
      </c>
      <c r="T855" t="s">
        <v>1630</v>
      </c>
      <c r="U855">
        <v>76.561999999999998</v>
      </c>
      <c r="V855">
        <v>0</v>
      </c>
      <c r="W855">
        <v>0</v>
      </c>
      <c r="X855">
        <v>1</v>
      </c>
      <c r="Y855" s="6">
        <v>46143</v>
      </c>
    </row>
    <row r="856" spans="1:26" x14ac:dyDescent="0.3">
      <c r="A856" t="s">
        <v>961</v>
      </c>
      <c r="B856" s="5">
        <v>46114</v>
      </c>
      <c r="C856" s="5">
        <v>46115</v>
      </c>
      <c r="D856" s="5">
        <v>46117</v>
      </c>
      <c r="E856" s="5">
        <v>46117</v>
      </c>
      <c r="F856" t="s">
        <v>34</v>
      </c>
      <c r="G856" t="s">
        <v>57</v>
      </c>
      <c r="H856" t="s">
        <v>20</v>
      </c>
      <c r="I856" t="s">
        <v>42</v>
      </c>
      <c r="J856">
        <v>169.2</v>
      </c>
      <c r="K856">
        <v>3688.2</v>
      </c>
      <c r="L856">
        <v>4789000</v>
      </c>
      <c r="M856" t="b">
        <v>0</v>
      </c>
      <c r="N856" t="b">
        <v>0</v>
      </c>
      <c r="O856">
        <v>16000</v>
      </c>
      <c r="P856" t="b">
        <v>0</v>
      </c>
      <c r="Q856" t="b">
        <v>0</v>
      </c>
      <c r="R856" t="b">
        <v>0</v>
      </c>
      <c r="S856" t="s">
        <v>96</v>
      </c>
      <c r="T856" t="s">
        <v>1620</v>
      </c>
      <c r="U856">
        <v>23.05125</v>
      </c>
      <c r="V856">
        <v>0</v>
      </c>
      <c r="W856">
        <v>0</v>
      </c>
      <c r="X856">
        <v>2</v>
      </c>
      <c r="Y856" s="6">
        <v>46113</v>
      </c>
    </row>
    <row r="857" spans="1:26" x14ac:dyDescent="0.3">
      <c r="A857" t="s">
        <v>962</v>
      </c>
      <c r="B857" s="5">
        <v>46038</v>
      </c>
      <c r="C857" s="5">
        <v>46040</v>
      </c>
      <c r="D857" s="5">
        <v>46044</v>
      </c>
      <c r="E857" s="5">
        <v>46043</v>
      </c>
      <c r="F857" t="s">
        <v>34</v>
      </c>
      <c r="G857" t="s">
        <v>56</v>
      </c>
      <c r="H857" t="s">
        <v>21</v>
      </c>
      <c r="I857" t="s">
        <v>42</v>
      </c>
      <c r="J857">
        <v>908</v>
      </c>
      <c r="K857">
        <v>9164.9</v>
      </c>
      <c r="L857">
        <v>20090000</v>
      </c>
      <c r="M857" t="b">
        <v>0</v>
      </c>
      <c r="N857" t="b">
        <v>0</v>
      </c>
      <c r="O857">
        <v>16000</v>
      </c>
      <c r="P857" t="b">
        <v>0</v>
      </c>
      <c r="Q857" t="b">
        <v>0</v>
      </c>
      <c r="R857" t="b">
        <v>0</v>
      </c>
      <c r="S857" t="s">
        <v>96</v>
      </c>
      <c r="T857" t="s">
        <v>1646</v>
      </c>
      <c r="U857">
        <v>57.280624999999993</v>
      </c>
      <c r="V857">
        <v>0</v>
      </c>
      <c r="W857">
        <v>0</v>
      </c>
      <c r="X857">
        <v>3</v>
      </c>
      <c r="Y857" s="6">
        <v>46023</v>
      </c>
    </row>
    <row r="858" spans="1:26" x14ac:dyDescent="0.3">
      <c r="A858" t="s">
        <v>963</v>
      </c>
      <c r="B858" s="5">
        <v>46145</v>
      </c>
      <c r="C858" s="5">
        <v>46146</v>
      </c>
      <c r="D858" s="5">
        <v>46148</v>
      </c>
      <c r="E858" s="5">
        <v>46148</v>
      </c>
      <c r="F858" t="s">
        <v>31</v>
      </c>
      <c r="G858" t="s">
        <v>57</v>
      </c>
      <c r="H858" t="s">
        <v>24</v>
      </c>
      <c r="I858" t="s">
        <v>43</v>
      </c>
      <c r="J858">
        <v>128.9</v>
      </c>
      <c r="K858">
        <v>3907.1</v>
      </c>
      <c r="L858">
        <v>3582000</v>
      </c>
      <c r="M858" t="b">
        <v>0</v>
      </c>
      <c r="N858" t="b">
        <v>0</v>
      </c>
      <c r="O858">
        <v>5000</v>
      </c>
      <c r="P858" t="b">
        <v>0</v>
      </c>
      <c r="Q858" t="b">
        <v>0</v>
      </c>
      <c r="R858" t="b">
        <v>0</v>
      </c>
      <c r="S858" t="s">
        <v>96</v>
      </c>
      <c r="T858" t="s">
        <v>1617</v>
      </c>
      <c r="U858">
        <v>78.141999999999996</v>
      </c>
      <c r="V858">
        <v>0</v>
      </c>
      <c r="W858">
        <v>0</v>
      </c>
      <c r="X858">
        <v>2</v>
      </c>
      <c r="Y858" s="6">
        <v>46143</v>
      </c>
    </row>
    <row r="859" spans="1:26" x14ac:dyDescent="0.3">
      <c r="A859" t="s">
        <v>964</v>
      </c>
      <c r="B859" s="5">
        <v>46199</v>
      </c>
      <c r="C859" s="5">
        <v>46200</v>
      </c>
      <c r="D859" s="5">
        <v>46205</v>
      </c>
      <c r="E859" s="5">
        <v>46206</v>
      </c>
      <c r="F859" t="s">
        <v>33</v>
      </c>
      <c r="G859" t="s">
        <v>56</v>
      </c>
      <c r="H859" t="s">
        <v>23</v>
      </c>
      <c r="I859" t="s">
        <v>44</v>
      </c>
      <c r="J859">
        <v>1599.1</v>
      </c>
      <c r="K859">
        <v>655.6</v>
      </c>
      <c r="L859">
        <v>15775000</v>
      </c>
      <c r="M859" t="b">
        <v>0</v>
      </c>
      <c r="N859" t="b">
        <v>0</v>
      </c>
      <c r="O859">
        <v>1500</v>
      </c>
      <c r="P859" t="b">
        <v>0</v>
      </c>
      <c r="Q859" t="b">
        <v>0</v>
      </c>
      <c r="R859" t="b">
        <v>0</v>
      </c>
      <c r="S859" t="s">
        <v>101</v>
      </c>
      <c r="T859" t="s">
        <v>1654</v>
      </c>
      <c r="U859">
        <v>43.706666666666663</v>
      </c>
      <c r="V859">
        <v>0</v>
      </c>
      <c r="W859">
        <v>0</v>
      </c>
      <c r="X859">
        <v>6</v>
      </c>
      <c r="Y859" s="6">
        <v>46174</v>
      </c>
      <c r="Z859">
        <v>1</v>
      </c>
    </row>
    <row r="860" spans="1:26" x14ac:dyDescent="0.3">
      <c r="A860" t="s">
        <v>965</v>
      </c>
      <c r="B860" s="5">
        <v>46052</v>
      </c>
      <c r="C860" s="5">
        <v>46053</v>
      </c>
      <c r="D860" s="5">
        <v>46056</v>
      </c>
      <c r="E860" s="5">
        <v>46058</v>
      </c>
      <c r="F860" t="s">
        <v>34</v>
      </c>
      <c r="G860" t="s">
        <v>59</v>
      </c>
      <c r="H860" t="s">
        <v>22</v>
      </c>
      <c r="I860" t="s">
        <v>45</v>
      </c>
      <c r="J860">
        <v>320.10000000000002</v>
      </c>
      <c r="K860">
        <v>221.1</v>
      </c>
      <c r="L860">
        <v>3342000</v>
      </c>
      <c r="M860" t="b">
        <v>0</v>
      </c>
      <c r="N860" t="b">
        <v>0</v>
      </c>
      <c r="O860">
        <v>1000</v>
      </c>
      <c r="P860" t="b">
        <v>0</v>
      </c>
      <c r="Q860" t="b">
        <v>0</v>
      </c>
      <c r="R860" t="b">
        <v>0</v>
      </c>
      <c r="S860" t="s">
        <v>101</v>
      </c>
      <c r="T860" t="s">
        <v>1616</v>
      </c>
      <c r="U860">
        <v>22.11</v>
      </c>
      <c r="V860">
        <v>0</v>
      </c>
      <c r="W860">
        <v>0</v>
      </c>
      <c r="X860">
        <v>5</v>
      </c>
      <c r="Y860" s="6">
        <v>46023</v>
      </c>
      <c r="Z860">
        <v>2</v>
      </c>
    </row>
    <row r="861" spans="1:26" x14ac:dyDescent="0.3">
      <c r="A861" t="s">
        <v>966</v>
      </c>
      <c r="B861" s="5">
        <v>46109</v>
      </c>
      <c r="C861" s="5">
        <v>46110</v>
      </c>
      <c r="D861" s="5">
        <v>46112</v>
      </c>
      <c r="E861" s="5">
        <v>46112</v>
      </c>
      <c r="F861" t="s">
        <v>31</v>
      </c>
      <c r="G861" t="s">
        <v>57</v>
      </c>
      <c r="H861" t="s">
        <v>22</v>
      </c>
      <c r="I861" t="s">
        <v>43</v>
      </c>
      <c r="J861">
        <v>139</v>
      </c>
      <c r="K861">
        <v>3321.8</v>
      </c>
      <c r="L861">
        <v>2770000</v>
      </c>
      <c r="M861" t="b">
        <v>0</v>
      </c>
      <c r="N861" t="b">
        <v>0</v>
      </c>
      <c r="O861">
        <v>5000</v>
      </c>
      <c r="P861" t="b">
        <v>0</v>
      </c>
      <c r="Q861" t="b">
        <v>0</v>
      </c>
      <c r="R861" t="b">
        <v>0</v>
      </c>
      <c r="S861" t="s">
        <v>96</v>
      </c>
      <c r="T861" t="s">
        <v>1617</v>
      </c>
      <c r="U861">
        <v>66.436000000000007</v>
      </c>
      <c r="V861">
        <v>0</v>
      </c>
      <c r="W861">
        <v>0</v>
      </c>
      <c r="X861">
        <v>2</v>
      </c>
      <c r="Y861" s="6">
        <v>46082</v>
      </c>
    </row>
    <row r="862" spans="1:26" x14ac:dyDescent="0.3">
      <c r="A862" t="s">
        <v>967</v>
      </c>
      <c r="B862" s="5">
        <v>46169</v>
      </c>
      <c r="C862" s="5">
        <v>46171</v>
      </c>
      <c r="D862" s="5">
        <v>46175</v>
      </c>
      <c r="E862" s="5">
        <v>46175</v>
      </c>
      <c r="F862" t="s">
        <v>31</v>
      </c>
      <c r="G862" t="s">
        <v>62</v>
      </c>
      <c r="H862" t="s">
        <v>20</v>
      </c>
      <c r="I862" t="s">
        <v>44</v>
      </c>
      <c r="J862">
        <v>692.5</v>
      </c>
      <c r="K862">
        <v>1076.5999999999999</v>
      </c>
      <c r="L862">
        <v>7636000</v>
      </c>
      <c r="M862" t="b">
        <v>0</v>
      </c>
      <c r="N862" t="b">
        <v>0</v>
      </c>
      <c r="O862">
        <v>1500</v>
      </c>
      <c r="P862" t="b">
        <v>0</v>
      </c>
      <c r="Q862" t="b">
        <v>0</v>
      </c>
      <c r="R862" t="b">
        <v>0</v>
      </c>
      <c r="S862" t="s">
        <v>96</v>
      </c>
      <c r="T862" t="s">
        <v>1615</v>
      </c>
      <c r="U862">
        <v>71.773333333333326</v>
      </c>
      <c r="V862">
        <v>0</v>
      </c>
      <c r="W862">
        <v>0</v>
      </c>
      <c r="X862">
        <v>4</v>
      </c>
      <c r="Y862" s="6">
        <v>46143</v>
      </c>
    </row>
    <row r="863" spans="1:26" x14ac:dyDescent="0.3">
      <c r="A863" t="s">
        <v>968</v>
      </c>
      <c r="B863" s="5">
        <v>46186</v>
      </c>
      <c r="C863" s="5">
        <v>46187</v>
      </c>
      <c r="D863" s="5">
        <v>46190</v>
      </c>
      <c r="E863" s="5">
        <v>46190</v>
      </c>
      <c r="F863" t="s">
        <v>33</v>
      </c>
      <c r="G863" t="s">
        <v>53</v>
      </c>
      <c r="H863" t="s">
        <v>20</v>
      </c>
      <c r="I863" t="s">
        <v>42</v>
      </c>
      <c r="J863">
        <v>534.29999999999995</v>
      </c>
      <c r="K863">
        <v>5317.3</v>
      </c>
      <c r="L863">
        <v>11756000</v>
      </c>
      <c r="M863" t="b">
        <v>0</v>
      </c>
      <c r="N863" t="b">
        <v>0</v>
      </c>
      <c r="O863">
        <v>16000</v>
      </c>
      <c r="P863" t="b">
        <v>0</v>
      </c>
      <c r="Q863" t="b">
        <v>0</v>
      </c>
      <c r="R863" t="b">
        <v>0</v>
      </c>
      <c r="S863" t="s">
        <v>96</v>
      </c>
      <c r="T863" t="s">
        <v>1632</v>
      </c>
      <c r="U863">
        <v>33.233125000000001</v>
      </c>
      <c r="V863">
        <v>0</v>
      </c>
      <c r="W863">
        <v>0</v>
      </c>
      <c r="X863">
        <v>3</v>
      </c>
      <c r="Y863" s="6">
        <v>46174</v>
      </c>
    </row>
    <row r="864" spans="1:26" x14ac:dyDescent="0.3">
      <c r="A864" t="s">
        <v>969</v>
      </c>
      <c r="B864" s="5">
        <v>46121</v>
      </c>
      <c r="C864" s="5">
        <v>46122</v>
      </c>
      <c r="D864" s="5">
        <v>46124</v>
      </c>
      <c r="E864" s="5">
        <v>46126</v>
      </c>
      <c r="F864" t="s">
        <v>34</v>
      </c>
      <c r="G864" t="s">
        <v>52</v>
      </c>
      <c r="H864" t="s">
        <v>20</v>
      </c>
      <c r="I864" t="s">
        <v>45</v>
      </c>
      <c r="J864">
        <v>282.60000000000002</v>
      </c>
      <c r="K864">
        <v>751.2</v>
      </c>
      <c r="L864">
        <v>3086000</v>
      </c>
      <c r="M864" t="b">
        <v>0</v>
      </c>
      <c r="N864" t="b">
        <v>0</v>
      </c>
      <c r="O864">
        <v>1000</v>
      </c>
      <c r="P864" t="b">
        <v>0</v>
      </c>
      <c r="Q864" t="b">
        <v>0</v>
      </c>
      <c r="R864" t="b">
        <v>0</v>
      </c>
      <c r="S864" t="s">
        <v>101</v>
      </c>
      <c r="T864" t="s">
        <v>1623</v>
      </c>
      <c r="U864">
        <v>75.12</v>
      </c>
      <c r="V864">
        <v>0</v>
      </c>
      <c r="W864">
        <v>0</v>
      </c>
      <c r="X864">
        <v>4</v>
      </c>
      <c r="Y864" s="6">
        <v>46113</v>
      </c>
      <c r="Z864">
        <v>2</v>
      </c>
    </row>
    <row r="865" spans="1:26" x14ac:dyDescent="0.3">
      <c r="A865" t="s">
        <v>970</v>
      </c>
      <c r="B865" s="5">
        <v>46179</v>
      </c>
      <c r="C865" s="5">
        <v>46179</v>
      </c>
      <c r="D865" s="5">
        <v>46181</v>
      </c>
      <c r="E865" s="5">
        <v>46181</v>
      </c>
      <c r="F865" t="s">
        <v>31</v>
      </c>
      <c r="G865" t="s">
        <v>57</v>
      </c>
      <c r="H865" t="s">
        <v>107</v>
      </c>
      <c r="I865" t="s">
        <v>42</v>
      </c>
      <c r="J865">
        <v>126.7</v>
      </c>
      <c r="K865">
        <v>14376.8</v>
      </c>
      <c r="L865">
        <v>7135000</v>
      </c>
      <c r="M865" t="b">
        <v>0</v>
      </c>
      <c r="N865" t="b">
        <v>0</v>
      </c>
      <c r="O865">
        <v>16000</v>
      </c>
      <c r="P865" t="b">
        <v>0</v>
      </c>
      <c r="Q865" t="b">
        <v>0</v>
      </c>
      <c r="R865" t="b">
        <v>0</v>
      </c>
      <c r="S865" t="s">
        <v>96</v>
      </c>
      <c r="T865" t="s">
        <v>1617</v>
      </c>
      <c r="U865">
        <v>89.85499999999999</v>
      </c>
      <c r="V865">
        <v>0</v>
      </c>
      <c r="W865">
        <v>0</v>
      </c>
      <c r="X865">
        <v>2</v>
      </c>
      <c r="Y865" s="6">
        <v>46174</v>
      </c>
    </row>
    <row r="866" spans="1:26" x14ac:dyDescent="0.3">
      <c r="A866" t="s">
        <v>971</v>
      </c>
      <c r="B866" s="5">
        <v>46041</v>
      </c>
      <c r="C866" s="5">
        <v>46042</v>
      </c>
      <c r="D866" s="5">
        <v>46045</v>
      </c>
      <c r="E866" s="5">
        <v>46046</v>
      </c>
      <c r="F866" t="s">
        <v>31</v>
      </c>
      <c r="G866" t="s">
        <v>53</v>
      </c>
      <c r="H866" t="s">
        <v>22</v>
      </c>
      <c r="I866" t="s">
        <v>44</v>
      </c>
      <c r="J866">
        <v>335.6</v>
      </c>
      <c r="K866">
        <v>680</v>
      </c>
      <c r="L866">
        <v>4035000</v>
      </c>
      <c r="M866" t="b">
        <v>0</v>
      </c>
      <c r="N866" t="b">
        <v>0</v>
      </c>
      <c r="O866">
        <v>1500</v>
      </c>
      <c r="P866" t="b">
        <v>0</v>
      </c>
      <c r="Q866" t="b">
        <v>0</v>
      </c>
      <c r="R866" t="b">
        <v>0</v>
      </c>
      <c r="S866" t="s">
        <v>101</v>
      </c>
      <c r="T866" t="s">
        <v>1627</v>
      </c>
      <c r="U866">
        <v>45.333333333333329</v>
      </c>
      <c r="V866">
        <v>0</v>
      </c>
      <c r="W866">
        <v>0</v>
      </c>
      <c r="X866">
        <v>4</v>
      </c>
      <c r="Y866" s="6">
        <v>46023</v>
      </c>
      <c r="Z866">
        <v>1</v>
      </c>
    </row>
    <row r="867" spans="1:26" x14ac:dyDescent="0.3">
      <c r="A867" t="s">
        <v>972</v>
      </c>
      <c r="B867" s="5">
        <v>46165</v>
      </c>
      <c r="C867" s="5">
        <v>46166</v>
      </c>
      <c r="D867" s="5">
        <v>46170</v>
      </c>
      <c r="E867" s="5">
        <v>46170</v>
      </c>
      <c r="F867" t="s">
        <v>32</v>
      </c>
      <c r="G867" t="s">
        <v>62</v>
      </c>
      <c r="H867" t="s">
        <v>23</v>
      </c>
      <c r="I867" t="s">
        <v>43</v>
      </c>
      <c r="J867">
        <v>632.70000000000005</v>
      </c>
      <c r="K867">
        <v>3928</v>
      </c>
      <c r="L867">
        <v>9963000</v>
      </c>
      <c r="M867" t="b">
        <v>0</v>
      </c>
      <c r="N867" t="b">
        <v>0</v>
      </c>
      <c r="O867">
        <v>5000</v>
      </c>
      <c r="P867" t="b">
        <v>0</v>
      </c>
      <c r="Q867" t="b">
        <v>0</v>
      </c>
      <c r="R867" t="b">
        <v>0</v>
      </c>
      <c r="S867" t="s">
        <v>96</v>
      </c>
      <c r="T867" t="s">
        <v>1641</v>
      </c>
      <c r="U867">
        <v>78.56</v>
      </c>
      <c r="V867">
        <v>0</v>
      </c>
      <c r="W867">
        <v>0</v>
      </c>
      <c r="X867">
        <v>4</v>
      </c>
      <c r="Y867" s="6">
        <v>46143</v>
      </c>
    </row>
    <row r="868" spans="1:26" x14ac:dyDescent="0.3">
      <c r="A868" t="s">
        <v>973</v>
      </c>
      <c r="B868" s="5">
        <v>46144</v>
      </c>
      <c r="C868" s="5">
        <v>46145</v>
      </c>
      <c r="D868" s="5">
        <v>46148</v>
      </c>
      <c r="E868" s="5">
        <v>46149</v>
      </c>
      <c r="F868" t="s">
        <v>34</v>
      </c>
      <c r="G868" t="s">
        <v>63</v>
      </c>
      <c r="H868" t="s">
        <v>23</v>
      </c>
      <c r="I868" t="s">
        <v>43</v>
      </c>
      <c r="J868">
        <v>322.2</v>
      </c>
      <c r="K868">
        <v>4351.2</v>
      </c>
      <c r="L868">
        <v>5724000</v>
      </c>
      <c r="M868" t="b">
        <v>0</v>
      </c>
      <c r="N868" t="b">
        <v>0</v>
      </c>
      <c r="O868">
        <v>5000</v>
      </c>
      <c r="P868" t="b">
        <v>0</v>
      </c>
      <c r="Q868" t="b">
        <v>0</v>
      </c>
      <c r="R868" t="b">
        <v>0</v>
      </c>
      <c r="S868" t="s">
        <v>101</v>
      </c>
      <c r="T868" t="s">
        <v>1613</v>
      </c>
      <c r="U868">
        <v>87.024000000000001</v>
      </c>
      <c r="V868">
        <v>0</v>
      </c>
      <c r="W868">
        <v>0</v>
      </c>
      <c r="X868">
        <v>4</v>
      </c>
      <c r="Y868" s="6">
        <v>46143</v>
      </c>
      <c r="Z868">
        <v>1</v>
      </c>
    </row>
    <row r="869" spans="1:26" x14ac:dyDescent="0.3">
      <c r="A869" t="s">
        <v>974</v>
      </c>
      <c r="B869" s="5">
        <v>46171</v>
      </c>
      <c r="C869" s="5">
        <v>46173</v>
      </c>
      <c r="D869" s="5">
        <v>46177</v>
      </c>
      <c r="E869" s="5">
        <v>46179</v>
      </c>
      <c r="F869" t="s">
        <v>31</v>
      </c>
      <c r="G869" t="s">
        <v>62</v>
      </c>
      <c r="H869" t="s">
        <v>22</v>
      </c>
      <c r="I869" t="s">
        <v>45</v>
      </c>
      <c r="J869">
        <v>627.79999999999995</v>
      </c>
      <c r="K869">
        <v>765.6</v>
      </c>
      <c r="L869">
        <v>5829000</v>
      </c>
      <c r="M869" t="b">
        <v>0</v>
      </c>
      <c r="N869" t="b">
        <v>0</v>
      </c>
      <c r="O869">
        <v>1000</v>
      </c>
      <c r="P869" t="b">
        <v>0</v>
      </c>
      <c r="Q869" t="b">
        <v>0</v>
      </c>
      <c r="R869" t="b">
        <v>0</v>
      </c>
      <c r="S869" t="s">
        <v>101</v>
      </c>
      <c r="T869" t="s">
        <v>1615</v>
      </c>
      <c r="U869">
        <v>76.56</v>
      </c>
      <c r="V869">
        <v>0</v>
      </c>
      <c r="W869">
        <v>0</v>
      </c>
      <c r="X869">
        <v>6</v>
      </c>
      <c r="Y869" s="6">
        <v>46143</v>
      </c>
      <c r="Z869">
        <v>2</v>
      </c>
    </row>
    <row r="870" spans="1:26" x14ac:dyDescent="0.3">
      <c r="A870" t="s">
        <v>975</v>
      </c>
      <c r="B870" s="5">
        <v>46163</v>
      </c>
      <c r="C870" s="5">
        <v>46164</v>
      </c>
      <c r="D870" s="5">
        <v>46166</v>
      </c>
      <c r="E870" s="5">
        <v>46168</v>
      </c>
      <c r="F870" t="s">
        <v>34</v>
      </c>
      <c r="G870" t="s">
        <v>58</v>
      </c>
      <c r="H870" t="s">
        <v>22</v>
      </c>
      <c r="I870" t="s">
        <v>43</v>
      </c>
      <c r="J870">
        <v>149.5</v>
      </c>
      <c r="K870">
        <v>1555.9</v>
      </c>
      <c r="L870">
        <v>3373000</v>
      </c>
      <c r="M870" t="b">
        <v>0</v>
      </c>
      <c r="N870" t="b">
        <v>0</v>
      </c>
      <c r="O870">
        <v>5000</v>
      </c>
      <c r="P870" t="b">
        <v>0</v>
      </c>
      <c r="Q870" t="b">
        <v>0</v>
      </c>
      <c r="R870" t="b">
        <v>0</v>
      </c>
      <c r="S870" t="s">
        <v>101</v>
      </c>
      <c r="T870" t="s">
        <v>1637</v>
      </c>
      <c r="U870">
        <v>31.117999999999999</v>
      </c>
      <c r="V870">
        <v>0</v>
      </c>
      <c r="W870">
        <v>0</v>
      </c>
      <c r="X870">
        <v>4</v>
      </c>
      <c r="Y870" s="6">
        <v>46143</v>
      </c>
      <c r="Z870">
        <v>2</v>
      </c>
    </row>
    <row r="871" spans="1:26" x14ac:dyDescent="0.3">
      <c r="A871" t="s">
        <v>976</v>
      </c>
      <c r="B871" s="5">
        <v>46183</v>
      </c>
      <c r="C871" s="5">
        <v>46183</v>
      </c>
      <c r="D871" s="5">
        <v>46186</v>
      </c>
      <c r="E871" s="5">
        <v>46186</v>
      </c>
      <c r="F871" t="s">
        <v>34</v>
      </c>
      <c r="G871" t="s">
        <v>63</v>
      </c>
      <c r="H871" t="s">
        <v>22</v>
      </c>
      <c r="I871" t="s">
        <v>43</v>
      </c>
      <c r="J871">
        <v>315.7</v>
      </c>
      <c r="K871">
        <v>4067</v>
      </c>
      <c r="L871">
        <v>6095000</v>
      </c>
      <c r="M871" t="b">
        <v>0</v>
      </c>
      <c r="N871" t="b">
        <v>0</v>
      </c>
      <c r="O871">
        <v>5000</v>
      </c>
      <c r="P871" t="b">
        <v>0</v>
      </c>
      <c r="Q871" t="b">
        <v>0</v>
      </c>
      <c r="R871" t="b">
        <v>0</v>
      </c>
      <c r="S871" t="s">
        <v>96</v>
      </c>
      <c r="T871" t="s">
        <v>1613</v>
      </c>
      <c r="U871">
        <v>81.34</v>
      </c>
      <c r="V871">
        <v>0</v>
      </c>
      <c r="W871">
        <v>0</v>
      </c>
      <c r="X871">
        <v>3</v>
      </c>
      <c r="Y871" s="6">
        <v>46174</v>
      </c>
    </row>
    <row r="872" spans="1:26" x14ac:dyDescent="0.3">
      <c r="A872" t="s">
        <v>977</v>
      </c>
      <c r="B872" s="5">
        <v>46198</v>
      </c>
      <c r="C872" s="5">
        <v>46200</v>
      </c>
      <c r="D872" s="5">
        <v>46203</v>
      </c>
      <c r="E872" s="5">
        <v>46204</v>
      </c>
      <c r="F872" t="s">
        <v>33</v>
      </c>
      <c r="G872" t="s">
        <v>52</v>
      </c>
      <c r="H872" t="s">
        <v>20</v>
      </c>
      <c r="I872" t="s">
        <v>42</v>
      </c>
      <c r="J872">
        <v>585.1</v>
      </c>
      <c r="K872">
        <v>11128.6</v>
      </c>
      <c r="L872">
        <v>16716000</v>
      </c>
      <c r="M872" t="b">
        <v>0</v>
      </c>
      <c r="N872" t="b">
        <v>0</v>
      </c>
      <c r="O872">
        <v>16000</v>
      </c>
      <c r="P872" t="b">
        <v>0</v>
      </c>
      <c r="Q872" t="b">
        <v>0</v>
      </c>
      <c r="R872" t="b">
        <v>0</v>
      </c>
      <c r="S872" t="s">
        <v>101</v>
      </c>
      <c r="T872" t="s">
        <v>1622</v>
      </c>
      <c r="U872">
        <v>69.553750000000008</v>
      </c>
      <c r="V872">
        <v>0</v>
      </c>
      <c r="W872">
        <v>0</v>
      </c>
      <c r="X872">
        <v>4</v>
      </c>
      <c r="Y872" s="6">
        <v>46174</v>
      </c>
      <c r="Z872">
        <v>1</v>
      </c>
    </row>
    <row r="873" spans="1:26" x14ac:dyDescent="0.3">
      <c r="A873" t="s">
        <v>978</v>
      </c>
      <c r="B873" s="5">
        <v>46134</v>
      </c>
      <c r="C873" s="5">
        <v>46135</v>
      </c>
      <c r="D873" s="5">
        <v>46138</v>
      </c>
      <c r="E873" s="5">
        <v>46138</v>
      </c>
      <c r="F873" t="s">
        <v>32</v>
      </c>
      <c r="G873" t="s">
        <v>58</v>
      </c>
      <c r="H873" t="s">
        <v>23</v>
      </c>
      <c r="I873" t="s">
        <v>43</v>
      </c>
      <c r="J873">
        <v>288.7</v>
      </c>
      <c r="K873">
        <v>1049.9000000000001</v>
      </c>
      <c r="L873">
        <v>4889000</v>
      </c>
      <c r="M873" t="b">
        <v>0</v>
      </c>
      <c r="N873" t="b">
        <v>0</v>
      </c>
      <c r="O873">
        <v>5000</v>
      </c>
      <c r="P873" t="b">
        <v>0</v>
      </c>
      <c r="Q873" t="b">
        <v>0</v>
      </c>
      <c r="R873" t="b">
        <v>0</v>
      </c>
      <c r="S873" t="s">
        <v>96</v>
      </c>
      <c r="T873" t="s">
        <v>1656</v>
      </c>
      <c r="U873">
        <v>20.998000000000001</v>
      </c>
      <c r="V873">
        <v>0</v>
      </c>
      <c r="W873">
        <v>0</v>
      </c>
      <c r="X873">
        <v>3</v>
      </c>
      <c r="Y873" s="6">
        <v>46113</v>
      </c>
    </row>
    <row r="874" spans="1:26" x14ac:dyDescent="0.3">
      <c r="A874" t="s">
        <v>979</v>
      </c>
      <c r="B874" s="5">
        <v>46129</v>
      </c>
      <c r="C874" s="5">
        <v>46130</v>
      </c>
      <c r="D874" s="5">
        <v>46132</v>
      </c>
      <c r="E874" s="5">
        <v>46133</v>
      </c>
      <c r="F874" t="s">
        <v>34</v>
      </c>
      <c r="G874" t="s">
        <v>52</v>
      </c>
      <c r="H874" t="s">
        <v>23</v>
      </c>
      <c r="I874" t="s">
        <v>44</v>
      </c>
      <c r="J874">
        <v>283.3</v>
      </c>
      <c r="K874">
        <v>195.8</v>
      </c>
      <c r="L874">
        <v>2787000</v>
      </c>
      <c r="M874" t="b">
        <v>0</v>
      </c>
      <c r="N874" t="b">
        <v>0</v>
      </c>
      <c r="O874">
        <v>1500</v>
      </c>
      <c r="P874" t="b">
        <v>0</v>
      </c>
      <c r="Q874" t="b">
        <v>0</v>
      </c>
      <c r="R874" t="b">
        <v>0</v>
      </c>
      <c r="S874" t="s">
        <v>101</v>
      </c>
      <c r="T874" t="s">
        <v>1623</v>
      </c>
      <c r="U874">
        <v>13.053333333333329</v>
      </c>
      <c r="V874">
        <v>0</v>
      </c>
      <c r="W874">
        <v>0</v>
      </c>
      <c r="X874">
        <v>3</v>
      </c>
      <c r="Y874" s="6">
        <v>46113</v>
      </c>
      <c r="Z874">
        <v>1</v>
      </c>
    </row>
    <row r="875" spans="1:26" x14ac:dyDescent="0.3">
      <c r="A875" t="s">
        <v>980</v>
      </c>
      <c r="B875" s="5">
        <v>46114</v>
      </c>
      <c r="C875" s="5">
        <v>46115</v>
      </c>
      <c r="D875" s="5">
        <v>46116</v>
      </c>
      <c r="E875" s="5">
        <v>46117</v>
      </c>
      <c r="F875" t="s">
        <v>31</v>
      </c>
      <c r="G875" t="s">
        <v>55</v>
      </c>
      <c r="H875" t="s">
        <v>21</v>
      </c>
      <c r="I875" t="s">
        <v>45</v>
      </c>
      <c r="J875">
        <v>27.4</v>
      </c>
      <c r="K875">
        <v>460.4</v>
      </c>
      <c r="L875">
        <v>949000</v>
      </c>
      <c r="M875" t="b">
        <v>0</v>
      </c>
      <c r="N875" t="b">
        <v>0</v>
      </c>
      <c r="O875">
        <v>1000</v>
      </c>
      <c r="P875" t="b">
        <v>0</v>
      </c>
      <c r="Q875" t="b">
        <v>0</v>
      </c>
      <c r="R875" t="b">
        <v>0</v>
      </c>
      <c r="S875" t="s">
        <v>101</v>
      </c>
      <c r="T875" t="s">
        <v>1629</v>
      </c>
      <c r="U875">
        <v>46.04</v>
      </c>
      <c r="V875">
        <v>0</v>
      </c>
      <c r="W875">
        <v>0</v>
      </c>
      <c r="X875">
        <v>2</v>
      </c>
      <c r="Y875" s="6">
        <v>46113</v>
      </c>
      <c r="Z875">
        <v>1</v>
      </c>
    </row>
    <row r="876" spans="1:26" x14ac:dyDescent="0.3">
      <c r="A876" t="s">
        <v>981</v>
      </c>
      <c r="B876" s="5">
        <v>46054</v>
      </c>
      <c r="C876" s="5">
        <v>46055</v>
      </c>
      <c r="D876" s="5">
        <v>46056</v>
      </c>
      <c r="E876" s="5">
        <v>46056</v>
      </c>
      <c r="F876" t="s">
        <v>31</v>
      </c>
      <c r="G876" t="s">
        <v>55</v>
      </c>
      <c r="H876" t="s">
        <v>107</v>
      </c>
      <c r="I876" t="s">
        <v>42</v>
      </c>
      <c r="J876">
        <v>32.4</v>
      </c>
      <c r="K876">
        <v>7980.2</v>
      </c>
      <c r="L876">
        <v>3530000</v>
      </c>
      <c r="M876" t="b">
        <v>0</v>
      </c>
      <c r="N876" t="b">
        <v>0</v>
      </c>
      <c r="O876">
        <v>16000</v>
      </c>
      <c r="P876" t="b">
        <v>0</v>
      </c>
      <c r="Q876" t="b">
        <v>0</v>
      </c>
      <c r="R876" t="b">
        <v>0</v>
      </c>
      <c r="S876" t="s">
        <v>96</v>
      </c>
      <c r="T876" t="s">
        <v>1629</v>
      </c>
      <c r="U876">
        <v>49.876249999999999</v>
      </c>
      <c r="V876">
        <v>0</v>
      </c>
      <c r="W876">
        <v>0</v>
      </c>
      <c r="X876">
        <v>1</v>
      </c>
      <c r="Y876" s="6">
        <v>46054</v>
      </c>
    </row>
    <row r="877" spans="1:26" x14ac:dyDescent="0.3">
      <c r="A877" t="s">
        <v>982</v>
      </c>
      <c r="B877" s="5">
        <v>46124</v>
      </c>
      <c r="C877" s="5">
        <v>46125</v>
      </c>
      <c r="D877" s="5">
        <v>46128</v>
      </c>
      <c r="E877" s="5">
        <v>46128</v>
      </c>
      <c r="F877" t="s">
        <v>34</v>
      </c>
      <c r="G877" t="s">
        <v>52</v>
      </c>
      <c r="H877" t="s">
        <v>21</v>
      </c>
      <c r="I877" t="s">
        <v>43</v>
      </c>
      <c r="J877">
        <v>273.89999999999998</v>
      </c>
      <c r="K877">
        <v>2778.2</v>
      </c>
      <c r="L877">
        <v>6001000</v>
      </c>
      <c r="M877" t="b">
        <v>0</v>
      </c>
      <c r="N877" t="b">
        <v>0</v>
      </c>
      <c r="O877">
        <v>5000</v>
      </c>
      <c r="P877" t="b">
        <v>0</v>
      </c>
      <c r="Q877" t="b">
        <v>0</v>
      </c>
      <c r="R877" t="b">
        <v>0</v>
      </c>
      <c r="S877" t="s">
        <v>96</v>
      </c>
      <c r="T877" t="s">
        <v>1623</v>
      </c>
      <c r="U877">
        <v>55.563999999999993</v>
      </c>
      <c r="V877">
        <v>0</v>
      </c>
      <c r="W877">
        <v>0</v>
      </c>
      <c r="X877">
        <v>3</v>
      </c>
      <c r="Y877" s="6">
        <v>46113</v>
      </c>
    </row>
    <row r="878" spans="1:26" x14ac:dyDescent="0.3">
      <c r="A878" t="s">
        <v>983</v>
      </c>
      <c r="B878" s="5">
        <v>46193</v>
      </c>
      <c r="C878" s="5">
        <v>46193</v>
      </c>
      <c r="D878" s="5">
        <v>46196</v>
      </c>
      <c r="E878" s="5">
        <v>46196</v>
      </c>
      <c r="F878" t="s">
        <v>32</v>
      </c>
      <c r="G878" t="s">
        <v>58</v>
      </c>
      <c r="H878" t="s">
        <v>23</v>
      </c>
      <c r="I878" t="s">
        <v>45</v>
      </c>
      <c r="J878">
        <v>306</v>
      </c>
      <c r="K878">
        <v>690.6</v>
      </c>
      <c r="L878">
        <v>3302000</v>
      </c>
      <c r="M878" t="b">
        <v>0</v>
      </c>
      <c r="N878" t="b">
        <v>0</v>
      </c>
      <c r="O878">
        <v>1000</v>
      </c>
      <c r="P878" t="b">
        <v>0</v>
      </c>
      <c r="Q878" t="b">
        <v>0</v>
      </c>
      <c r="R878" t="b">
        <v>0</v>
      </c>
      <c r="S878" t="s">
        <v>96</v>
      </c>
      <c r="T878" t="s">
        <v>1656</v>
      </c>
      <c r="U878">
        <v>69.06</v>
      </c>
      <c r="V878">
        <v>0</v>
      </c>
      <c r="W878">
        <v>0</v>
      </c>
      <c r="X878">
        <v>3</v>
      </c>
      <c r="Y878" s="6">
        <v>46174</v>
      </c>
    </row>
    <row r="879" spans="1:26" x14ac:dyDescent="0.3">
      <c r="A879" t="s">
        <v>984</v>
      </c>
      <c r="B879" s="5">
        <v>46140</v>
      </c>
      <c r="C879" s="5">
        <v>46140</v>
      </c>
      <c r="D879" s="5">
        <v>46143</v>
      </c>
      <c r="E879" s="5">
        <v>46143</v>
      </c>
      <c r="F879" t="s">
        <v>33</v>
      </c>
      <c r="G879" t="s">
        <v>57</v>
      </c>
      <c r="H879" t="s">
        <v>23</v>
      </c>
      <c r="I879" t="s">
        <v>43</v>
      </c>
      <c r="J879">
        <v>458.1</v>
      </c>
      <c r="K879">
        <v>4366.6000000000004</v>
      </c>
      <c r="L879">
        <v>8843000</v>
      </c>
      <c r="M879" t="b">
        <v>0</v>
      </c>
      <c r="N879" t="b">
        <v>0</v>
      </c>
      <c r="O879">
        <v>5000</v>
      </c>
      <c r="P879" t="b">
        <v>0</v>
      </c>
      <c r="Q879" t="b">
        <v>0</v>
      </c>
      <c r="R879" t="b">
        <v>0</v>
      </c>
      <c r="S879" t="s">
        <v>96</v>
      </c>
      <c r="T879" t="s">
        <v>1624</v>
      </c>
      <c r="U879">
        <v>87.332000000000008</v>
      </c>
      <c r="V879">
        <v>0</v>
      </c>
      <c r="W879">
        <v>0</v>
      </c>
      <c r="X879">
        <v>3</v>
      </c>
      <c r="Y879" s="6">
        <v>46113</v>
      </c>
    </row>
    <row r="880" spans="1:26" x14ac:dyDescent="0.3">
      <c r="A880" t="s">
        <v>985</v>
      </c>
      <c r="B880" s="5">
        <v>46192</v>
      </c>
      <c r="C880" s="5">
        <v>46193</v>
      </c>
      <c r="D880" s="5">
        <v>46196</v>
      </c>
      <c r="E880" s="5">
        <v>46196</v>
      </c>
      <c r="F880" t="s">
        <v>32</v>
      </c>
      <c r="G880" t="s">
        <v>58</v>
      </c>
      <c r="H880" t="s">
        <v>21</v>
      </c>
      <c r="I880" t="s">
        <v>43</v>
      </c>
      <c r="J880">
        <v>316.3</v>
      </c>
      <c r="K880">
        <v>2657.1</v>
      </c>
      <c r="L880">
        <v>5775000</v>
      </c>
      <c r="M880" t="b">
        <v>0</v>
      </c>
      <c r="N880" t="b">
        <v>0</v>
      </c>
      <c r="O880">
        <v>5000</v>
      </c>
      <c r="P880" t="b">
        <v>0</v>
      </c>
      <c r="Q880" t="b">
        <v>0</v>
      </c>
      <c r="R880" t="b">
        <v>0</v>
      </c>
      <c r="S880" t="s">
        <v>96</v>
      </c>
      <c r="T880" t="s">
        <v>1656</v>
      </c>
      <c r="U880">
        <v>53.142000000000003</v>
      </c>
      <c r="V880">
        <v>0</v>
      </c>
      <c r="W880">
        <v>0</v>
      </c>
      <c r="X880">
        <v>3</v>
      </c>
      <c r="Y880" s="6">
        <v>46174</v>
      </c>
    </row>
    <row r="881" spans="1:26" x14ac:dyDescent="0.3">
      <c r="A881" t="s">
        <v>986</v>
      </c>
      <c r="B881" s="5">
        <v>46027</v>
      </c>
      <c r="C881" s="5">
        <v>46028</v>
      </c>
      <c r="D881" s="5">
        <v>46030</v>
      </c>
      <c r="E881" s="5">
        <v>46032</v>
      </c>
      <c r="F881" t="s">
        <v>32</v>
      </c>
      <c r="G881" t="s">
        <v>55</v>
      </c>
      <c r="H881" t="s">
        <v>22</v>
      </c>
      <c r="I881" t="s">
        <v>44</v>
      </c>
      <c r="J881">
        <v>123.7</v>
      </c>
      <c r="K881">
        <v>1376.7</v>
      </c>
      <c r="L881">
        <v>2074000</v>
      </c>
      <c r="M881" t="b">
        <v>0</v>
      </c>
      <c r="N881" t="b">
        <v>0</v>
      </c>
      <c r="O881">
        <v>1500</v>
      </c>
      <c r="P881" t="b">
        <v>0</v>
      </c>
      <c r="Q881" t="b">
        <v>0</v>
      </c>
      <c r="R881" t="b">
        <v>0</v>
      </c>
      <c r="S881" t="s">
        <v>101</v>
      </c>
      <c r="T881" t="s">
        <v>1633</v>
      </c>
      <c r="U881">
        <v>91.78</v>
      </c>
      <c r="V881">
        <v>0</v>
      </c>
      <c r="W881">
        <v>0</v>
      </c>
      <c r="X881">
        <v>4</v>
      </c>
      <c r="Y881" s="6">
        <v>46023</v>
      </c>
      <c r="Z881">
        <v>2</v>
      </c>
    </row>
    <row r="882" spans="1:26" x14ac:dyDescent="0.3">
      <c r="A882" t="s">
        <v>987</v>
      </c>
      <c r="B882" s="5">
        <v>46067</v>
      </c>
      <c r="C882" s="5">
        <v>46067</v>
      </c>
      <c r="D882" s="5">
        <v>46071</v>
      </c>
      <c r="E882" s="5">
        <v>46071</v>
      </c>
      <c r="F882" t="s">
        <v>34</v>
      </c>
      <c r="G882" t="s">
        <v>60</v>
      </c>
      <c r="H882" t="s">
        <v>21</v>
      </c>
      <c r="I882" t="s">
        <v>43</v>
      </c>
      <c r="J882">
        <v>606.4</v>
      </c>
      <c r="K882">
        <v>1742.4</v>
      </c>
      <c r="L882">
        <v>9374000</v>
      </c>
      <c r="M882" t="b">
        <v>0</v>
      </c>
      <c r="N882" t="b">
        <v>0</v>
      </c>
      <c r="O882">
        <v>5000</v>
      </c>
      <c r="P882" t="b">
        <v>0</v>
      </c>
      <c r="Q882" t="b">
        <v>0</v>
      </c>
      <c r="R882" t="b">
        <v>0</v>
      </c>
      <c r="S882" t="s">
        <v>96</v>
      </c>
      <c r="T882" t="s">
        <v>1644</v>
      </c>
      <c r="U882">
        <v>34.847999999999999</v>
      </c>
      <c r="V882">
        <v>0</v>
      </c>
      <c r="W882">
        <v>0</v>
      </c>
      <c r="X882">
        <v>4</v>
      </c>
      <c r="Y882" s="6">
        <v>46054</v>
      </c>
    </row>
    <row r="883" spans="1:26" x14ac:dyDescent="0.3">
      <c r="A883" t="s">
        <v>988</v>
      </c>
      <c r="B883" s="5">
        <v>46190</v>
      </c>
      <c r="C883" s="5">
        <v>46190</v>
      </c>
      <c r="D883" s="5">
        <v>46194</v>
      </c>
      <c r="E883" s="5">
        <v>46194</v>
      </c>
      <c r="F883" t="s">
        <v>33</v>
      </c>
      <c r="G883" t="s">
        <v>58</v>
      </c>
      <c r="H883" t="s">
        <v>21</v>
      </c>
      <c r="I883" t="s">
        <v>42</v>
      </c>
      <c r="J883">
        <v>646.29999999999995</v>
      </c>
      <c r="K883">
        <v>10630.7</v>
      </c>
      <c r="L883">
        <v>15211000</v>
      </c>
      <c r="M883" t="b">
        <v>0</v>
      </c>
      <c r="N883" t="b">
        <v>0</v>
      </c>
      <c r="O883">
        <v>16000</v>
      </c>
      <c r="P883" t="b">
        <v>0</v>
      </c>
      <c r="Q883" t="b">
        <v>0</v>
      </c>
      <c r="R883" t="b">
        <v>0</v>
      </c>
      <c r="S883" t="s">
        <v>96</v>
      </c>
      <c r="T883" t="s">
        <v>1651</v>
      </c>
      <c r="U883">
        <v>66.44187500000001</v>
      </c>
      <c r="V883">
        <v>0</v>
      </c>
      <c r="W883">
        <v>0</v>
      </c>
      <c r="X883">
        <v>4</v>
      </c>
      <c r="Y883" s="6">
        <v>46174</v>
      </c>
    </row>
    <row r="884" spans="1:26" x14ac:dyDescent="0.3">
      <c r="A884" t="s">
        <v>989</v>
      </c>
      <c r="B884" s="5">
        <v>46072</v>
      </c>
      <c r="C884" s="5">
        <v>46072</v>
      </c>
      <c r="D884" s="5">
        <v>46076</v>
      </c>
      <c r="E884" s="5">
        <v>46076</v>
      </c>
      <c r="F884" t="s">
        <v>34</v>
      </c>
      <c r="G884" t="s">
        <v>62</v>
      </c>
      <c r="H884" t="s">
        <v>24</v>
      </c>
      <c r="I884" t="s">
        <v>44</v>
      </c>
      <c r="J884">
        <v>752.2</v>
      </c>
      <c r="K884">
        <v>583.79999999999995</v>
      </c>
      <c r="L884">
        <v>6954000</v>
      </c>
      <c r="M884" t="b">
        <v>0</v>
      </c>
      <c r="N884" t="b">
        <v>0</v>
      </c>
      <c r="O884">
        <v>1500</v>
      </c>
      <c r="P884" t="b">
        <v>0</v>
      </c>
      <c r="Q884" t="b">
        <v>0</v>
      </c>
      <c r="R884" t="b">
        <v>0</v>
      </c>
      <c r="S884" t="s">
        <v>96</v>
      </c>
      <c r="T884" t="s">
        <v>1649</v>
      </c>
      <c r="U884">
        <v>38.92</v>
      </c>
      <c r="V884">
        <v>0</v>
      </c>
      <c r="W884">
        <v>0</v>
      </c>
      <c r="X884">
        <v>4</v>
      </c>
      <c r="Y884" s="6">
        <v>46054</v>
      </c>
    </row>
    <row r="885" spans="1:26" x14ac:dyDescent="0.3">
      <c r="A885" t="s">
        <v>990</v>
      </c>
      <c r="B885" s="5">
        <v>46192</v>
      </c>
      <c r="C885" s="5">
        <v>46193</v>
      </c>
      <c r="D885" s="5">
        <v>46195</v>
      </c>
      <c r="E885" s="5">
        <v>46195</v>
      </c>
      <c r="F885" t="s">
        <v>32</v>
      </c>
      <c r="G885" t="s">
        <v>55</v>
      </c>
      <c r="H885" t="s">
        <v>23</v>
      </c>
      <c r="I885" t="s">
        <v>42</v>
      </c>
      <c r="J885">
        <v>120.2</v>
      </c>
      <c r="K885">
        <v>4326.7</v>
      </c>
      <c r="L885">
        <v>3767000</v>
      </c>
      <c r="M885" t="b">
        <v>0</v>
      </c>
      <c r="N885" t="b">
        <v>0</v>
      </c>
      <c r="O885">
        <v>16000</v>
      </c>
      <c r="P885" t="b">
        <v>0</v>
      </c>
      <c r="Q885" t="b">
        <v>0</v>
      </c>
      <c r="R885" t="b">
        <v>0</v>
      </c>
      <c r="S885" t="s">
        <v>96</v>
      </c>
      <c r="T885" t="s">
        <v>1633</v>
      </c>
      <c r="U885">
        <v>27.041875000000001</v>
      </c>
      <c r="V885">
        <v>0</v>
      </c>
      <c r="W885">
        <v>0</v>
      </c>
      <c r="X885">
        <v>2</v>
      </c>
      <c r="Y885" s="6">
        <v>46174</v>
      </c>
    </row>
    <row r="886" spans="1:26" x14ac:dyDescent="0.3">
      <c r="A886" t="s">
        <v>991</v>
      </c>
      <c r="B886" s="5">
        <v>46035</v>
      </c>
      <c r="C886" s="5">
        <v>46035</v>
      </c>
      <c r="D886" s="5">
        <v>46037</v>
      </c>
      <c r="E886" s="5">
        <v>46039</v>
      </c>
      <c r="F886" t="s">
        <v>34</v>
      </c>
      <c r="G886" t="s">
        <v>58</v>
      </c>
      <c r="H886" t="s">
        <v>23</v>
      </c>
      <c r="I886" t="s">
        <v>44</v>
      </c>
      <c r="J886">
        <v>146.4</v>
      </c>
      <c r="K886">
        <v>295</v>
      </c>
      <c r="L886">
        <v>1798000</v>
      </c>
      <c r="M886" t="b">
        <v>0</v>
      </c>
      <c r="N886" t="b">
        <v>0</v>
      </c>
      <c r="O886">
        <v>1500</v>
      </c>
      <c r="P886" t="b">
        <v>0</v>
      </c>
      <c r="Q886" t="b">
        <v>0</v>
      </c>
      <c r="R886" t="b">
        <v>0</v>
      </c>
      <c r="S886" t="s">
        <v>101</v>
      </c>
      <c r="T886" t="s">
        <v>1637</v>
      </c>
      <c r="U886">
        <v>19.666666666666661</v>
      </c>
      <c r="V886">
        <v>0</v>
      </c>
      <c r="W886">
        <v>0</v>
      </c>
      <c r="X886">
        <v>4</v>
      </c>
      <c r="Y886" s="6">
        <v>46023</v>
      </c>
      <c r="Z886">
        <v>2</v>
      </c>
    </row>
    <row r="887" spans="1:26" x14ac:dyDescent="0.3">
      <c r="A887" t="s">
        <v>992</v>
      </c>
      <c r="B887" s="5">
        <v>46039</v>
      </c>
      <c r="C887" s="5">
        <v>46040</v>
      </c>
      <c r="D887" s="5">
        <v>46044</v>
      </c>
      <c r="E887" s="5">
        <v>46045</v>
      </c>
      <c r="F887" t="s">
        <v>33</v>
      </c>
      <c r="G887" t="s">
        <v>55</v>
      </c>
      <c r="H887" t="s">
        <v>24</v>
      </c>
      <c r="I887" t="s">
        <v>44</v>
      </c>
      <c r="J887">
        <v>579.9</v>
      </c>
      <c r="K887">
        <v>1146.7</v>
      </c>
      <c r="L887">
        <v>6299000</v>
      </c>
      <c r="M887" t="b">
        <v>0</v>
      </c>
      <c r="N887" t="b">
        <v>0</v>
      </c>
      <c r="O887">
        <v>1500</v>
      </c>
      <c r="P887" t="b">
        <v>0</v>
      </c>
      <c r="Q887" t="b">
        <v>0</v>
      </c>
      <c r="R887" t="b">
        <v>0</v>
      </c>
      <c r="S887" t="s">
        <v>101</v>
      </c>
      <c r="T887" t="s">
        <v>1626</v>
      </c>
      <c r="U887">
        <v>76.446666666666673</v>
      </c>
      <c r="V887">
        <v>0</v>
      </c>
      <c r="W887">
        <v>0</v>
      </c>
      <c r="X887">
        <v>5</v>
      </c>
      <c r="Y887" s="6">
        <v>46023</v>
      </c>
      <c r="Z887">
        <v>1</v>
      </c>
    </row>
    <row r="888" spans="1:26" x14ac:dyDescent="0.3">
      <c r="A888" t="s">
        <v>993</v>
      </c>
      <c r="B888" s="5">
        <v>46176</v>
      </c>
      <c r="C888" s="5">
        <v>46177</v>
      </c>
      <c r="D888" s="5">
        <v>46180</v>
      </c>
      <c r="E888" s="5">
        <v>46180</v>
      </c>
      <c r="F888" t="s">
        <v>31</v>
      </c>
      <c r="G888" t="s">
        <v>60</v>
      </c>
      <c r="H888" t="s">
        <v>24</v>
      </c>
      <c r="I888" t="s">
        <v>43</v>
      </c>
      <c r="J888">
        <v>545.79999999999995</v>
      </c>
      <c r="K888">
        <v>1482.1</v>
      </c>
      <c r="L888">
        <v>8487000</v>
      </c>
      <c r="M888" t="b">
        <v>0</v>
      </c>
      <c r="N888" t="b">
        <v>0</v>
      </c>
      <c r="O888">
        <v>5000</v>
      </c>
      <c r="P888" t="b">
        <v>0</v>
      </c>
      <c r="Q888" t="b">
        <v>0</v>
      </c>
      <c r="R888" t="b">
        <v>0</v>
      </c>
      <c r="S888" t="s">
        <v>96</v>
      </c>
      <c r="T888" t="s">
        <v>1652</v>
      </c>
      <c r="U888">
        <v>29.641999999999999</v>
      </c>
      <c r="V888">
        <v>0</v>
      </c>
      <c r="W888">
        <v>0</v>
      </c>
      <c r="X888">
        <v>3</v>
      </c>
      <c r="Y888" s="6">
        <v>46174</v>
      </c>
    </row>
    <row r="889" spans="1:26" x14ac:dyDescent="0.3">
      <c r="A889" t="s">
        <v>994</v>
      </c>
      <c r="B889" s="5">
        <v>46158</v>
      </c>
      <c r="C889" s="5">
        <v>46159</v>
      </c>
      <c r="D889" s="5">
        <v>46161</v>
      </c>
      <c r="E889" s="5">
        <v>46160</v>
      </c>
      <c r="F889" t="s">
        <v>31</v>
      </c>
      <c r="G889" t="s">
        <v>57</v>
      </c>
      <c r="H889" t="s">
        <v>23</v>
      </c>
      <c r="I889" t="s">
        <v>45</v>
      </c>
      <c r="J889">
        <v>132.80000000000001</v>
      </c>
      <c r="K889">
        <v>552.5</v>
      </c>
      <c r="L889">
        <v>1638000</v>
      </c>
      <c r="M889" t="b">
        <v>0</v>
      </c>
      <c r="N889" t="b">
        <v>0</v>
      </c>
      <c r="O889">
        <v>1000</v>
      </c>
      <c r="P889" t="b">
        <v>0</v>
      </c>
      <c r="Q889" t="b">
        <v>0</v>
      </c>
      <c r="R889" t="b">
        <v>0</v>
      </c>
      <c r="S889" t="s">
        <v>96</v>
      </c>
      <c r="T889" t="s">
        <v>1617</v>
      </c>
      <c r="U889">
        <v>55.25</v>
      </c>
      <c r="V889">
        <v>0</v>
      </c>
      <c r="W889">
        <v>0</v>
      </c>
      <c r="X889">
        <v>1</v>
      </c>
      <c r="Y889" s="6">
        <v>46143</v>
      </c>
    </row>
    <row r="890" spans="1:26" x14ac:dyDescent="0.3">
      <c r="A890" t="s">
        <v>995</v>
      </c>
      <c r="B890" s="5">
        <v>46179</v>
      </c>
      <c r="C890" s="5">
        <v>46180</v>
      </c>
      <c r="D890" s="5">
        <v>46183</v>
      </c>
      <c r="E890" s="5">
        <v>46183</v>
      </c>
      <c r="F890" t="s">
        <v>32</v>
      </c>
      <c r="G890" t="s">
        <v>54</v>
      </c>
      <c r="H890" t="s">
        <v>21</v>
      </c>
      <c r="I890" t="s">
        <v>43</v>
      </c>
      <c r="J890">
        <v>579.5</v>
      </c>
      <c r="K890">
        <v>2862.5</v>
      </c>
      <c r="L890">
        <v>8555000</v>
      </c>
      <c r="M890" t="b">
        <v>0</v>
      </c>
      <c r="N890" t="b">
        <v>0</v>
      </c>
      <c r="O890">
        <v>5000</v>
      </c>
      <c r="P890" t="b">
        <v>0</v>
      </c>
      <c r="Q890" t="b">
        <v>0</v>
      </c>
      <c r="R890" t="b">
        <v>0</v>
      </c>
      <c r="S890" t="s">
        <v>96</v>
      </c>
      <c r="T890" t="s">
        <v>1655</v>
      </c>
      <c r="U890">
        <v>57.25</v>
      </c>
      <c r="V890">
        <v>0</v>
      </c>
      <c r="W890">
        <v>0</v>
      </c>
      <c r="X890">
        <v>3</v>
      </c>
      <c r="Y890" s="6">
        <v>46174</v>
      </c>
    </row>
    <row r="891" spans="1:26" x14ac:dyDescent="0.3">
      <c r="A891" t="s">
        <v>996</v>
      </c>
      <c r="B891" s="5">
        <v>46164</v>
      </c>
      <c r="C891" s="5">
        <v>46166</v>
      </c>
      <c r="D891" s="5">
        <v>46170</v>
      </c>
      <c r="E891" s="5">
        <v>46170</v>
      </c>
      <c r="F891" t="s">
        <v>33</v>
      </c>
      <c r="G891" t="s">
        <v>58</v>
      </c>
      <c r="H891" t="s">
        <v>21</v>
      </c>
      <c r="I891" t="s">
        <v>45</v>
      </c>
      <c r="J891">
        <v>665.3</v>
      </c>
      <c r="K891">
        <v>279.5</v>
      </c>
      <c r="L891">
        <v>5463000</v>
      </c>
      <c r="M891" t="b">
        <v>0</v>
      </c>
      <c r="N891" t="b">
        <v>0</v>
      </c>
      <c r="O891">
        <v>1000</v>
      </c>
      <c r="P891" t="b">
        <v>0</v>
      </c>
      <c r="Q891" t="b">
        <v>0</v>
      </c>
      <c r="R891" t="b">
        <v>0</v>
      </c>
      <c r="S891" t="s">
        <v>96</v>
      </c>
      <c r="T891" t="s">
        <v>1651</v>
      </c>
      <c r="U891">
        <v>27.95</v>
      </c>
      <c r="V891">
        <v>0</v>
      </c>
      <c r="W891">
        <v>0</v>
      </c>
      <c r="X891">
        <v>4</v>
      </c>
      <c r="Y891" s="6">
        <v>46143</v>
      </c>
    </row>
    <row r="892" spans="1:26" x14ac:dyDescent="0.3">
      <c r="A892" t="s">
        <v>997</v>
      </c>
      <c r="B892" s="5">
        <v>46165</v>
      </c>
      <c r="C892" s="5">
        <v>46166</v>
      </c>
      <c r="D892" s="5">
        <v>46170</v>
      </c>
      <c r="E892" s="5">
        <v>46170</v>
      </c>
      <c r="F892" t="s">
        <v>33</v>
      </c>
      <c r="G892" t="s">
        <v>57</v>
      </c>
      <c r="H892" t="s">
        <v>23</v>
      </c>
      <c r="I892" t="s">
        <v>42</v>
      </c>
      <c r="J892">
        <v>502.3</v>
      </c>
      <c r="K892">
        <v>10977.4</v>
      </c>
      <c r="L892">
        <v>14430000</v>
      </c>
      <c r="M892" t="b">
        <v>0</v>
      </c>
      <c r="N892" t="b">
        <v>0</v>
      </c>
      <c r="O892">
        <v>16000</v>
      </c>
      <c r="P892" t="b">
        <v>0</v>
      </c>
      <c r="Q892" t="b">
        <v>0</v>
      </c>
      <c r="R892" t="b">
        <v>0</v>
      </c>
      <c r="S892" t="s">
        <v>96</v>
      </c>
      <c r="T892" t="s">
        <v>1624</v>
      </c>
      <c r="U892">
        <v>68.608750000000001</v>
      </c>
      <c r="V892">
        <v>0</v>
      </c>
      <c r="W892">
        <v>0</v>
      </c>
      <c r="X892">
        <v>4</v>
      </c>
      <c r="Y892" s="6">
        <v>46143</v>
      </c>
    </row>
    <row r="893" spans="1:26" x14ac:dyDescent="0.3">
      <c r="A893" t="s">
        <v>998</v>
      </c>
      <c r="B893" s="5">
        <v>46156</v>
      </c>
      <c r="C893" s="5">
        <v>46157</v>
      </c>
      <c r="D893" s="5">
        <v>46159</v>
      </c>
      <c r="E893" s="5">
        <v>46158</v>
      </c>
      <c r="F893" t="s">
        <v>31</v>
      </c>
      <c r="G893" t="s">
        <v>63</v>
      </c>
      <c r="H893" t="s">
        <v>20</v>
      </c>
      <c r="I893" t="s">
        <v>43</v>
      </c>
      <c r="J893">
        <v>279.8</v>
      </c>
      <c r="K893">
        <v>995.3</v>
      </c>
      <c r="L893">
        <v>4454000</v>
      </c>
      <c r="M893" t="b">
        <v>0</v>
      </c>
      <c r="N893" t="b">
        <v>0</v>
      </c>
      <c r="O893">
        <v>5000</v>
      </c>
      <c r="P893" t="b">
        <v>0</v>
      </c>
      <c r="Q893" t="b">
        <v>0</v>
      </c>
      <c r="R893" t="b">
        <v>0</v>
      </c>
      <c r="S893" t="s">
        <v>96</v>
      </c>
      <c r="T893" t="s">
        <v>1640</v>
      </c>
      <c r="U893">
        <v>19.905999999999999</v>
      </c>
      <c r="V893">
        <v>0</v>
      </c>
      <c r="W893">
        <v>0</v>
      </c>
      <c r="X893">
        <v>1</v>
      </c>
      <c r="Y893" s="6">
        <v>46143</v>
      </c>
    </row>
    <row r="894" spans="1:26" x14ac:dyDescent="0.3">
      <c r="A894" t="s">
        <v>999</v>
      </c>
      <c r="B894" s="5">
        <v>46050</v>
      </c>
      <c r="C894" s="5">
        <v>46051</v>
      </c>
      <c r="D894" s="5">
        <v>46055</v>
      </c>
      <c r="E894" s="5">
        <v>46055</v>
      </c>
      <c r="F894" t="s">
        <v>34</v>
      </c>
      <c r="G894" t="s">
        <v>56</v>
      </c>
      <c r="H894" t="s">
        <v>20</v>
      </c>
      <c r="I894" t="s">
        <v>43</v>
      </c>
      <c r="J894">
        <v>941.3</v>
      </c>
      <c r="K894">
        <v>1455.7</v>
      </c>
      <c r="L894">
        <v>13174000</v>
      </c>
      <c r="M894" t="b">
        <v>0</v>
      </c>
      <c r="N894" t="b">
        <v>0</v>
      </c>
      <c r="O894">
        <v>5000</v>
      </c>
      <c r="P894" t="b">
        <v>0</v>
      </c>
      <c r="Q894" t="b">
        <v>0</v>
      </c>
      <c r="R894" t="b">
        <v>0</v>
      </c>
      <c r="S894" t="s">
        <v>96</v>
      </c>
      <c r="T894" t="s">
        <v>1646</v>
      </c>
      <c r="U894">
        <v>29.114000000000001</v>
      </c>
      <c r="V894">
        <v>0</v>
      </c>
      <c r="W894">
        <v>0</v>
      </c>
      <c r="X894">
        <v>4</v>
      </c>
      <c r="Y894" s="6">
        <v>46023</v>
      </c>
    </row>
    <row r="895" spans="1:26" x14ac:dyDescent="0.3">
      <c r="A895" t="s">
        <v>1000</v>
      </c>
      <c r="B895" s="5">
        <v>46076</v>
      </c>
      <c r="C895" s="5">
        <v>46077</v>
      </c>
      <c r="D895" s="5">
        <v>46081</v>
      </c>
      <c r="E895" s="5">
        <v>46080</v>
      </c>
      <c r="F895" t="s">
        <v>31</v>
      </c>
      <c r="G895" t="s">
        <v>52</v>
      </c>
      <c r="H895" t="s">
        <v>23</v>
      </c>
      <c r="I895" t="s">
        <v>42</v>
      </c>
      <c r="J895">
        <v>305.7</v>
      </c>
      <c r="K895">
        <v>5652.1</v>
      </c>
      <c r="L895">
        <v>8816000</v>
      </c>
      <c r="M895" t="b">
        <v>0</v>
      </c>
      <c r="N895" t="b">
        <v>0</v>
      </c>
      <c r="O895">
        <v>16000</v>
      </c>
      <c r="P895" t="b">
        <v>0</v>
      </c>
      <c r="Q895" t="b">
        <v>0</v>
      </c>
      <c r="R895" t="b">
        <v>0</v>
      </c>
      <c r="S895" t="s">
        <v>96</v>
      </c>
      <c r="T895" t="s">
        <v>1618</v>
      </c>
      <c r="U895">
        <v>35.325625000000002</v>
      </c>
      <c r="V895">
        <v>0</v>
      </c>
      <c r="W895">
        <v>0</v>
      </c>
      <c r="X895">
        <v>3</v>
      </c>
      <c r="Y895" s="6">
        <v>46054</v>
      </c>
    </row>
    <row r="896" spans="1:26" x14ac:dyDescent="0.3">
      <c r="A896" t="s">
        <v>1001</v>
      </c>
      <c r="B896" s="5">
        <v>46104</v>
      </c>
      <c r="C896" s="5">
        <v>46105</v>
      </c>
      <c r="D896" s="5">
        <v>46108</v>
      </c>
      <c r="E896" s="5">
        <v>46109</v>
      </c>
      <c r="F896" t="s">
        <v>32</v>
      </c>
      <c r="G896" t="s">
        <v>62</v>
      </c>
      <c r="H896" t="s">
        <v>24</v>
      </c>
      <c r="I896" t="s">
        <v>43</v>
      </c>
      <c r="J896">
        <v>577.4</v>
      </c>
      <c r="K896">
        <v>1572.5</v>
      </c>
      <c r="L896">
        <v>9721000</v>
      </c>
      <c r="M896" t="b">
        <v>0</v>
      </c>
      <c r="N896" t="b">
        <v>0</v>
      </c>
      <c r="O896">
        <v>5000</v>
      </c>
      <c r="P896" t="b">
        <v>0</v>
      </c>
      <c r="Q896" t="b">
        <v>0</v>
      </c>
      <c r="R896" t="b">
        <v>0</v>
      </c>
      <c r="S896" t="s">
        <v>101</v>
      </c>
      <c r="T896" t="s">
        <v>1641</v>
      </c>
      <c r="U896">
        <v>31.45</v>
      </c>
      <c r="V896">
        <v>0</v>
      </c>
      <c r="W896">
        <v>0</v>
      </c>
      <c r="X896">
        <v>4</v>
      </c>
      <c r="Y896" s="6">
        <v>46082</v>
      </c>
      <c r="Z896">
        <v>1</v>
      </c>
    </row>
    <row r="897" spans="1:26" x14ac:dyDescent="0.3">
      <c r="A897" t="s">
        <v>1002</v>
      </c>
      <c r="B897" s="5">
        <v>46196</v>
      </c>
      <c r="C897" s="5">
        <v>46197</v>
      </c>
      <c r="D897" s="5">
        <v>46200</v>
      </c>
      <c r="E897" s="5">
        <v>46200</v>
      </c>
      <c r="F897" t="s">
        <v>32</v>
      </c>
      <c r="G897" t="s">
        <v>60</v>
      </c>
      <c r="H897" t="s">
        <v>23</v>
      </c>
      <c r="I897" t="s">
        <v>43</v>
      </c>
      <c r="J897">
        <v>460.1</v>
      </c>
      <c r="K897">
        <v>1308.4000000000001</v>
      </c>
      <c r="L897">
        <v>7062000</v>
      </c>
      <c r="M897" t="b">
        <v>0</v>
      </c>
      <c r="N897" t="b">
        <v>0</v>
      </c>
      <c r="O897">
        <v>5000</v>
      </c>
      <c r="P897" t="b">
        <v>0</v>
      </c>
      <c r="Q897" t="b">
        <v>0</v>
      </c>
      <c r="R897" t="b">
        <v>0</v>
      </c>
      <c r="S897" t="s">
        <v>96</v>
      </c>
      <c r="T897" t="s">
        <v>1647</v>
      </c>
      <c r="U897">
        <v>26.167999999999999</v>
      </c>
      <c r="V897">
        <v>0</v>
      </c>
      <c r="W897">
        <v>0</v>
      </c>
      <c r="X897">
        <v>3</v>
      </c>
      <c r="Y897" s="6">
        <v>46174</v>
      </c>
    </row>
    <row r="898" spans="1:26" x14ac:dyDescent="0.3">
      <c r="A898" t="s">
        <v>1003</v>
      </c>
      <c r="B898" s="5">
        <v>46182</v>
      </c>
      <c r="C898" s="5">
        <v>46183</v>
      </c>
      <c r="D898" s="5">
        <v>46186</v>
      </c>
      <c r="E898" s="5">
        <v>46188</v>
      </c>
      <c r="F898" t="s">
        <v>33</v>
      </c>
      <c r="G898" t="s">
        <v>57</v>
      </c>
      <c r="H898" t="s">
        <v>22</v>
      </c>
      <c r="I898" t="s">
        <v>42</v>
      </c>
      <c r="J898">
        <v>463.9</v>
      </c>
      <c r="K898">
        <v>3243</v>
      </c>
      <c r="L898">
        <v>9872000</v>
      </c>
      <c r="M898" t="b">
        <v>0</v>
      </c>
      <c r="N898" t="b">
        <v>0</v>
      </c>
      <c r="O898">
        <v>16000</v>
      </c>
      <c r="P898" t="b">
        <v>0</v>
      </c>
      <c r="Q898" t="b">
        <v>0</v>
      </c>
      <c r="R898" t="b">
        <v>0</v>
      </c>
      <c r="S898" t="s">
        <v>101</v>
      </c>
      <c r="T898" t="s">
        <v>1624</v>
      </c>
      <c r="U898">
        <v>20.268750000000001</v>
      </c>
      <c r="V898">
        <v>0</v>
      </c>
      <c r="W898">
        <v>0</v>
      </c>
      <c r="X898">
        <v>5</v>
      </c>
      <c r="Y898" s="6">
        <v>46174</v>
      </c>
      <c r="Z898">
        <v>2</v>
      </c>
    </row>
    <row r="899" spans="1:26" x14ac:dyDescent="0.3">
      <c r="A899" t="s">
        <v>1004</v>
      </c>
      <c r="B899" s="5">
        <v>46162</v>
      </c>
      <c r="C899" s="5">
        <v>46163</v>
      </c>
      <c r="D899" s="5">
        <v>46164</v>
      </c>
      <c r="E899" s="5">
        <v>46164</v>
      </c>
      <c r="F899" t="s">
        <v>34</v>
      </c>
      <c r="G899" t="s">
        <v>55</v>
      </c>
      <c r="H899" t="s">
        <v>21</v>
      </c>
      <c r="I899" t="s">
        <v>42</v>
      </c>
      <c r="J899">
        <v>57.8</v>
      </c>
      <c r="K899">
        <v>6291.2</v>
      </c>
      <c r="L899">
        <v>3076000</v>
      </c>
      <c r="M899" t="b">
        <v>0</v>
      </c>
      <c r="N899" t="b">
        <v>0</v>
      </c>
      <c r="O899">
        <v>16000</v>
      </c>
      <c r="P899" t="b">
        <v>0</v>
      </c>
      <c r="Q899" t="b">
        <v>0</v>
      </c>
      <c r="R899" t="b">
        <v>0</v>
      </c>
      <c r="S899" t="s">
        <v>96</v>
      </c>
      <c r="T899" t="s">
        <v>1639</v>
      </c>
      <c r="U899">
        <v>39.32</v>
      </c>
      <c r="V899">
        <v>0</v>
      </c>
      <c r="W899">
        <v>0</v>
      </c>
      <c r="X899">
        <v>1</v>
      </c>
      <c r="Y899" s="6">
        <v>46143</v>
      </c>
    </row>
    <row r="900" spans="1:26" x14ac:dyDescent="0.3">
      <c r="A900" t="s">
        <v>1005</v>
      </c>
      <c r="B900" s="5">
        <v>46196</v>
      </c>
      <c r="C900" s="5">
        <v>46197</v>
      </c>
      <c r="D900" s="5">
        <v>46196</v>
      </c>
      <c r="E900" s="5">
        <v>46201</v>
      </c>
      <c r="F900" t="s">
        <v>32</v>
      </c>
      <c r="G900" t="s">
        <v>61</v>
      </c>
      <c r="H900" t="s">
        <v>20</v>
      </c>
      <c r="I900" t="s">
        <v>43</v>
      </c>
      <c r="J900">
        <v>153.69999999999999</v>
      </c>
      <c r="K900">
        <v>3109.2</v>
      </c>
      <c r="L900">
        <v>3290000</v>
      </c>
      <c r="M900" t="b">
        <v>1</v>
      </c>
      <c r="N900" t="b">
        <v>0</v>
      </c>
      <c r="O900">
        <v>5000</v>
      </c>
      <c r="P900" t="b">
        <v>0</v>
      </c>
      <c r="Q900" t="b">
        <v>0</v>
      </c>
      <c r="R900" t="b">
        <v>1</v>
      </c>
      <c r="S900" t="s">
        <v>260</v>
      </c>
      <c r="T900" t="s">
        <v>1653</v>
      </c>
      <c r="U900">
        <v>62.183999999999997</v>
      </c>
      <c r="V900">
        <v>0</v>
      </c>
      <c r="W900">
        <v>1</v>
      </c>
      <c r="Y900" s="6">
        <v>46174</v>
      </c>
    </row>
    <row r="901" spans="1:26" x14ac:dyDescent="0.3">
      <c r="A901" t="s">
        <v>1006</v>
      </c>
      <c r="B901" s="5">
        <v>46125</v>
      </c>
      <c r="C901" s="5">
        <v>46126</v>
      </c>
      <c r="D901" s="5">
        <v>46130</v>
      </c>
      <c r="E901" s="5">
        <v>46130</v>
      </c>
      <c r="F901" t="s">
        <v>33</v>
      </c>
      <c r="G901" t="s">
        <v>58</v>
      </c>
      <c r="H901" t="s">
        <v>22</v>
      </c>
      <c r="I901" t="s">
        <v>45</v>
      </c>
      <c r="J901">
        <v>681.5</v>
      </c>
      <c r="K901">
        <v>126.4</v>
      </c>
      <c r="L901">
        <v>6907000</v>
      </c>
      <c r="M901" t="b">
        <v>0</v>
      </c>
      <c r="N901" t="b">
        <v>0</v>
      </c>
      <c r="O901">
        <v>1000</v>
      </c>
      <c r="P901" t="b">
        <v>0</v>
      </c>
      <c r="Q901" t="b">
        <v>0</v>
      </c>
      <c r="R901" t="b">
        <v>0</v>
      </c>
      <c r="S901" t="s">
        <v>96</v>
      </c>
      <c r="T901" t="s">
        <v>1651</v>
      </c>
      <c r="U901">
        <v>12.64</v>
      </c>
      <c r="V901">
        <v>0</v>
      </c>
      <c r="W901">
        <v>0</v>
      </c>
      <c r="X901">
        <v>4</v>
      </c>
      <c r="Y901" s="6">
        <v>46113</v>
      </c>
    </row>
    <row r="902" spans="1:26" x14ac:dyDescent="0.3">
      <c r="A902" t="s">
        <v>1007</v>
      </c>
      <c r="B902" s="5">
        <v>46027</v>
      </c>
      <c r="C902" s="5">
        <v>46028</v>
      </c>
      <c r="D902" s="5">
        <v>46032</v>
      </c>
      <c r="E902" s="5">
        <v>46032</v>
      </c>
      <c r="F902" t="s">
        <v>34</v>
      </c>
      <c r="G902" t="s">
        <v>54</v>
      </c>
      <c r="H902" t="s">
        <v>22</v>
      </c>
      <c r="I902" t="s">
        <v>43</v>
      </c>
      <c r="J902">
        <v>442.5</v>
      </c>
      <c r="K902">
        <v>1147.7</v>
      </c>
      <c r="L902">
        <v>6408000</v>
      </c>
      <c r="M902" t="b">
        <v>0</v>
      </c>
      <c r="N902" t="b">
        <v>0</v>
      </c>
      <c r="O902">
        <v>5000</v>
      </c>
      <c r="P902" t="b">
        <v>0</v>
      </c>
      <c r="Q902" t="b">
        <v>0</v>
      </c>
      <c r="R902" t="b">
        <v>0</v>
      </c>
      <c r="S902" t="s">
        <v>96</v>
      </c>
      <c r="T902" t="s">
        <v>1635</v>
      </c>
      <c r="U902">
        <v>22.954000000000001</v>
      </c>
      <c r="V902">
        <v>0</v>
      </c>
      <c r="W902">
        <v>0</v>
      </c>
      <c r="X902">
        <v>4</v>
      </c>
      <c r="Y902" s="6">
        <v>46023</v>
      </c>
    </row>
    <row r="903" spans="1:26" x14ac:dyDescent="0.3">
      <c r="A903" t="s">
        <v>1008</v>
      </c>
      <c r="B903" s="5">
        <v>46131</v>
      </c>
      <c r="C903" s="5">
        <v>46131</v>
      </c>
      <c r="D903" s="5">
        <v>46134</v>
      </c>
      <c r="E903" s="5">
        <v>46134</v>
      </c>
      <c r="F903" t="s">
        <v>33</v>
      </c>
      <c r="G903" t="s">
        <v>53</v>
      </c>
      <c r="H903" t="s">
        <v>22</v>
      </c>
      <c r="I903" t="s">
        <v>42</v>
      </c>
      <c r="J903">
        <v>492.2</v>
      </c>
      <c r="K903">
        <v>6694.5</v>
      </c>
      <c r="L903">
        <v>11455000</v>
      </c>
      <c r="M903" t="b">
        <v>0</v>
      </c>
      <c r="N903" t="b">
        <v>0</v>
      </c>
      <c r="O903">
        <v>16000</v>
      </c>
      <c r="P903" t="b">
        <v>0</v>
      </c>
      <c r="Q903" t="b">
        <v>0</v>
      </c>
      <c r="R903" t="b">
        <v>0</v>
      </c>
      <c r="S903" t="s">
        <v>96</v>
      </c>
      <c r="T903" t="s">
        <v>1632</v>
      </c>
      <c r="U903">
        <v>41.840625000000003</v>
      </c>
      <c r="V903">
        <v>0</v>
      </c>
      <c r="W903">
        <v>0</v>
      </c>
      <c r="X903">
        <v>3</v>
      </c>
      <c r="Y903" s="6">
        <v>46113</v>
      </c>
    </row>
    <row r="904" spans="1:26" x14ac:dyDescent="0.3">
      <c r="A904" t="s">
        <v>1009</v>
      </c>
      <c r="B904" s="5">
        <v>46033</v>
      </c>
      <c r="C904" s="5">
        <v>46034</v>
      </c>
      <c r="D904" s="5">
        <v>46037</v>
      </c>
      <c r="E904" s="5">
        <v>46038</v>
      </c>
      <c r="F904" t="s">
        <v>32</v>
      </c>
      <c r="G904" t="s">
        <v>52</v>
      </c>
      <c r="H904" t="s">
        <v>21</v>
      </c>
      <c r="I904" t="s">
        <v>42</v>
      </c>
      <c r="J904">
        <v>332.2</v>
      </c>
      <c r="K904">
        <v>4088.8</v>
      </c>
      <c r="L904">
        <v>7756000</v>
      </c>
      <c r="M904" t="b">
        <v>0</v>
      </c>
      <c r="N904" t="b">
        <v>0</v>
      </c>
      <c r="O904">
        <v>16000</v>
      </c>
      <c r="P904" t="b">
        <v>0</v>
      </c>
      <c r="Q904" t="b">
        <v>0</v>
      </c>
      <c r="R904" t="b">
        <v>0</v>
      </c>
      <c r="S904" t="s">
        <v>101</v>
      </c>
      <c r="T904" t="s">
        <v>1611</v>
      </c>
      <c r="U904">
        <v>25.555</v>
      </c>
      <c r="V904">
        <v>0</v>
      </c>
      <c r="W904">
        <v>0</v>
      </c>
      <c r="X904">
        <v>4</v>
      </c>
      <c r="Y904" s="6">
        <v>46023</v>
      </c>
      <c r="Z904">
        <v>1</v>
      </c>
    </row>
    <row r="905" spans="1:26" x14ac:dyDescent="0.3">
      <c r="A905" t="s">
        <v>1010</v>
      </c>
      <c r="B905" s="5">
        <v>46161</v>
      </c>
      <c r="C905" s="5">
        <v>46162</v>
      </c>
      <c r="D905" s="5">
        <v>46165</v>
      </c>
      <c r="E905" s="5">
        <v>46165</v>
      </c>
      <c r="F905" t="s">
        <v>33</v>
      </c>
      <c r="G905" t="s">
        <v>53</v>
      </c>
      <c r="H905" t="s">
        <v>20</v>
      </c>
      <c r="I905" t="s">
        <v>43</v>
      </c>
      <c r="J905">
        <v>518.70000000000005</v>
      </c>
      <c r="K905">
        <v>1060.7</v>
      </c>
      <c r="L905">
        <v>7654000</v>
      </c>
      <c r="M905" t="b">
        <v>0</v>
      </c>
      <c r="N905" t="b">
        <v>0</v>
      </c>
      <c r="O905">
        <v>5000</v>
      </c>
      <c r="P905" t="b">
        <v>0</v>
      </c>
      <c r="Q905" t="b">
        <v>0</v>
      </c>
      <c r="R905" t="b">
        <v>0</v>
      </c>
      <c r="S905" t="s">
        <v>96</v>
      </c>
      <c r="T905" t="s">
        <v>1632</v>
      </c>
      <c r="U905">
        <v>21.213999999999999</v>
      </c>
      <c r="V905">
        <v>0</v>
      </c>
      <c r="W905">
        <v>0</v>
      </c>
      <c r="X905">
        <v>3</v>
      </c>
      <c r="Y905" s="6">
        <v>46143</v>
      </c>
    </row>
    <row r="906" spans="1:26" x14ac:dyDescent="0.3">
      <c r="A906" t="s">
        <v>1011</v>
      </c>
      <c r="B906" s="5">
        <v>46101</v>
      </c>
      <c r="C906" s="5">
        <v>46102</v>
      </c>
      <c r="D906" s="5">
        <v>46105</v>
      </c>
      <c r="E906" s="5">
        <v>46104</v>
      </c>
      <c r="F906" t="s">
        <v>34</v>
      </c>
      <c r="G906" t="s">
        <v>53</v>
      </c>
      <c r="H906" t="s">
        <v>21</v>
      </c>
      <c r="I906" t="s">
        <v>45</v>
      </c>
      <c r="J906">
        <v>338.1</v>
      </c>
      <c r="K906">
        <v>438.6</v>
      </c>
      <c r="L906">
        <v>3963000</v>
      </c>
      <c r="M906" t="b">
        <v>0</v>
      </c>
      <c r="N906" t="b">
        <v>0</v>
      </c>
      <c r="O906">
        <v>1000</v>
      </c>
      <c r="P906" t="b">
        <v>0</v>
      </c>
      <c r="Q906" t="b">
        <v>0</v>
      </c>
      <c r="R906" t="b">
        <v>0</v>
      </c>
      <c r="S906" t="s">
        <v>96</v>
      </c>
      <c r="T906" t="s">
        <v>1636</v>
      </c>
      <c r="U906">
        <v>43.860000000000007</v>
      </c>
      <c r="V906">
        <v>0</v>
      </c>
      <c r="W906">
        <v>0</v>
      </c>
      <c r="X906">
        <v>2</v>
      </c>
      <c r="Y906" s="6">
        <v>46082</v>
      </c>
    </row>
    <row r="907" spans="1:26" x14ac:dyDescent="0.3">
      <c r="A907" t="s">
        <v>1012</v>
      </c>
      <c r="B907" s="5">
        <v>46076</v>
      </c>
      <c r="C907" s="5">
        <v>46077</v>
      </c>
      <c r="D907" s="5">
        <v>46079</v>
      </c>
      <c r="E907" s="5">
        <v>46079</v>
      </c>
      <c r="F907" t="s">
        <v>34</v>
      </c>
      <c r="G907" t="s">
        <v>58</v>
      </c>
      <c r="H907" t="s">
        <v>20</v>
      </c>
      <c r="I907" t="s">
        <v>43</v>
      </c>
      <c r="J907">
        <v>148.6</v>
      </c>
      <c r="K907">
        <v>2832.4</v>
      </c>
      <c r="L907">
        <v>4092000</v>
      </c>
      <c r="M907" t="b">
        <v>0</v>
      </c>
      <c r="N907" t="b">
        <v>0</v>
      </c>
      <c r="O907">
        <v>5000</v>
      </c>
      <c r="P907" t="b">
        <v>0</v>
      </c>
      <c r="Q907" t="b">
        <v>0</v>
      </c>
      <c r="R907" t="b">
        <v>0</v>
      </c>
      <c r="S907" t="s">
        <v>96</v>
      </c>
      <c r="T907" t="s">
        <v>1637</v>
      </c>
      <c r="U907">
        <v>56.648000000000003</v>
      </c>
      <c r="V907">
        <v>0</v>
      </c>
      <c r="W907">
        <v>0</v>
      </c>
      <c r="X907">
        <v>2</v>
      </c>
      <c r="Y907" s="6">
        <v>46054</v>
      </c>
    </row>
    <row r="908" spans="1:26" x14ac:dyDescent="0.3">
      <c r="A908" t="s">
        <v>1013</v>
      </c>
      <c r="B908" s="5">
        <v>46050</v>
      </c>
      <c r="C908" s="5">
        <v>46051</v>
      </c>
      <c r="D908" s="5">
        <v>46052</v>
      </c>
      <c r="E908" s="5">
        <v>46052</v>
      </c>
      <c r="F908" t="s">
        <v>34</v>
      </c>
      <c r="G908" t="s">
        <v>61</v>
      </c>
      <c r="H908" t="s">
        <v>23</v>
      </c>
      <c r="I908" t="s">
        <v>43</v>
      </c>
      <c r="J908">
        <v>25.3</v>
      </c>
      <c r="K908">
        <v>816.5</v>
      </c>
      <c r="L908">
        <v>1400000</v>
      </c>
      <c r="M908" t="b">
        <v>0</v>
      </c>
      <c r="N908" t="b">
        <v>0</v>
      </c>
      <c r="O908">
        <v>5000</v>
      </c>
      <c r="P908" t="b">
        <v>0</v>
      </c>
      <c r="Q908" t="b">
        <v>0</v>
      </c>
      <c r="R908" t="b">
        <v>0</v>
      </c>
      <c r="S908" t="s">
        <v>96</v>
      </c>
      <c r="T908" t="s">
        <v>1638</v>
      </c>
      <c r="U908">
        <v>16.329999999999998</v>
      </c>
      <c r="V908">
        <v>0</v>
      </c>
      <c r="W908">
        <v>0</v>
      </c>
      <c r="X908">
        <v>1</v>
      </c>
      <c r="Y908" s="6">
        <v>46023</v>
      </c>
    </row>
    <row r="909" spans="1:26" x14ac:dyDescent="0.3">
      <c r="A909" t="s">
        <v>1014</v>
      </c>
      <c r="B909" s="5">
        <v>46114</v>
      </c>
      <c r="C909" s="5">
        <v>46114</v>
      </c>
      <c r="D909" s="5">
        <v>46116</v>
      </c>
      <c r="E909" s="5">
        <v>46117</v>
      </c>
      <c r="F909" t="s">
        <v>34</v>
      </c>
      <c r="G909" t="s">
        <v>58</v>
      </c>
      <c r="H909" t="s">
        <v>23</v>
      </c>
      <c r="I909" t="s">
        <v>45</v>
      </c>
      <c r="J909">
        <v>142.69999999999999</v>
      </c>
      <c r="K909">
        <v>384.4</v>
      </c>
      <c r="L909">
        <v>1927000</v>
      </c>
      <c r="M909" t="b">
        <v>0</v>
      </c>
      <c r="N909" t="b">
        <v>0</v>
      </c>
      <c r="O909">
        <v>1000</v>
      </c>
      <c r="P909" t="b">
        <v>0</v>
      </c>
      <c r="Q909" t="b">
        <v>0</v>
      </c>
      <c r="R909" t="b">
        <v>0</v>
      </c>
      <c r="S909" t="s">
        <v>101</v>
      </c>
      <c r="T909" t="s">
        <v>1637</v>
      </c>
      <c r="U909">
        <v>38.44</v>
      </c>
      <c r="V909">
        <v>0</v>
      </c>
      <c r="W909">
        <v>0</v>
      </c>
      <c r="X909">
        <v>3</v>
      </c>
      <c r="Y909" s="6">
        <v>46113</v>
      </c>
      <c r="Z909">
        <v>1</v>
      </c>
    </row>
    <row r="910" spans="1:26" x14ac:dyDescent="0.3">
      <c r="A910" t="s">
        <v>1015</v>
      </c>
      <c r="B910" s="5">
        <v>46111</v>
      </c>
      <c r="C910" s="5">
        <v>46112</v>
      </c>
      <c r="D910" s="5">
        <v>46114</v>
      </c>
      <c r="E910" s="5">
        <v>46114</v>
      </c>
      <c r="F910" t="s">
        <v>34</v>
      </c>
      <c r="G910" t="s">
        <v>58</v>
      </c>
      <c r="H910" t="s">
        <v>24</v>
      </c>
      <c r="I910" t="s">
        <v>45</v>
      </c>
      <c r="J910">
        <v>153.69999999999999</v>
      </c>
      <c r="K910">
        <v>223.7</v>
      </c>
      <c r="L910">
        <v>1721000</v>
      </c>
      <c r="M910" t="b">
        <v>0</v>
      </c>
      <c r="N910" t="b">
        <v>0</v>
      </c>
      <c r="O910">
        <v>1000</v>
      </c>
      <c r="P910" t="b">
        <v>0</v>
      </c>
      <c r="Q910" t="b">
        <v>0</v>
      </c>
      <c r="R910" t="b">
        <v>0</v>
      </c>
      <c r="S910" t="s">
        <v>96</v>
      </c>
      <c r="T910" t="s">
        <v>1637</v>
      </c>
      <c r="U910">
        <v>22.37</v>
      </c>
      <c r="V910">
        <v>0</v>
      </c>
      <c r="W910">
        <v>0</v>
      </c>
      <c r="X910">
        <v>2</v>
      </c>
      <c r="Y910" s="6">
        <v>46082</v>
      </c>
    </row>
    <row r="911" spans="1:26" x14ac:dyDescent="0.3">
      <c r="A911" t="s">
        <v>1016</v>
      </c>
      <c r="B911" s="5">
        <v>46028</v>
      </c>
      <c r="C911" s="5">
        <v>46029</v>
      </c>
      <c r="D911" s="5">
        <v>46033</v>
      </c>
      <c r="E911" s="5">
        <v>46034</v>
      </c>
      <c r="F911" t="s">
        <v>31</v>
      </c>
      <c r="G911" t="s">
        <v>56</v>
      </c>
      <c r="H911" t="s">
        <v>24</v>
      </c>
      <c r="I911" t="s">
        <v>43</v>
      </c>
      <c r="J911">
        <v>971.8</v>
      </c>
      <c r="K911">
        <v>3079.2</v>
      </c>
      <c r="L911">
        <v>12645000</v>
      </c>
      <c r="M911" t="b">
        <v>0</v>
      </c>
      <c r="N911" t="b">
        <v>0</v>
      </c>
      <c r="O911">
        <v>5000</v>
      </c>
      <c r="P911" t="b">
        <v>0</v>
      </c>
      <c r="Q911" t="b">
        <v>0</v>
      </c>
      <c r="R911" t="b">
        <v>0</v>
      </c>
      <c r="S911" t="s">
        <v>101</v>
      </c>
      <c r="T911" t="s">
        <v>1614</v>
      </c>
      <c r="U911">
        <v>61.584000000000003</v>
      </c>
      <c r="V911">
        <v>0</v>
      </c>
      <c r="W911">
        <v>0</v>
      </c>
      <c r="X911">
        <v>5</v>
      </c>
      <c r="Y911" s="6">
        <v>46023</v>
      </c>
      <c r="Z911">
        <v>1</v>
      </c>
    </row>
    <row r="912" spans="1:26" x14ac:dyDescent="0.3">
      <c r="A912" t="s">
        <v>1017</v>
      </c>
      <c r="B912" s="5">
        <v>46026</v>
      </c>
      <c r="C912" s="5">
        <v>46026</v>
      </c>
      <c r="D912" s="5">
        <v>46028</v>
      </c>
      <c r="E912" s="5">
        <v>46029</v>
      </c>
      <c r="F912" t="s">
        <v>32</v>
      </c>
      <c r="G912" t="s">
        <v>59</v>
      </c>
      <c r="H912" t="s">
        <v>22</v>
      </c>
      <c r="I912" t="s">
        <v>43</v>
      </c>
      <c r="J912">
        <v>181.3</v>
      </c>
      <c r="K912">
        <v>3322.4</v>
      </c>
      <c r="L912">
        <v>3911000</v>
      </c>
      <c r="M912" t="b">
        <v>0</v>
      </c>
      <c r="N912" t="b">
        <v>0</v>
      </c>
      <c r="O912">
        <v>5000</v>
      </c>
      <c r="P912" t="b">
        <v>0</v>
      </c>
      <c r="Q912" t="b">
        <v>0</v>
      </c>
      <c r="R912" t="b">
        <v>0</v>
      </c>
      <c r="S912" t="s">
        <v>101</v>
      </c>
      <c r="T912" t="s">
        <v>1619</v>
      </c>
      <c r="U912">
        <v>66.448000000000008</v>
      </c>
      <c r="V912">
        <v>0</v>
      </c>
      <c r="W912">
        <v>0</v>
      </c>
      <c r="X912">
        <v>3</v>
      </c>
      <c r="Y912" s="6">
        <v>46023</v>
      </c>
      <c r="Z912">
        <v>1</v>
      </c>
    </row>
    <row r="913" spans="1:26" x14ac:dyDescent="0.3">
      <c r="A913" t="s">
        <v>1018</v>
      </c>
      <c r="B913" s="5">
        <v>46112</v>
      </c>
      <c r="C913" s="5">
        <v>46113</v>
      </c>
      <c r="D913" s="5">
        <v>46116</v>
      </c>
      <c r="E913" s="5">
        <v>46116</v>
      </c>
      <c r="F913" t="s">
        <v>34</v>
      </c>
      <c r="G913" t="s">
        <v>58</v>
      </c>
      <c r="H913" t="s">
        <v>20</v>
      </c>
      <c r="I913" t="s">
        <v>42</v>
      </c>
      <c r="J913">
        <v>151.5</v>
      </c>
      <c r="K913">
        <v>14626.4</v>
      </c>
      <c r="L913">
        <v>7322000</v>
      </c>
      <c r="M913" t="b">
        <v>0</v>
      </c>
      <c r="N913" t="b">
        <v>0</v>
      </c>
      <c r="O913">
        <v>16000</v>
      </c>
      <c r="P913" t="b">
        <v>0</v>
      </c>
      <c r="Q913" t="b">
        <v>0</v>
      </c>
      <c r="R913" t="b">
        <v>0</v>
      </c>
      <c r="S913" t="s">
        <v>96</v>
      </c>
      <c r="T913" t="s">
        <v>1637</v>
      </c>
      <c r="U913">
        <v>91.415000000000006</v>
      </c>
      <c r="V913">
        <v>0</v>
      </c>
      <c r="W913">
        <v>0</v>
      </c>
      <c r="X913">
        <v>3</v>
      </c>
      <c r="Y913" s="6">
        <v>46113</v>
      </c>
    </row>
    <row r="914" spans="1:26" x14ac:dyDescent="0.3">
      <c r="A914" t="s">
        <v>1019</v>
      </c>
      <c r="B914" s="5">
        <v>46107</v>
      </c>
      <c r="C914" s="5">
        <v>46108</v>
      </c>
      <c r="D914" s="5">
        <v>46110</v>
      </c>
      <c r="E914" s="5">
        <v>46110</v>
      </c>
      <c r="F914" t="s">
        <v>34</v>
      </c>
      <c r="G914" t="s">
        <v>58</v>
      </c>
      <c r="H914" t="s">
        <v>21</v>
      </c>
      <c r="I914" t="s">
        <v>42</v>
      </c>
      <c r="J914">
        <v>142.9</v>
      </c>
      <c r="K914">
        <v>5243.2</v>
      </c>
      <c r="L914">
        <v>5146000</v>
      </c>
      <c r="M914" t="b">
        <v>0</v>
      </c>
      <c r="N914" t="b">
        <v>0</v>
      </c>
      <c r="O914">
        <v>16000</v>
      </c>
      <c r="P914" t="b">
        <v>0</v>
      </c>
      <c r="Q914" t="b">
        <v>0</v>
      </c>
      <c r="R914" t="b">
        <v>0</v>
      </c>
      <c r="S914" t="s">
        <v>96</v>
      </c>
      <c r="T914" t="s">
        <v>1637</v>
      </c>
      <c r="U914">
        <v>32.770000000000003</v>
      </c>
      <c r="V914">
        <v>0</v>
      </c>
      <c r="W914">
        <v>0</v>
      </c>
      <c r="X914">
        <v>2</v>
      </c>
      <c r="Y914" s="6">
        <v>46082</v>
      </c>
    </row>
    <row r="915" spans="1:26" x14ac:dyDescent="0.3">
      <c r="A915" t="s">
        <v>1020</v>
      </c>
      <c r="B915" s="5">
        <v>46189</v>
      </c>
      <c r="C915" s="5">
        <v>46190</v>
      </c>
      <c r="D915" s="5">
        <v>46194</v>
      </c>
      <c r="E915" s="5">
        <v>46196</v>
      </c>
      <c r="F915" t="s">
        <v>33</v>
      </c>
      <c r="G915" t="s">
        <v>52</v>
      </c>
      <c r="H915" t="s">
        <v>22</v>
      </c>
      <c r="I915" t="s">
        <v>42</v>
      </c>
      <c r="J915">
        <v>606</v>
      </c>
      <c r="K915">
        <v>12511.9</v>
      </c>
      <c r="L915">
        <v>16783000</v>
      </c>
      <c r="M915" t="b">
        <v>0</v>
      </c>
      <c r="N915" t="b">
        <v>0</v>
      </c>
      <c r="O915">
        <v>16000</v>
      </c>
      <c r="P915" t="b">
        <v>0</v>
      </c>
      <c r="Q915" t="b">
        <v>0</v>
      </c>
      <c r="R915" t="b">
        <v>0</v>
      </c>
      <c r="S915" t="s">
        <v>101</v>
      </c>
      <c r="T915" t="s">
        <v>1622</v>
      </c>
      <c r="U915">
        <v>78.199374999999989</v>
      </c>
      <c r="V915">
        <v>0</v>
      </c>
      <c r="W915">
        <v>0</v>
      </c>
      <c r="X915">
        <v>6</v>
      </c>
      <c r="Y915" s="6">
        <v>46174</v>
      </c>
      <c r="Z915">
        <v>2</v>
      </c>
    </row>
    <row r="916" spans="1:26" x14ac:dyDescent="0.3">
      <c r="A916" t="s">
        <v>1021</v>
      </c>
      <c r="B916" s="5">
        <v>46123</v>
      </c>
      <c r="C916" s="5">
        <v>46124</v>
      </c>
      <c r="D916" s="5">
        <v>46127</v>
      </c>
      <c r="E916" s="5">
        <v>46127</v>
      </c>
      <c r="F916" t="s">
        <v>32</v>
      </c>
      <c r="G916" t="s">
        <v>52</v>
      </c>
      <c r="H916" t="s">
        <v>24</v>
      </c>
      <c r="I916" t="s">
        <v>45</v>
      </c>
      <c r="J916">
        <v>328</v>
      </c>
      <c r="K916">
        <v>592.6</v>
      </c>
      <c r="L916">
        <v>3389000</v>
      </c>
      <c r="M916" t="b">
        <v>0</v>
      </c>
      <c r="N916" t="b">
        <v>0</v>
      </c>
      <c r="O916">
        <v>1000</v>
      </c>
      <c r="P916" t="b">
        <v>0</v>
      </c>
      <c r="Q916" t="b">
        <v>0</v>
      </c>
      <c r="R916" t="b">
        <v>0</v>
      </c>
      <c r="S916" t="s">
        <v>96</v>
      </c>
      <c r="T916" t="s">
        <v>1611</v>
      </c>
      <c r="U916">
        <v>59.260000000000012</v>
      </c>
      <c r="V916">
        <v>0</v>
      </c>
      <c r="W916">
        <v>0</v>
      </c>
      <c r="X916">
        <v>3</v>
      </c>
      <c r="Y916" s="6">
        <v>46113</v>
      </c>
    </row>
    <row r="917" spans="1:26" x14ac:dyDescent="0.3">
      <c r="A917" t="s">
        <v>1022</v>
      </c>
      <c r="B917" s="5">
        <v>46088</v>
      </c>
      <c r="C917" s="5">
        <v>46088</v>
      </c>
      <c r="D917" s="5">
        <v>46090</v>
      </c>
      <c r="E917" s="5">
        <v>46090</v>
      </c>
      <c r="F917" t="s">
        <v>33</v>
      </c>
      <c r="G917" t="s">
        <v>60</v>
      </c>
      <c r="H917" t="s">
        <v>24</v>
      </c>
      <c r="I917" t="s">
        <v>42</v>
      </c>
      <c r="J917">
        <v>21.8</v>
      </c>
      <c r="K917">
        <v>7096.9</v>
      </c>
      <c r="L917">
        <v>3774000</v>
      </c>
      <c r="M917" t="b">
        <v>0</v>
      </c>
      <c r="N917" t="b">
        <v>0</v>
      </c>
      <c r="O917">
        <v>16000</v>
      </c>
      <c r="P917" t="b">
        <v>0</v>
      </c>
      <c r="Q917" t="b">
        <v>0</v>
      </c>
      <c r="R917" t="b">
        <v>0</v>
      </c>
      <c r="S917" t="s">
        <v>96</v>
      </c>
      <c r="T917" t="s">
        <v>1650</v>
      </c>
      <c r="U917">
        <v>44.355625000000003</v>
      </c>
      <c r="V917">
        <v>0</v>
      </c>
      <c r="W917">
        <v>0</v>
      </c>
      <c r="X917">
        <v>2</v>
      </c>
      <c r="Y917" s="6">
        <v>46082</v>
      </c>
    </row>
    <row r="918" spans="1:26" x14ac:dyDescent="0.3">
      <c r="A918" t="s">
        <v>1023</v>
      </c>
      <c r="B918" s="5">
        <v>46165</v>
      </c>
      <c r="C918" s="5">
        <v>46166</v>
      </c>
      <c r="D918" s="5">
        <v>46168</v>
      </c>
      <c r="E918" s="5">
        <v>46168</v>
      </c>
      <c r="F918" t="s">
        <v>32</v>
      </c>
      <c r="G918" t="s">
        <v>53</v>
      </c>
      <c r="H918" t="s">
        <v>22</v>
      </c>
      <c r="I918" t="s">
        <v>44</v>
      </c>
      <c r="J918">
        <v>281.2</v>
      </c>
      <c r="K918">
        <v>736.4</v>
      </c>
      <c r="L918">
        <v>2973000</v>
      </c>
      <c r="M918" t="b">
        <v>0</v>
      </c>
      <c r="N918" t="b">
        <v>0</v>
      </c>
      <c r="O918">
        <v>1500</v>
      </c>
      <c r="P918" t="b">
        <v>0</v>
      </c>
      <c r="Q918" t="b">
        <v>0</v>
      </c>
      <c r="R918" t="b">
        <v>0</v>
      </c>
      <c r="S918" t="s">
        <v>96</v>
      </c>
      <c r="T918" t="s">
        <v>1612</v>
      </c>
      <c r="U918">
        <v>49.093333333333327</v>
      </c>
      <c r="V918">
        <v>0</v>
      </c>
      <c r="W918">
        <v>0</v>
      </c>
      <c r="X918">
        <v>2</v>
      </c>
      <c r="Y918" s="6">
        <v>46143</v>
      </c>
    </row>
    <row r="919" spans="1:26" x14ac:dyDescent="0.3">
      <c r="A919" t="s">
        <v>1024</v>
      </c>
      <c r="B919" s="5">
        <v>46065</v>
      </c>
      <c r="C919" s="5">
        <v>46066</v>
      </c>
      <c r="D919" s="5">
        <v>46067</v>
      </c>
      <c r="E919" s="5">
        <v>46067</v>
      </c>
      <c r="F919" t="s">
        <v>31</v>
      </c>
      <c r="G919" t="s">
        <v>61</v>
      </c>
      <c r="H919" t="s">
        <v>20</v>
      </c>
      <c r="I919" t="s">
        <v>43</v>
      </c>
      <c r="J919">
        <v>52.4</v>
      </c>
      <c r="K919">
        <v>4110.3999999999996</v>
      </c>
      <c r="L919">
        <v>2834000</v>
      </c>
      <c r="M919" t="b">
        <v>0</v>
      </c>
      <c r="N919" t="b">
        <v>0</v>
      </c>
      <c r="O919">
        <v>5000</v>
      </c>
      <c r="P919" t="b">
        <v>0</v>
      </c>
      <c r="Q919" t="b">
        <v>0</v>
      </c>
      <c r="R919" t="b">
        <v>0</v>
      </c>
      <c r="S919" t="s">
        <v>96</v>
      </c>
      <c r="T919" t="s">
        <v>1645</v>
      </c>
      <c r="U919">
        <v>82.207999999999998</v>
      </c>
      <c r="V919">
        <v>0</v>
      </c>
      <c r="W919">
        <v>0</v>
      </c>
      <c r="X919">
        <v>1</v>
      </c>
      <c r="Y919" s="6">
        <v>46054</v>
      </c>
    </row>
    <row r="920" spans="1:26" x14ac:dyDescent="0.3">
      <c r="A920" t="s">
        <v>1025</v>
      </c>
      <c r="B920" s="5">
        <v>46177</v>
      </c>
      <c r="C920" s="5">
        <v>46178</v>
      </c>
      <c r="D920" s="5">
        <v>46181</v>
      </c>
      <c r="E920" s="5">
        <v>46181</v>
      </c>
      <c r="F920" t="s">
        <v>33</v>
      </c>
      <c r="G920" t="s">
        <v>53</v>
      </c>
      <c r="H920" t="s">
        <v>22</v>
      </c>
      <c r="I920" t="s">
        <v>45</v>
      </c>
      <c r="J920">
        <v>566.1</v>
      </c>
      <c r="K920">
        <v>549.4</v>
      </c>
      <c r="L920">
        <v>5024000</v>
      </c>
      <c r="M920" t="b">
        <v>0</v>
      </c>
      <c r="N920" t="b">
        <v>0</v>
      </c>
      <c r="O920">
        <v>1000</v>
      </c>
      <c r="P920" t="b">
        <v>0</v>
      </c>
      <c r="Q920" t="b">
        <v>0</v>
      </c>
      <c r="R920" t="b">
        <v>0</v>
      </c>
      <c r="S920" t="s">
        <v>96</v>
      </c>
      <c r="T920" t="s">
        <v>1632</v>
      </c>
      <c r="U920">
        <v>54.94</v>
      </c>
      <c r="V920">
        <v>0</v>
      </c>
      <c r="W920">
        <v>0</v>
      </c>
      <c r="X920">
        <v>3</v>
      </c>
      <c r="Y920" s="6">
        <v>46174</v>
      </c>
    </row>
    <row r="921" spans="1:26" x14ac:dyDescent="0.3">
      <c r="A921" t="s">
        <v>1026</v>
      </c>
      <c r="B921" s="5">
        <v>46075</v>
      </c>
      <c r="C921" s="5">
        <v>46076</v>
      </c>
      <c r="D921" s="5">
        <v>46080</v>
      </c>
      <c r="E921" s="5">
        <v>46081</v>
      </c>
      <c r="F921" t="s">
        <v>31</v>
      </c>
      <c r="G921" t="s">
        <v>56</v>
      </c>
      <c r="H921" t="s">
        <v>22</v>
      </c>
      <c r="I921" t="s">
        <v>43</v>
      </c>
      <c r="J921">
        <v>979.5</v>
      </c>
      <c r="K921">
        <v>2301.9</v>
      </c>
      <c r="L921">
        <v>12847000</v>
      </c>
      <c r="M921" t="b">
        <v>0</v>
      </c>
      <c r="N921" t="b">
        <v>0</v>
      </c>
      <c r="O921">
        <v>5000</v>
      </c>
      <c r="P921" t="b">
        <v>0</v>
      </c>
      <c r="Q921" t="b">
        <v>0</v>
      </c>
      <c r="R921" t="b">
        <v>0</v>
      </c>
      <c r="S921" t="s">
        <v>101</v>
      </c>
      <c r="T921" t="s">
        <v>1614</v>
      </c>
      <c r="U921">
        <v>46.037999999999997</v>
      </c>
      <c r="V921">
        <v>0</v>
      </c>
      <c r="W921">
        <v>0</v>
      </c>
      <c r="X921">
        <v>5</v>
      </c>
      <c r="Y921" s="6">
        <v>46054</v>
      </c>
      <c r="Z921">
        <v>1</v>
      </c>
    </row>
    <row r="922" spans="1:26" x14ac:dyDescent="0.3">
      <c r="A922" t="s">
        <v>1027</v>
      </c>
      <c r="B922" s="5">
        <v>46100</v>
      </c>
      <c r="C922" s="5">
        <v>46101</v>
      </c>
      <c r="D922" s="5">
        <v>46103</v>
      </c>
      <c r="E922" s="5">
        <v>46104</v>
      </c>
      <c r="F922" t="s">
        <v>34</v>
      </c>
      <c r="G922" t="s">
        <v>52</v>
      </c>
      <c r="H922" t="s">
        <v>22</v>
      </c>
      <c r="I922" t="s">
        <v>44</v>
      </c>
      <c r="J922">
        <v>297.3</v>
      </c>
      <c r="K922">
        <v>1191.9000000000001</v>
      </c>
      <c r="L922">
        <v>3876000</v>
      </c>
      <c r="M922" t="b">
        <v>0</v>
      </c>
      <c r="N922" t="b">
        <v>0</v>
      </c>
      <c r="O922">
        <v>1500</v>
      </c>
      <c r="P922" t="b">
        <v>0</v>
      </c>
      <c r="Q922" t="b">
        <v>0</v>
      </c>
      <c r="R922" t="b">
        <v>0</v>
      </c>
      <c r="S922" t="s">
        <v>101</v>
      </c>
      <c r="T922" t="s">
        <v>1623</v>
      </c>
      <c r="U922">
        <v>79.460000000000008</v>
      </c>
      <c r="V922">
        <v>0</v>
      </c>
      <c r="W922">
        <v>0</v>
      </c>
      <c r="X922">
        <v>3</v>
      </c>
      <c r="Y922" s="6">
        <v>46082</v>
      </c>
      <c r="Z922">
        <v>1</v>
      </c>
    </row>
    <row r="923" spans="1:26" x14ac:dyDescent="0.3">
      <c r="A923" t="s">
        <v>1028</v>
      </c>
      <c r="B923" s="5">
        <v>46159</v>
      </c>
      <c r="C923" s="5">
        <v>46161</v>
      </c>
      <c r="D923" s="5">
        <v>46164</v>
      </c>
      <c r="E923" s="5">
        <v>46164</v>
      </c>
      <c r="F923" t="s">
        <v>34</v>
      </c>
      <c r="G923" t="s">
        <v>52</v>
      </c>
      <c r="H923" t="s">
        <v>21</v>
      </c>
      <c r="I923" t="s">
        <v>42</v>
      </c>
      <c r="J923">
        <v>305.5</v>
      </c>
      <c r="K923">
        <v>11554.7</v>
      </c>
      <c r="L923">
        <v>9186000</v>
      </c>
      <c r="M923" t="b">
        <v>0</v>
      </c>
      <c r="N923" t="b">
        <v>0</v>
      </c>
      <c r="O923">
        <v>16000</v>
      </c>
      <c r="P923" t="b">
        <v>0</v>
      </c>
      <c r="Q923" t="b">
        <v>0</v>
      </c>
      <c r="R923" t="b">
        <v>0</v>
      </c>
      <c r="S923" t="s">
        <v>96</v>
      </c>
      <c r="T923" t="s">
        <v>1623</v>
      </c>
      <c r="U923">
        <v>72.216875000000002</v>
      </c>
      <c r="V923">
        <v>0</v>
      </c>
      <c r="W923">
        <v>0</v>
      </c>
      <c r="X923">
        <v>3</v>
      </c>
      <c r="Y923" s="6">
        <v>46143</v>
      </c>
    </row>
    <row r="924" spans="1:26" x14ac:dyDescent="0.3">
      <c r="A924" t="s">
        <v>1029</v>
      </c>
      <c r="B924" s="5">
        <v>46105</v>
      </c>
      <c r="C924" s="5">
        <v>46106</v>
      </c>
      <c r="D924" s="5">
        <v>46109</v>
      </c>
      <c r="E924" s="5">
        <v>46109</v>
      </c>
      <c r="F924" t="s">
        <v>34</v>
      </c>
      <c r="G924" t="s">
        <v>54</v>
      </c>
      <c r="H924" t="s">
        <v>21</v>
      </c>
      <c r="I924" t="s">
        <v>44</v>
      </c>
      <c r="J924">
        <v>454.4</v>
      </c>
      <c r="K924">
        <v>866.6</v>
      </c>
      <c r="L924">
        <v>5089000</v>
      </c>
      <c r="M924" t="b">
        <v>0</v>
      </c>
      <c r="N924" t="b">
        <v>0</v>
      </c>
      <c r="O924">
        <v>1500</v>
      </c>
      <c r="P924" t="b">
        <v>0</v>
      </c>
      <c r="Q924" t="b">
        <v>0</v>
      </c>
      <c r="R924" t="b">
        <v>0</v>
      </c>
      <c r="S924" t="s">
        <v>96</v>
      </c>
      <c r="T924" t="s">
        <v>1635</v>
      </c>
      <c r="U924">
        <v>57.773333333333333</v>
      </c>
      <c r="V924">
        <v>0</v>
      </c>
      <c r="W924">
        <v>0</v>
      </c>
      <c r="X924">
        <v>3</v>
      </c>
      <c r="Y924" s="6">
        <v>46082</v>
      </c>
    </row>
    <row r="925" spans="1:26" x14ac:dyDescent="0.3">
      <c r="A925" t="s">
        <v>1030</v>
      </c>
      <c r="B925" s="5">
        <v>46043</v>
      </c>
      <c r="C925" s="5">
        <v>46043</v>
      </c>
      <c r="D925" s="5">
        <v>46047</v>
      </c>
      <c r="E925" s="5">
        <v>46047</v>
      </c>
      <c r="F925" t="s">
        <v>34</v>
      </c>
      <c r="G925" t="s">
        <v>60</v>
      </c>
      <c r="H925" t="s">
        <v>21</v>
      </c>
      <c r="I925" t="s">
        <v>45</v>
      </c>
      <c r="J925">
        <v>728.2</v>
      </c>
      <c r="K925">
        <v>190.6</v>
      </c>
      <c r="L925">
        <v>6738000</v>
      </c>
      <c r="M925" t="b">
        <v>0</v>
      </c>
      <c r="N925" t="b">
        <v>0</v>
      </c>
      <c r="O925">
        <v>1000</v>
      </c>
      <c r="P925" t="b">
        <v>0</v>
      </c>
      <c r="Q925" t="b">
        <v>0</v>
      </c>
      <c r="R925" t="b">
        <v>0</v>
      </c>
      <c r="S925" t="s">
        <v>96</v>
      </c>
      <c r="T925" t="s">
        <v>1644</v>
      </c>
      <c r="U925">
        <v>19.059999999999999</v>
      </c>
      <c r="V925">
        <v>0</v>
      </c>
      <c r="W925">
        <v>0</v>
      </c>
      <c r="X925">
        <v>4</v>
      </c>
      <c r="Y925" s="6">
        <v>46023</v>
      </c>
    </row>
    <row r="926" spans="1:26" x14ac:dyDescent="0.3">
      <c r="A926" t="s">
        <v>1031</v>
      </c>
      <c r="B926" s="5">
        <v>46097</v>
      </c>
      <c r="C926" s="5">
        <v>46098</v>
      </c>
      <c r="D926" s="5">
        <v>46100</v>
      </c>
      <c r="E926" s="5">
        <v>46100</v>
      </c>
      <c r="F926" t="s">
        <v>34</v>
      </c>
      <c r="G926" t="s">
        <v>52</v>
      </c>
      <c r="H926" t="s">
        <v>22</v>
      </c>
      <c r="I926" t="s">
        <v>43</v>
      </c>
      <c r="J926">
        <v>270.3</v>
      </c>
      <c r="K926">
        <v>1300.9000000000001</v>
      </c>
      <c r="L926">
        <v>4922000</v>
      </c>
      <c r="M926" t="b">
        <v>0</v>
      </c>
      <c r="N926" t="b">
        <v>0</v>
      </c>
      <c r="O926">
        <v>5000</v>
      </c>
      <c r="P926" t="b">
        <v>0</v>
      </c>
      <c r="Q926" t="b">
        <v>0</v>
      </c>
      <c r="R926" t="b">
        <v>0</v>
      </c>
      <c r="S926" t="s">
        <v>96</v>
      </c>
      <c r="T926" t="s">
        <v>1623</v>
      </c>
      <c r="U926">
        <v>26.018000000000001</v>
      </c>
      <c r="V926">
        <v>0</v>
      </c>
      <c r="W926">
        <v>0</v>
      </c>
      <c r="X926">
        <v>2</v>
      </c>
      <c r="Y926" s="6">
        <v>46082</v>
      </c>
    </row>
    <row r="927" spans="1:26" x14ac:dyDescent="0.3">
      <c r="A927" t="s">
        <v>1032</v>
      </c>
      <c r="B927" s="5">
        <v>46062</v>
      </c>
      <c r="C927" s="5">
        <v>46063</v>
      </c>
      <c r="D927" s="5">
        <v>46067</v>
      </c>
      <c r="E927" s="5">
        <v>46067</v>
      </c>
      <c r="F927" t="s">
        <v>34</v>
      </c>
      <c r="G927" t="s">
        <v>60</v>
      </c>
      <c r="H927" t="s">
        <v>24</v>
      </c>
      <c r="I927" t="s">
        <v>43</v>
      </c>
      <c r="J927">
        <v>633.9</v>
      </c>
      <c r="K927">
        <v>1442</v>
      </c>
      <c r="L927">
        <v>8856000</v>
      </c>
      <c r="M927" t="b">
        <v>0</v>
      </c>
      <c r="N927" t="b">
        <v>0</v>
      </c>
      <c r="O927">
        <v>5000</v>
      </c>
      <c r="P927" t="b">
        <v>0</v>
      </c>
      <c r="Q927" t="b">
        <v>0</v>
      </c>
      <c r="R927" t="b">
        <v>0</v>
      </c>
      <c r="S927" t="s">
        <v>96</v>
      </c>
      <c r="T927" t="s">
        <v>1644</v>
      </c>
      <c r="U927">
        <v>28.84</v>
      </c>
      <c r="V927">
        <v>0</v>
      </c>
      <c r="W927">
        <v>0</v>
      </c>
      <c r="X927">
        <v>4</v>
      </c>
      <c r="Y927" s="6">
        <v>46054</v>
      </c>
    </row>
    <row r="928" spans="1:26" x14ac:dyDescent="0.3">
      <c r="A928" t="s">
        <v>1033</v>
      </c>
      <c r="B928" s="5">
        <v>46059</v>
      </c>
      <c r="C928" s="5">
        <v>46060</v>
      </c>
      <c r="D928" s="5">
        <v>46063</v>
      </c>
      <c r="E928" s="5">
        <v>46063</v>
      </c>
      <c r="F928" t="s">
        <v>32</v>
      </c>
      <c r="G928" t="s">
        <v>54</v>
      </c>
      <c r="H928" t="s">
        <v>23</v>
      </c>
      <c r="I928" t="s">
        <v>42</v>
      </c>
      <c r="J928">
        <v>597.6</v>
      </c>
      <c r="K928">
        <v>11825.6</v>
      </c>
      <c r="L928">
        <v>15360000</v>
      </c>
      <c r="M928" t="b">
        <v>0</v>
      </c>
      <c r="N928" t="b">
        <v>0</v>
      </c>
      <c r="O928">
        <v>16000</v>
      </c>
      <c r="P928" t="b">
        <v>0</v>
      </c>
      <c r="Q928" t="b">
        <v>0</v>
      </c>
      <c r="R928" t="b">
        <v>0</v>
      </c>
      <c r="S928" t="s">
        <v>96</v>
      </c>
      <c r="T928" t="s">
        <v>1655</v>
      </c>
      <c r="U928">
        <v>73.91</v>
      </c>
      <c r="V928">
        <v>0</v>
      </c>
      <c r="W928">
        <v>0</v>
      </c>
      <c r="X928">
        <v>3</v>
      </c>
      <c r="Y928" s="6">
        <v>46054</v>
      </c>
    </row>
    <row r="929" spans="1:26" x14ac:dyDescent="0.3">
      <c r="A929" t="s">
        <v>1034</v>
      </c>
      <c r="B929" s="5">
        <v>46148</v>
      </c>
      <c r="C929" s="5">
        <v>46149</v>
      </c>
      <c r="D929" s="5">
        <v>46150</v>
      </c>
      <c r="E929" s="5">
        <v>46150</v>
      </c>
      <c r="F929" t="s">
        <v>34</v>
      </c>
      <c r="G929" t="s">
        <v>55</v>
      </c>
      <c r="H929" t="s">
        <v>23</v>
      </c>
      <c r="I929" t="s">
        <v>44</v>
      </c>
      <c r="J929">
        <v>52.9</v>
      </c>
      <c r="K929">
        <v>1240.5999999999999</v>
      </c>
      <c r="L929">
        <v>1758000</v>
      </c>
      <c r="M929" t="b">
        <v>0</v>
      </c>
      <c r="N929" t="b">
        <v>0</v>
      </c>
      <c r="O929">
        <v>1500</v>
      </c>
      <c r="P929" t="b">
        <v>0</v>
      </c>
      <c r="Q929" t="b">
        <v>0</v>
      </c>
      <c r="R929" t="b">
        <v>0</v>
      </c>
      <c r="S929" t="s">
        <v>96</v>
      </c>
      <c r="T929" t="s">
        <v>1639</v>
      </c>
      <c r="U929">
        <v>82.706666666666663</v>
      </c>
      <c r="V929">
        <v>0</v>
      </c>
      <c r="W929">
        <v>0</v>
      </c>
      <c r="X929">
        <v>1</v>
      </c>
      <c r="Y929" s="6">
        <v>46143</v>
      </c>
    </row>
    <row r="930" spans="1:26" x14ac:dyDescent="0.3">
      <c r="A930" t="s">
        <v>1035</v>
      </c>
      <c r="B930" s="5">
        <v>46098</v>
      </c>
      <c r="C930" s="5">
        <v>46099</v>
      </c>
      <c r="D930" s="5">
        <v>46102</v>
      </c>
      <c r="E930" s="5">
        <v>46101</v>
      </c>
      <c r="F930" t="s">
        <v>31</v>
      </c>
      <c r="G930" t="s">
        <v>53</v>
      </c>
      <c r="H930" t="s">
        <v>21</v>
      </c>
      <c r="I930" t="s">
        <v>42</v>
      </c>
      <c r="J930">
        <v>341.7</v>
      </c>
      <c r="K930">
        <v>13621.6</v>
      </c>
      <c r="L930">
        <v>11429000</v>
      </c>
      <c r="M930" t="b">
        <v>0</v>
      </c>
      <c r="N930" t="b">
        <v>0</v>
      </c>
      <c r="O930">
        <v>16000</v>
      </c>
      <c r="P930" t="b">
        <v>0</v>
      </c>
      <c r="Q930" t="b">
        <v>0</v>
      </c>
      <c r="R930" t="b">
        <v>0</v>
      </c>
      <c r="S930" t="s">
        <v>96</v>
      </c>
      <c r="T930" t="s">
        <v>1627</v>
      </c>
      <c r="U930">
        <v>85.135000000000005</v>
      </c>
      <c r="V930">
        <v>0</v>
      </c>
      <c r="W930">
        <v>0</v>
      </c>
      <c r="X930">
        <v>2</v>
      </c>
      <c r="Y930" s="6">
        <v>46082</v>
      </c>
    </row>
    <row r="931" spans="1:26" x14ac:dyDescent="0.3">
      <c r="A931" t="s">
        <v>1036</v>
      </c>
      <c r="B931" s="5">
        <v>46121</v>
      </c>
      <c r="C931" s="5">
        <v>46122</v>
      </c>
      <c r="D931" s="5">
        <v>46125</v>
      </c>
      <c r="E931" s="5">
        <v>46126</v>
      </c>
      <c r="F931" t="s">
        <v>34</v>
      </c>
      <c r="G931" t="s">
        <v>63</v>
      </c>
      <c r="H931" t="s">
        <v>22</v>
      </c>
      <c r="I931" t="s">
        <v>44</v>
      </c>
      <c r="J931">
        <v>344</v>
      </c>
      <c r="K931">
        <v>1249.5999999999999</v>
      </c>
      <c r="L931">
        <v>4027000</v>
      </c>
      <c r="M931" t="b">
        <v>0</v>
      </c>
      <c r="N931" t="b">
        <v>0</v>
      </c>
      <c r="O931">
        <v>1500</v>
      </c>
      <c r="P931" t="b">
        <v>0</v>
      </c>
      <c r="Q931" t="b">
        <v>0</v>
      </c>
      <c r="R931" t="b">
        <v>0</v>
      </c>
      <c r="S931" t="s">
        <v>101</v>
      </c>
      <c r="T931" t="s">
        <v>1613</v>
      </c>
      <c r="U931">
        <v>83.306666666666658</v>
      </c>
      <c r="V931">
        <v>0</v>
      </c>
      <c r="W931">
        <v>0</v>
      </c>
      <c r="X931">
        <v>4</v>
      </c>
      <c r="Y931" s="6">
        <v>46113</v>
      </c>
      <c r="Z931">
        <v>1</v>
      </c>
    </row>
    <row r="932" spans="1:26" x14ac:dyDescent="0.3">
      <c r="A932" t="s">
        <v>1037</v>
      </c>
      <c r="B932" s="5">
        <v>46182</v>
      </c>
      <c r="C932" s="5">
        <v>46183</v>
      </c>
      <c r="D932" s="5">
        <v>46186</v>
      </c>
      <c r="E932" s="5">
        <v>46187</v>
      </c>
      <c r="F932" t="s">
        <v>34</v>
      </c>
      <c r="G932" t="s">
        <v>63</v>
      </c>
      <c r="H932" t="s">
        <v>24</v>
      </c>
      <c r="I932" t="s">
        <v>44</v>
      </c>
      <c r="J932">
        <v>334.2</v>
      </c>
      <c r="K932">
        <v>1103.8</v>
      </c>
      <c r="L932">
        <v>3984000</v>
      </c>
      <c r="M932" t="b">
        <v>0</v>
      </c>
      <c r="N932" t="b">
        <v>0</v>
      </c>
      <c r="O932">
        <v>1500</v>
      </c>
      <c r="P932" t="b">
        <v>0</v>
      </c>
      <c r="Q932" t="b">
        <v>0</v>
      </c>
      <c r="R932" t="b">
        <v>0</v>
      </c>
      <c r="S932" t="s">
        <v>101</v>
      </c>
      <c r="T932" t="s">
        <v>1613</v>
      </c>
      <c r="U932">
        <v>73.586666666666673</v>
      </c>
      <c r="V932">
        <v>0</v>
      </c>
      <c r="W932">
        <v>0</v>
      </c>
      <c r="X932">
        <v>4</v>
      </c>
      <c r="Y932" s="6">
        <v>46174</v>
      </c>
      <c r="Z932">
        <v>1</v>
      </c>
    </row>
    <row r="933" spans="1:26" x14ac:dyDescent="0.3">
      <c r="A933" t="s">
        <v>1038</v>
      </c>
      <c r="B933" s="5">
        <v>46088</v>
      </c>
      <c r="C933" s="5">
        <v>46089</v>
      </c>
      <c r="D933" s="5">
        <v>46093</v>
      </c>
      <c r="E933" s="5">
        <v>46093</v>
      </c>
      <c r="F933" t="s">
        <v>31</v>
      </c>
      <c r="G933" t="s">
        <v>62</v>
      </c>
      <c r="H933" t="s">
        <v>20</v>
      </c>
      <c r="I933" t="s">
        <v>43</v>
      </c>
      <c r="J933">
        <v>722.8</v>
      </c>
      <c r="K933">
        <v>1057.2</v>
      </c>
      <c r="L933">
        <v>9914000</v>
      </c>
      <c r="M933" t="b">
        <v>0</v>
      </c>
      <c r="N933" t="b">
        <v>0</v>
      </c>
      <c r="O933">
        <v>5000</v>
      </c>
      <c r="P933" t="b">
        <v>0</v>
      </c>
      <c r="Q933" t="b">
        <v>0</v>
      </c>
      <c r="R933" t="b">
        <v>0</v>
      </c>
      <c r="S933" t="s">
        <v>96</v>
      </c>
      <c r="T933" t="s">
        <v>1615</v>
      </c>
      <c r="U933">
        <v>21.143999999999998</v>
      </c>
      <c r="V933">
        <v>0</v>
      </c>
      <c r="W933">
        <v>0</v>
      </c>
      <c r="X933">
        <v>4</v>
      </c>
      <c r="Y933" s="6">
        <v>46082</v>
      </c>
    </row>
    <row r="934" spans="1:26" x14ac:dyDescent="0.3">
      <c r="A934" t="s">
        <v>1039</v>
      </c>
      <c r="B934" s="5">
        <v>46038</v>
      </c>
      <c r="C934" s="5">
        <v>46038</v>
      </c>
      <c r="D934" s="5">
        <v>46042</v>
      </c>
      <c r="E934" s="5">
        <v>46042</v>
      </c>
      <c r="F934" t="s">
        <v>31</v>
      </c>
      <c r="G934" t="s">
        <v>56</v>
      </c>
      <c r="H934" t="s">
        <v>21</v>
      </c>
      <c r="I934" t="s">
        <v>43</v>
      </c>
      <c r="J934">
        <v>977.8</v>
      </c>
      <c r="K934">
        <v>3246.9</v>
      </c>
      <c r="L934">
        <v>14505000</v>
      </c>
      <c r="M934" t="b">
        <v>0</v>
      </c>
      <c r="N934" t="b">
        <v>0</v>
      </c>
      <c r="O934">
        <v>5000</v>
      </c>
      <c r="P934" t="b">
        <v>0</v>
      </c>
      <c r="Q934" t="b">
        <v>0</v>
      </c>
      <c r="R934" t="b">
        <v>0</v>
      </c>
      <c r="S934" t="s">
        <v>96</v>
      </c>
      <c r="T934" t="s">
        <v>1614</v>
      </c>
      <c r="U934">
        <v>64.938000000000002</v>
      </c>
      <c r="V934">
        <v>0</v>
      </c>
      <c r="W934">
        <v>0</v>
      </c>
      <c r="X934">
        <v>4</v>
      </c>
      <c r="Y934" s="6">
        <v>46023</v>
      </c>
    </row>
    <row r="935" spans="1:26" x14ac:dyDescent="0.3">
      <c r="A935" t="s">
        <v>1040</v>
      </c>
      <c r="B935" s="5">
        <v>46035</v>
      </c>
      <c r="C935" s="5">
        <v>46036</v>
      </c>
      <c r="D935" s="5">
        <v>46038</v>
      </c>
      <c r="E935" s="5">
        <v>46038</v>
      </c>
      <c r="F935" t="s">
        <v>34</v>
      </c>
      <c r="G935" t="s">
        <v>57</v>
      </c>
      <c r="H935" t="s">
        <v>21</v>
      </c>
      <c r="I935" t="s">
        <v>42</v>
      </c>
      <c r="J935">
        <v>156.5</v>
      </c>
      <c r="K935">
        <v>6981.2</v>
      </c>
      <c r="L935">
        <v>5260000</v>
      </c>
      <c r="M935" t="b">
        <v>0</v>
      </c>
      <c r="N935" t="b">
        <v>0</v>
      </c>
      <c r="O935">
        <v>16000</v>
      </c>
      <c r="P935" t="b">
        <v>0</v>
      </c>
      <c r="Q935" t="b">
        <v>0</v>
      </c>
      <c r="R935" t="b">
        <v>0</v>
      </c>
      <c r="S935" t="s">
        <v>96</v>
      </c>
      <c r="T935" t="s">
        <v>1620</v>
      </c>
      <c r="U935">
        <v>43.632499999999993</v>
      </c>
      <c r="V935">
        <v>0</v>
      </c>
      <c r="W935">
        <v>0</v>
      </c>
      <c r="X935">
        <v>2</v>
      </c>
      <c r="Y935" s="6">
        <v>46023</v>
      </c>
    </row>
    <row r="936" spans="1:26" x14ac:dyDescent="0.3">
      <c r="A936" t="s">
        <v>1041</v>
      </c>
      <c r="B936" s="5">
        <v>46044</v>
      </c>
      <c r="C936" s="5">
        <v>46045</v>
      </c>
      <c r="D936" s="5">
        <v>46047</v>
      </c>
      <c r="E936" s="5">
        <v>46048</v>
      </c>
      <c r="F936" t="s">
        <v>33</v>
      </c>
      <c r="G936" t="s">
        <v>62</v>
      </c>
      <c r="H936" t="s">
        <v>20</v>
      </c>
      <c r="I936" t="s">
        <v>42</v>
      </c>
      <c r="J936">
        <v>141.69999999999999</v>
      </c>
      <c r="K936">
        <v>3061.9</v>
      </c>
      <c r="L936">
        <v>4032000</v>
      </c>
      <c r="M936" t="b">
        <v>0</v>
      </c>
      <c r="N936" t="b">
        <v>0</v>
      </c>
      <c r="O936">
        <v>16000</v>
      </c>
      <c r="P936" t="b">
        <v>0</v>
      </c>
      <c r="Q936" t="b">
        <v>0</v>
      </c>
      <c r="R936" t="b">
        <v>0</v>
      </c>
      <c r="S936" t="s">
        <v>101</v>
      </c>
      <c r="T936" t="s">
        <v>1657</v>
      </c>
      <c r="U936">
        <v>19.136875</v>
      </c>
      <c r="V936">
        <v>0</v>
      </c>
      <c r="W936">
        <v>0</v>
      </c>
      <c r="X936">
        <v>3</v>
      </c>
      <c r="Y936" s="6">
        <v>46023</v>
      </c>
      <c r="Z936">
        <v>1</v>
      </c>
    </row>
    <row r="937" spans="1:26" x14ac:dyDescent="0.3">
      <c r="A937" t="s">
        <v>1042</v>
      </c>
      <c r="B937" s="5">
        <v>46037</v>
      </c>
      <c r="C937" s="5">
        <v>46038</v>
      </c>
      <c r="D937" s="5">
        <v>46042</v>
      </c>
      <c r="E937" s="5">
        <v>46042</v>
      </c>
      <c r="F937" t="s">
        <v>34</v>
      </c>
      <c r="G937" t="s">
        <v>60</v>
      </c>
      <c r="H937" t="s">
        <v>22</v>
      </c>
      <c r="I937" t="s">
        <v>42</v>
      </c>
      <c r="J937">
        <v>639.1</v>
      </c>
      <c r="K937">
        <v>5726.4</v>
      </c>
      <c r="L937">
        <v>13704000</v>
      </c>
      <c r="M937" t="b">
        <v>0</v>
      </c>
      <c r="N937" t="b">
        <v>0</v>
      </c>
      <c r="O937">
        <v>16000</v>
      </c>
      <c r="P937" t="b">
        <v>0</v>
      </c>
      <c r="Q937" t="b">
        <v>0</v>
      </c>
      <c r="R937" t="b">
        <v>0</v>
      </c>
      <c r="S937" t="s">
        <v>96</v>
      </c>
      <c r="T937" t="s">
        <v>1644</v>
      </c>
      <c r="U937">
        <v>35.79</v>
      </c>
      <c r="V937">
        <v>0</v>
      </c>
      <c r="W937">
        <v>0</v>
      </c>
      <c r="X937">
        <v>4</v>
      </c>
      <c r="Y937" s="6">
        <v>46023</v>
      </c>
    </row>
    <row r="938" spans="1:26" x14ac:dyDescent="0.3">
      <c r="A938" t="s">
        <v>1043</v>
      </c>
      <c r="B938" s="5">
        <v>46027</v>
      </c>
      <c r="C938" s="5">
        <v>46028</v>
      </c>
      <c r="D938" s="5">
        <v>46031</v>
      </c>
      <c r="E938" s="5">
        <v>46031</v>
      </c>
      <c r="F938" t="s">
        <v>32</v>
      </c>
      <c r="G938" t="s">
        <v>60</v>
      </c>
      <c r="H938" t="s">
        <v>24</v>
      </c>
      <c r="I938" t="s">
        <v>45</v>
      </c>
      <c r="J938">
        <v>485.7</v>
      </c>
      <c r="K938">
        <v>401.4</v>
      </c>
      <c r="L938">
        <v>4218000</v>
      </c>
      <c r="M938" t="b">
        <v>0</v>
      </c>
      <c r="N938" t="b">
        <v>0</v>
      </c>
      <c r="O938">
        <v>1000</v>
      </c>
      <c r="P938" t="b">
        <v>0</v>
      </c>
      <c r="Q938" t="b">
        <v>0</v>
      </c>
      <c r="R938" t="b">
        <v>0</v>
      </c>
      <c r="S938" t="s">
        <v>96</v>
      </c>
      <c r="T938" t="s">
        <v>1647</v>
      </c>
      <c r="U938">
        <v>40.14</v>
      </c>
      <c r="V938">
        <v>0</v>
      </c>
      <c r="W938">
        <v>0</v>
      </c>
      <c r="X938">
        <v>3</v>
      </c>
      <c r="Y938" s="6">
        <v>46023</v>
      </c>
    </row>
    <row r="939" spans="1:26" x14ac:dyDescent="0.3">
      <c r="A939" t="s">
        <v>1044</v>
      </c>
      <c r="B939" s="5">
        <v>46053</v>
      </c>
      <c r="C939" s="5">
        <v>46053</v>
      </c>
      <c r="D939" s="5">
        <v>46055</v>
      </c>
      <c r="E939" s="5">
        <v>46055</v>
      </c>
      <c r="F939" t="s">
        <v>34</v>
      </c>
      <c r="G939" t="s">
        <v>57</v>
      </c>
      <c r="H939" t="s">
        <v>21</v>
      </c>
      <c r="I939" t="s">
        <v>45</v>
      </c>
      <c r="J939">
        <v>147</v>
      </c>
      <c r="K939">
        <v>772.5</v>
      </c>
      <c r="L939">
        <v>1685000</v>
      </c>
      <c r="M939" t="b">
        <v>0</v>
      </c>
      <c r="N939" t="b">
        <v>0</v>
      </c>
      <c r="O939">
        <v>1000</v>
      </c>
      <c r="P939" t="b">
        <v>0</v>
      </c>
      <c r="Q939" t="b">
        <v>0</v>
      </c>
      <c r="R939" t="b">
        <v>0</v>
      </c>
      <c r="S939" t="s">
        <v>96</v>
      </c>
      <c r="T939" t="s">
        <v>1620</v>
      </c>
      <c r="U939">
        <v>77.25</v>
      </c>
      <c r="V939">
        <v>0</v>
      </c>
      <c r="W939">
        <v>0</v>
      </c>
      <c r="X939">
        <v>2</v>
      </c>
      <c r="Y939" s="6">
        <v>46023</v>
      </c>
    </row>
    <row r="940" spans="1:26" x14ac:dyDescent="0.3">
      <c r="A940" t="s">
        <v>1045</v>
      </c>
      <c r="B940" s="5">
        <v>46059</v>
      </c>
      <c r="C940" s="5">
        <v>46060</v>
      </c>
      <c r="D940" s="5">
        <v>46062</v>
      </c>
      <c r="E940" s="5">
        <v>46062</v>
      </c>
      <c r="F940" t="s">
        <v>34</v>
      </c>
      <c r="G940" t="s">
        <v>52</v>
      </c>
      <c r="H940" t="s">
        <v>21</v>
      </c>
      <c r="I940" t="s">
        <v>44</v>
      </c>
      <c r="J940">
        <v>265.10000000000002</v>
      </c>
      <c r="K940">
        <v>1013.6</v>
      </c>
      <c r="L940">
        <v>3628000</v>
      </c>
      <c r="M940" t="b">
        <v>0</v>
      </c>
      <c r="N940" t="b">
        <v>0</v>
      </c>
      <c r="O940">
        <v>1500</v>
      </c>
      <c r="P940" t="b">
        <v>0</v>
      </c>
      <c r="Q940" t="b">
        <v>0</v>
      </c>
      <c r="R940" t="b">
        <v>0</v>
      </c>
      <c r="S940" t="s">
        <v>96</v>
      </c>
      <c r="T940" t="s">
        <v>1623</v>
      </c>
      <c r="U940">
        <v>67.573333333333323</v>
      </c>
      <c r="V940">
        <v>0</v>
      </c>
      <c r="W940">
        <v>0</v>
      </c>
      <c r="X940">
        <v>2</v>
      </c>
      <c r="Y940" s="6">
        <v>46054</v>
      </c>
    </row>
    <row r="941" spans="1:26" x14ac:dyDescent="0.3">
      <c r="A941" t="s">
        <v>1046</v>
      </c>
      <c r="B941" s="5">
        <v>46153</v>
      </c>
      <c r="C941" s="5">
        <v>46154</v>
      </c>
      <c r="D941" s="5">
        <v>46156</v>
      </c>
      <c r="E941" s="5">
        <v>46156</v>
      </c>
      <c r="F941" t="s">
        <v>34</v>
      </c>
      <c r="G941" t="s">
        <v>53</v>
      </c>
      <c r="H941" t="s">
        <v>21</v>
      </c>
      <c r="I941" t="s">
        <v>42</v>
      </c>
      <c r="J941">
        <v>290.3</v>
      </c>
      <c r="K941">
        <v>14910.4</v>
      </c>
      <c r="L941">
        <v>10155000</v>
      </c>
      <c r="M941" t="b">
        <v>0</v>
      </c>
      <c r="N941" t="b">
        <v>0</v>
      </c>
      <c r="O941">
        <v>16000</v>
      </c>
      <c r="P941" t="b">
        <v>0</v>
      </c>
      <c r="Q941" t="b">
        <v>0</v>
      </c>
      <c r="R941" t="b">
        <v>0</v>
      </c>
      <c r="S941" t="s">
        <v>96</v>
      </c>
      <c r="T941" t="s">
        <v>1636</v>
      </c>
      <c r="U941">
        <v>93.19</v>
      </c>
      <c r="V941">
        <v>0</v>
      </c>
      <c r="W941">
        <v>0</v>
      </c>
      <c r="X941">
        <v>2</v>
      </c>
      <c r="Y941" s="6">
        <v>46143</v>
      </c>
    </row>
    <row r="942" spans="1:26" x14ac:dyDescent="0.3">
      <c r="A942" t="s">
        <v>1047</v>
      </c>
      <c r="B942" s="5">
        <v>46179</v>
      </c>
      <c r="C942" s="5">
        <v>46180</v>
      </c>
      <c r="D942" s="5">
        <v>46183</v>
      </c>
      <c r="E942" s="5">
        <v>46184</v>
      </c>
      <c r="F942" t="s">
        <v>34</v>
      </c>
      <c r="G942" t="s">
        <v>54</v>
      </c>
      <c r="H942" t="s">
        <v>22</v>
      </c>
      <c r="I942" t="s">
        <v>43</v>
      </c>
      <c r="J942">
        <v>457.5</v>
      </c>
      <c r="K942">
        <v>2436.3000000000002</v>
      </c>
      <c r="L942">
        <v>7539000</v>
      </c>
      <c r="M942" t="b">
        <v>0</v>
      </c>
      <c r="N942" t="b">
        <v>0</v>
      </c>
      <c r="O942">
        <v>5000</v>
      </c>
      <c r="P942" t="b">
        <v>0</v>
      </c>
      <c r="Q942" t="b">
        <v>0</v>
      </c>
      <c r="R942" t="b">
        <v>0</v>
      </c>
      <c r="S942" t="s">
        <v>101</v>
      </c>
      <c r="T942" t="s">
        <v>1635</v>
      </c>
      <c r="U942">
        <v>48.725999999999999</v>
      </c>
      <c r="V942">
        <v>0</v>
      </c>
      <c r="W942">
        <v>0</v>
      </c>
      <c r="X942">
        <v>4</v>
      </c>
      <c r="Y942" s="6">
        <v>46174</v>
      </c>
      <c r="Z942">
        <v>1</v>
      </c>
    </row>
    <row r="943" spans="1:26" x14ac:dyDescent="0.3">
      <c r="A943" t="s">
        <v>1048</v>
      </c>
      <c r="B943" s="5">
        <v>46177</v>
      </c>
      <c r="C943" s="5">
        <v>46178</v>
      </c>
      <c r="D943" s="5">
        <v>46180</v>
      </c>
      <c r="E943" s="5">
        <v>46179</v>
      </c>
      <c r="F943" t="s">
        <v>31</v>
      </c>
      <c r="G943" t="s">
        <v>53</v>
      </c>
      <c r="H943" t="s">
        <v>20</v>
      </c>
      <c r="I943" t="s">
        <v>43</v>
      </c>
      <c r="J943">
        <v>284</v>
      </c>
      <c r="K943">
        <v>650.1</v>
      </c>
      <c r="L943">
        <v>4309000</v>
      </c>
      <c r="M943" t="b">
        <v>0</v>
      </c>
      <c r="N943" t="b">
        <v>0</v>
      </c>
      <c r="O943">
        <v>5000</v>
      </c>
      <c r="P943" t="b">
        <v>0</v>
      </c>
      <c r="Q943" t="b">
        <v>0</v>
      </c>
      <c r="R943" t="b">
        <v>0</v>
      </c>
      <c r="S943" t="s">
        <v>96</v>
      </c>
      <c r="T943" t="s">
        <v>1627</v>
      </c>
      <c r="U943">
        <v>13.002000000000001</v>
      </c>
      <c r="V943">
        <v>0</v>
      </c>
      <c r="W943">
        <v>0</v>
      </c>
      <c r="X943">
        <v>1</v>
      </c>
      <c r="Y943" s="6">
        <v>46174</v>
      </c>
    </row>
    <row r="944" spans="1:26" x14ac:dyDescent="0.3">
      <c r="A944" t="s">
        <v>1049</v>
      </c>
      <c r="B944" s="5">
        <v>46091</v>
      </c>
      <c r="C944" s="5">
        <v>46092</v>
      </c>
      <c r="D944" s="5">
        <v>46095</v>
      </c>
      <c r="E944" s="5">
        <v>46095</v>
      </c>
      <c r="F944" t="s">
        <v>33</v>
      </c>
      <c r="G944" t="s">
        <v>53</v>
      </c>
      <c r="H944" t="s">
        <v>23</v>
      </c>
      <c r="I944" t="s">
        <v>42</v>
      </c>
      <c r="J944">
        <v>554.5</v>
      </c>
      <c r="K944">
        <v>13531.5</v>
      </c>
      <c r="L944">
        <v>14514000</v>
      </c>
      <c r="M944" t="b">
        <v>0</v>
      </c>
      <c r="N944" t="b">
        <v>0</v>
      </c>
      <c r="O944">
        <v>16000</v>
      </c>
      <c r="P944" t="b">
        <v>0</v>
      </c>
      <c r="Q944" t="b">
        <v>0</v>
      </c>
      <c r="R944" t="b">
        <v>0</v>
      </c>
      <c r="S944" t="s">
        <v>96</v>
      </c>
      <c r="T944" t="s">
        <v>1632</v>
      </c>
      <c r="U944">
        <v>84.571874999999991</v>
      </c>
      <c r="V944">
        <v>0</v>
      </c>
      <c r="W944">
        <v>0</v>
      </c>
      <c r="X944">
        <v>3</v>
      </c>
      <c r="Y944" s="6">
        <v>46082</v>
      </c>
    </row>
    <row r="945" spans="1:26" x14ac:dyDescent="0.3">
      <c r="A945" t="s">
        <v>1050</v>
      </c>
      <c r="B945" s="5">
        <v>46180</v>
      </c>
      <c r="C945" s="5">
        <v>46180</v>
      </c>
      <c r="D945" s="5">
        <v>46183</v>
      </c>
      <c r="E945" s="5">
        <v>46184</v>
      </c>
      <c r="F945" t="s">
        <v>31</v>
      </c>
      <c r="G945" t="s">
        <v>52</v>
      </c>
      <c r="H945" t="s">
        <v>22</v>
      </c>
      <c r="I945" t="s">
        <v>44</v>
      </c>
      <c r="J945">
        <v>287</v>
      </c>
      <c r="K945">
        <v>540.1</v>
      </c>
      <c r="L945">
        <v>3561000</v>
      </c>
      <c r="M945" t="b">
        <v>0</v>
      </c>
      <c r="N945" t="b">
        <v>0</v>
      </c>
      <c r="O945">
        <v>1500</v>
      </c>
      <c r="P945" t="b">
        <v>0</v>
      </c>
      <c r="Q945" t="b">
        <v>0</v>
      </c>
      <c r="R945" t="b">
        <v>0</v>
      </c>
      <c r="S945" t="s">
        <v>101</v>
      </c>
      <c r="T945" t="s">
        <v>1618</v>
      </c>
      <c r="U945">
        <v>36.006666666666668</v>
      </c>
      <c r="V945">
        <v>0</v>
      </c>
      <c r="W945">
        <v>0</v>
      </c>
      <c r="X945">
        <v>4</v>
      </c>
      <c r="Y945" s="6">
        <v>46174</v>
      </c>
      <c r="Z945">
        <v>1</v>
      </c>
    </row>
    <row r="946" spans="1:26" x14ac:dyDescent="0.3">
      <c r="A946" t="s">
        <v>1051</v>
      </c>
      <c r="B946" s="5">
        <v>46100</v>
      </c>
      <c r="C946" s="5">
        <v>46102</v>
      </c>
      <c r="D946" s="5">
        <v>46105</v>
      </c>
      <c r="E946" s="5">
        <v>46105</v>
      </c>
      <c r="F946" t="s">
        <v>31</v>
      </c>
      <c r="G946" t="s">
        <v>54</v>
      </c>
      <c r="H946" t="s">
        <v>22</v>
      </c>
      <c r="I946" t="s">
        <v>42</v>
      </c>
      <c r="J946">
        <v>443.4</v>
      </c>
      <c r="K946">
        <v>10094.299999999999</v>
      </c>
      <c r="L946">
        <v>10144000</v>
      </c>
      <c r="M946" t="b">
        <v>0</v>
      </c>
      <c r="N946" t="b">
        <v>0</v>
      </c>
      <c r="O946">
        <v>16000</v>
      </c>
      <c r="P946" t="b">
        <v>0</v>
      </c>
      <c r="Q946" t="b">
        <v>0</v>
      </c>
      <c r="R946" t="b">
        <v>0</v>
      </c>
      <c r="S946" t="s">
        <v>96</v>
      </c>
      <c r="T946" t="s">
        <v>1631</v>
      </c>
      <c r="U946">
        <v>63.08937499999999</v>
      </c>
      <c r="V946">
        <v>0</v>
      </c>
      <c r="W946">
        <v>0</v>
      </c>
      <c r="X946">
        <v>3</v>
      </c>
      <c r="Y946" s="6">
        <v>46082</v>
      </c>
    </row>
    <row r="947" spans="1:26" x14ac:dyDescent="0.3">
      <c r="A947" t="s">
        <v>1052</v>
      </c>
      <c r="B947" s="5">
        <v>46046</v>
      </c>
      <c r="C947" s="5">
        <v>46046</v>
      </c>
      <c r="D947" s="5">
        <v>46048</v>
      </c>
      <c r="E947" s="5">
        <v>46049</v>
      </c>
      <c r="F947" t="s">
        <v>31</v>
      </c>
      <c r="G947" t="s">
        <v>61</v>
      </c>
      <c r="H947" t="s">
        <v>21</v>
      </c>
      <c r="I947" t="s">
        <v>44</v>
      </c>
      <c r="J947">
        <v>57.3</v>
      </c>
      <c r="K947">
        <v>1084</v>
      </c>
      <c r="L947">
        <v>1818000</v>
      </c>
      <c r="M947" t="b">
        <v>0</v>
      </c>
      <c r="N947" t="b">
        <v>0</v>
      </c>
      <c r="O947">
        <v>1500</v>
      </c>
      <c r="P947" t="b">
        <v>0</v>
      </c>
      <c r="Q947" t="b">
        <v>0</v>
      </c>
      <c r="R947" t="b">
        <v>0</v>
      </c>
      <c r="S947" t="s">
        <v>101</v>
      </c>
      <c r="T947" t="s">
        <v>1645</v>
      </c>
      <c r="U947">
        <v>72.266666666666666</v>
      </c>
      <c r="V947">
        <v>0</v>
      </c>
      <c r="W947">
        <v>0</v>
      </c>
      <c r="X947">
        <v>3</v>
      </c>
      <c r="Y947" s="6">
        <v>46023</v>
      </c>
      <c r="Z947">
        <v>1</v>
      </c>
    </row>
    <row r="948" spans="1:26" x14ac:dyDescent="0.3">
      <c r="A948" t="s">
        <v>1053</v>
      </c>
      <c r="B948" s="5">
        <v>46036</v>
      </c>
      <c r="C948" s="5">
        <v>46036</v>
      </c>
      <c r="D948" s="5">
        <v>46040</v>
      </c>
      <c r="E948" s="5">
        <v>46043</v>
      </c>
      <c r="F948" t="s">
        <v>33</v>
      </c>
      <c r="G948" t="s">
        <v>54</v>
      </c>
      <c r="H948" t="s">
        <v>22</v>
      </c>
      <c r="I948" t="s">
        <v>43</v>
      </c>
      <c r="J948">
        <v>897.6</v>
      </c>
      <c r="K948">
        <v>4399.8999999999996</v>
      </c>
      <c r="L948">
        <v>13321000</v>
      </c>
      <c r="M948" t="b">
        <v>0</v>
      </c>
      <c r="N948" t="b">
        <v>0</v>
      </c>
      <c r="O948">
        <v>5000</v>
      </c>
      <c r="P948" t="b">
        <v>0</v>
      </c>
      <c r="Q948" t="b">
        <v>0</v>
      </c>
      <c r="R948" t="b">
        <v>0</v>
      </c>
      <c r="S948" t="s">
        <v>101</v>
      </c>
      <c r="T948" t="s">
        <v>1642</v>
      </c>
      <c r="U948">
        <v>87.99799999999999</v>
      </c>
      <c r="V948">
        <v>0</v>
      </c>
      <c r="W948">
        <v>0</v>
      </c>
      <c r="X948">
        <v>7</v>
      </c>
      <c r="Y948" s="6">
        <v>46023</v>
      </c>
      <c r="Z948">
        <v>3</v>
      </c>
    </row>
    <row r="949" spans="1:26" x14ac:dyDescent="0.3">
      <c r="A949" t="s">
        <v>1054</v>
      </c>
      <c r="B949" s="5">
        <v>46040</v>
      </c>
      <c r="C949" s="5">
        <v>46041</v>
      </c>
      <c r="D949" s="5">
        <v>46045</v>
      </c>
      <c r="E949" s="5">
        <v>46045</v>
      </c>
      <c r="F949" t="s">
        <v>34</v>
      </c>
      <c r="G949" t="s">
        <v>62</v>
      </c>
      <c r="H949" t="s">
        <v>20</v>
      </c>
      <c r="I949" t="s">
        <v>43</v>
      </c>
      <c r="J949">
        <v>686.4</v>
      </c>
      <c r="K949">
        <v>2722.3</v>
      </c>
      <c r="L949">
        <v>9763000</v>
      </c>
      <c r="M949" t="b">
        <v>0</v>
      </c>
      <c r="N949" t="b">
        <v>0</v>
      </c>
      <c r="O949">
        <v>5000</v>
      </c>
      <c r="P949" t="b">
        <v>0</v>
      </c>
      <c r="Q949" t="b">
        <v>0</v>
      </c>
      <c r="R949" t="b">
        <v>0</v>
      </c>
      <c r="S949" t="s">
        <v>96</v>
      </c>
      <c r="T949" t="s">
        <v>1649</v>
      </c>
      <c r="U949">
        <v>54.446000000000012</v>
      </c>
      <c r="V949">
        <v>0</v>
      </c>
      <c r="W949">
        <v>0</v>
      </c>
      <c r="X949">
        <v>4</v>
      </c>
      <c r="Y949" s="6">
        <v>46023</v>
      </c>
    </row>
    <row r="950" spans="1:26" x14ac:dyDescent="0.3">
      <c r="A950" t="s">
        <v>1055</v>
      </c>
      <c r="B950" s="5">
        <v>46196</v>
      </c>
      <c r="C950" s="5">
        <v>46197</v>
      </c>
      <c r="D950" s="5">
        <v>46200</v>
      </c>
      <c r="E950" s="5">
        <v>46201</v>
      </c>
      <c r="F950" t="s">
        <v>34</v>
      </c>
      <c r="G950" t="s">
        <v>63</v>
      </c>
      <c r="H950" t="s">
        <v>20</v>
      </c>
      <c r="I950" t="s">
        <v>42</v>
      </c>
      <c r="J950">
        <v>316.3</v>
      </c>
      <c r="K950">
        <v>11589</v>
      </c>
      <c r="L950">
        <v>8798000</v>
      </c>
      <c r="M950" t="b">
        <v>0</v>
      </c>
      <c r="N950" t="b">
        <v>0</v>
      </c>
      <c r="O950">
        <v>16000</v>
      </c>
      <c r="P950" t="b">
        <v>0</v>
      </c>
      <c r="Q950" t="b">
        <v>0</v>
      </c>
      <c r="R950" t="b">
        <v>0</v>
      </c>
      <c r="S950" t="s">
        <v>101</v>
      </c>
      <c r="T950" t="s">
        <v>1613</v>
      </c>
      <c r="U950">
        <v>72.431250000000006</v>
      </c>
      <c r="V950">
        <v>0</v>
      </c>
      <c r="W950">
        <v>0</v>
      </c>
      <c r="X950">
        <v>4</v>
      </c>
      <c r="Y950" s="6">
        <v>46174</v>
      </c>
      <c r="Z950">
        <v>1</v>
      </c>
    </row>
    <row r="951" spans="1:26" x14ac:dyDescent="0.3">
      <c r="A951" t="s">
        <v>1056</v>
      </c>
      <c r="B951" s="5">
        <v>46137</v>
      </c>
      <c r="C951" s="5">
        <v>46138</v>
      </c>
      <c r="D951" s="5">
        <v>46139</v>
      </c>
      <c r="E951" s="5">
        <v>46139</v>
      </c>
      <c r="F951" t="s">
        <v>34</v>
      </c>
      <c r="G951" t="s">
        <v>61</v>
      </c>
      <c r="H951" t="s">
        <v>24</v>
      </c>
      <c r="I951" t="s">
        <v>44</v>
      </c>
      <c r="J951">
        <v>22.8</v>
      </c>
      <c r="K951">
        <v>931.9</v>
      </c>
      <c r="L951">
        <v>1219000</v>
      </c>
      <c r="M951" t="b">
        <v>0</v>
      </c>
      <c r="N951" t="b">
        <v>0</v>
      </c>
      <c r="O951">
        <v>1500</v>
      </c>
      <c r="P951" t="b">
        <v>0</v>
      </c>
      <c r="Q951" t="b">
        <v>0</v>
      </c>
      <c r="R951" t="b">
        <v>0</v>
      </c>
      <c r="S951" t="s">
        <v>96</v>
      </c>
      <c r="T951" t="s">
        <v>1638</v>
      </c>
      <c r="U951">
        <v>62.126666666666672</v>
      </c>
      <c r="V951">
        <v>0</v>
      </c>
      <c r="W951">
        <v>0</v>
      </c>
      <c r="X951">
        <v>1</v>
      </c>
      <c r="Y951" s="6">
        <v>46113</v>
      </c>
    </row>
    <row r="952" spans="1:26" x14ac:dyDescent="0.3">
      <c r="A952" t="s">
        <v>1057</v>
      </c>
      <c r="B952" s="5">
        <v>46187</v>
      </c>
      <c r="C952" s="5">
        <v>46188</v>
      </c>
      <c r="D952" s="5">
        <v>46190</v>
      </c>
      <c r="E952" s="5">
        <v>46190</v>
      </c>
      <c r="F952" t="s">
        <v>32</v>
      </c>
      <c r="G952" t="s">
        <v>53</v>
      </c>
      <c r="H952" t="s">
        <v>24</v>
      </c>
      <c r="I952" t="s">
        <v>44</v>
      </c>
      <c r="J952">
        <v>258.5</v>
      </c>
      <c r="K952">
        <v>709.9</v>
      </c>
      <c r="L952">
        <v>3399000</v>
      </c>
      <c r="M952" t="b">
        <v>0</v>
      </c>
      <c r="N952" t="b">
        <v>0</v>
      </c>
      <c r="O952">
        <v>1500</v>
      </c>
      <c r="P952" t="b">
        <v>0</v>
      </c>
      <c r="Q952" t="b">
        <v>0</v>
      </c>
      <c r="R952" t="b">
        <v>0</v>
      </c>
      <c r="S952" t="s">
        <v>96</v>
      </c>
      <c r="T952" t="s">
        <v>1612</v>
      </c>
      <c r="U952">
        <v>47.326666666666668</v>
      </c>
      <c r="V952">
        <v>0</v>
      </c>
      <c r="W952">
        <v>0</v>
      </c>
      <c r="X952">
        <v>2</v>
      </c>
      <c r="Y952" s="6">
        <v>46174</v>
      </c>
    </row>
    <row r="953" spans="1:26" x14ac:dyDescent="0.3">
      <c r="A953" t="s">
        <v>1058</v>
      </c>
      <c r="B953" s="5">
        <v>46112</v>
      </c>
      <c r="C953" s="5">
        <v>46113</v>
      </c>
      <c r="D953" s="5">
        <v>46115</v>
      </c>
      <c r="E953" s="5">
        <v>46115</v>
      </c>
      <c r="F953" t="s">
        <v>34</v>
      </c>
      <c r="G953" t="s">
        <v>61</v>
      </c>
      <c r="H953" t="s">
        <v>21</v>
      </c>
      <c r="I953" t="s">
        <v>44</v>
      </c>
      <c r="J953">
        <v>15.5</v>
      </c>
      <c r="K953">
        <v>296.8</v>
      </c>
      <c r="L953">
        <v>745000</v>
      </c>
      <c r="M953" t="b">
        <v>0</v>
      </c>
      <c r="N953" t="b">
        <v>0</v>
      </c>
      <c r="O953">
        <v>1500</v>
      </c>
      <c r="P953" t="b">
        <v>0</v>
      </c>
      <c r="Q953" t="b">
        <v>0</v>
      </c>
      <c r="R953" t="b">
        <v>0</v>
      </c>
      <c r="S953" t="s">
        <v>96</v>
      </c>
      <c r="T953" t="s">
        <v>1638</v>
      </c>
      <c r="U953">
        <v>19.786666666666669</v>
      </c>
      <c r="V953">
        <v>0</v>
      </c>
      <c r="W953">
        <v>0</v>
      </c>
      <c r="X953">
        <v>2</v>
      </c>
      <c r="Y953" s="6">
        <v>46113</v>
      </c>
    </row>
    <row r="954" spans="1:26" x14ac:dyDescent="0.3">
      <c r="A954" t="s">
        <v>1059</v>
      </c>
      <c r="B954" s="5">
        <v>46189</v>
      </c>
      <c r="C954" s="5">
        <v>46190</v>
      </c>
      <c r="D954" s="5">
        <v>46192</v>
      </c>
      <c r="E954" s="5">
        <v>46192</v>
      </c>
      <c r="F954" t="s">
        <v>34</v>
      </c>
      <c r="G954" t="s">
        <v>52</v>
      </c>
      <c r="H954" t="s">
        <v>23</v>
      </c>
      <c r="I954" t="s">
        <v>44</v>
      </c>
      <c r="J954">
        <v>269.60000000000002</v>
      </c>
      <c r="K954">
        <v>1041.4000000000001</v>
      </c>
      <c r="L954">
        <v>3054000</v>
      </c>
      <c r="M954" t="b">
        <v>0</v>
      </c>
      <c r="N954" t="b">
        <v>0</v>
      </c>
      <c r="O954">
        <v>1500</v>
      </c>
      <c r="P954" t="b">
        <v>0</v>
      </c>
      <c r="Q954" t="b">
        <v>0</v>
      </c>
      <c r="R954" t="b">
        <v>0</v>
      </c>
      <c r="S954" t="s">
        <v>96</v>
      </c>
      <c r="T954" t="s">
        <v>1623</v>
      </c>
      <c r="U954">
        <v>69.426666666666677</v>
      </c>
      <c r="V954">
        <v>0</v>
      </c>
      <c r="W954">
        <v>0</v>
      </c>
      <c r="X954">
        <v>2</v>
      </c>
      <c r="Y954" s="6">
        <v>46174</v>
      </c>
    </row>
    <row r="955" spans="1:26" x14ac:dyDescent="0.3">
      <c r="A955" t="s">
        <v>1060</v>
      </c>
      <c r="B955" s="5">
        <v>46156</v>
      </c>
      <c r="C955" s="5">
        <v>46158</v>
      </c>
      <c r="D955" s="5">
        <v>46161</v>
      </c>
      <c r="E955" s="5">
        <v>46160</v>
      </c>
      <c r="F955" t="s">
        <v>34</v>
      </c>
      <c r="G955" t="s">
        <v>63</v>
      </c>
      <c r="H955" t="s">
        <v>20</v>
      </c>
      <c r="I955" t="s">
        <v>45</v>
      </c>
      <c r="J955">
        <v>341.5</v>
      </c>
      <c r="K955">
        <v>472.1</v>
      </c>
      <c r="L955">
        <v>3536000</v>
      </c>
      <c r="M955" t="b">
        <v>0</v>
      </c>
      <c r="N955" t="b">
        <v>0</v>
      </c>
      <c r="O955">
        <v>1000</v>
      </c>
      <c r="P955" t="b">
        <v>0</v>
      </c>
      <c r="Q955" t="b">
        <v>0</v>
      </c>
      <c r="R955" t="b">
        <v>0</v>
      </c>
      <c r="S955" t="s">
        <v>96</v>
      </c>
      <c r="T955" t="s">
        <v>1613</v>
      </c>
      <c r="U955">
        <v>47.21</v>
      </c>
      <c r="V955">
        <v>0</v>
      </c>
      <c r="W955">
        <v>0</v>
      </c>
      <c r="X955">
        <v>2</v>
      </c>
      <c r="Y955" s="6">
        <v>46143</v>
      </c>
    </row>
    <row r="956" spans="1:26" x14ac:dyDescent="0.3">
      <c r="A956" t="s">
        <v>1061</v>
      </c>
      <c r="B956" s="5">
        <v>46097</v>
      </c>
      <c r="C956" s="5">
        <v>46098</v>
      </c>
      <c r="D956" s="5">
        <v>46102</v>
      </c>
      <c r="E956" s="5">
        <v>46104</v>
      </c>
      <c r="F956" t="s">
        <v>34</v>
      </c>
      <c r="G956" t="s">
        <v>59</v>
      </c>
      <c r="H956" t="s">
        <v>24</v>
      </c>
      <c r="I956" t="s">
        <v>45</v>
      </c>
      <c r="J956">
        <v>322.5</v>
      </c>
      <c r="K956">
        <v>448</v>
      </c>
      <c r="L956">
        <v>3711000</v>
      </c>
      <c r="M956" t="b">
        <v>0</v>
      </c>
      <c r="N956" t="b">
        <v>0</v>
      </c>
      <c r="O956">
        <v>1000</v>
      </c>
      <c r="P956" t="b">
        <v>0</v>
      </c>
      <c r="Q956" t="b">
        <v>0</v>
      </c>
      <c r="R956" t="b">
        <v>0</v>
      </c>
      <c r="S956" t="s">
        <v>101</v>
      </c>
      <c r="T956" t="s">
        <v>1616</v>
      </c>
      <c r="U956">
        <v>44.8</v>
      </c>
      <c r="V956">
        <v>0</v>
      </c>
      <c r="W956">
        <v>0</v>
      </c>
      <c r="X956">
        <v>6</v>
      </c>
      <c r="Y956" s="6">
        <v>46082</v>
      </c>
      <c r="Z956">
        <v>2</v>
      </c>
    </row>
    <row r="957" spans="1:26" x14ac:dyDescent="0.3">
      <c r="A957" t="s">
        <v>1062</v>
      </c>
      <c r="B957" s="5">
        <v>46039</v>
      </c>
      <c r="C957" s="5">
        <v>46039</v>
      </c>
      <c r="D957" s="5">
        <v>46043</v>
      </c>
      <c r="E957" s="5">
        <v>46043</v>
      </c>
      <c r="F957" t="s">
        <v>33</v>
      </c>
      <c r="G957" t="s">
        <v>56</v>
      </c>
      <c r="H957" t="s">
        <v>21</v>
      </c>
      <c r="I957" t="s">
        <v>42</v>
      </c>
      <c r="J957">
        <v>1506.6</v>
      </c>
      <c r="K957">
        <v>9156.2000000000007</v>
      </c>
      <c r="L957">
        <v>30698000</v>
      </c>
      <c r="M957" t="b">
        <v>0</v>
      </c>
      <c r="N957" t="b">
        <v>0</v>
      </c>
      <c r="O957">
        <v>16000</v>
      </c>
      <c r="P957" t="b">
        <v>0</v>
      </c>
      <c r="Q957" t="b">
        <v>0</v>
      </c>
      <c r="R957" t="b">
        <v>0</v>
      </c>
      <c r="S957" t="s">
        <v>96</v>
      </c>
      <c r="T957" t="s">
        <v>1654</v>
      </c>
      <c r="U957">
        <v>57.22625</v>
      </c>
      <c r="V957">
        <v>0</v>
      </c>
      <c r="W957">
        <v>0</v>
      </c>
      <c r="X957">
        <v>4</v>
      </c>
      <c r="Y957" s="6">
        <v>46023</v>
      </c>
    </row>
    <row r="958" spans="1:26" x14ac:dyDescent="0.3">
      <c r="A958" t="s">
        <v>1063</v>
      </c>
      <c r="B958" s="5">
        <v>46085</v>
      </c>
      <c r="C958" s="5">
        <v>46086</v>
      </c>
      <c r="D958" s="5">
        <v>46089</v>
      </c>
      <c r="E958" s="5">
        <v>46089</v>
      </c>
      <c r="F958" t="s">
        <v>31</v>
      </c>
      <c r="G958" t="s">
        <v>63</v>
      </c>
      <c r="H958" t="s">
        <v>20</v>
      </c>
      <c r="I958" t="s">
        <v>45</v>
      </c>
      <c r="J958">
        <v>311.8</v>
      </c>
      <c r="K958">
        <v>690.5</v>
      </c>
      <c r="L958">
        <v>3723000</v>
      </c>
      <c r="M958" t="b">
        <v>0</v>
      </c>
      <c r="N958" t="b">
        <v>0</v>
      </c>
      <c r="O958">
        <v>1000</v>
      </c>
      <c r="P958" t="b">
        <v>0</v>
      </c>
      <c r="Q958" t="b">
        <v>0</v>
      </c>
      <c r="R958" t="b">
        <v>0</v>
      </c>
      <c r="S958" t="s">
        <v>96</v>
      </c>
      <c r="T958" t="s">
        <v>1640</v>
      </c>
      <c r="U958">
        <v>69.05</v>
      </c>
      <c r="V958">
        <v>0</v>
      </c>
      <c r="W958">
        <v>0</v>
      </c>
      <c r="X958">
        <v>3</v>
      </c>
      <c r="Y958" s="6">
        <v>46082</v>
      </c>
    </row>
    <row r="959" spans="1:26" x14ac:dyDescent="0.3">
      <c r="A959" t="s">
        <v>1064</v>
      </c>
      <c r="B959" s="5">
        <v>46150</v>
      </c>
      <c r="C959" s="5">
        <v>46151</v>
      </c>
      <c r="D959" s="5">
        <v>46155</v>
      </c>
      <c r="E959" s="5">
        <v>46157</v>
      </c>
      <c r="F959" t="s">
        <v>31</v>
      </c>
      <c r="G959" t="s">
        <v>60</v>
      </c>
      <c r="H959" t="s">
        <v>20</v>
      </c>
      <c r="I959" t="s">
        <v>44</v>
      </c>
      <c r="J959">
        <v>550.4</v>
      </c>
      <c r="K959">
        <v>420.3</v>
      </c>
      <c r="L959">
        <v>5529000</v>
      </c>
      <c r="M959" t="b">
        <v>0</v>
      </c>
      <c r="N959" t="b">
        <v>0</v>
      </c>
      <c r="O959">
        <v>1500</v>
      </c>
      <c r="P959" t="b">
        <v>0</v>
      </c>
      <c r="Q959" t="b">
        <v>0</v>
      </c>
      <c r="R959" t="b">
        <v>0</v>
      </c>
      <c r="S959" t="s">
        <v>101</v>
      </c>
      <c r="T959" t="s">
        <v>1652</v>
      </c>
      <c r="U959">
        <v>28.02</v>
      </c>
      <c r="V959">
        <v>0</v>
      </c>
      <c r="W959">
        <v>0</v>
      </c>
      <c r="X959">
        <v>6</v>
      </c>
      <c r="Y959" s="6">
        <v>46143</v>
      </c>
      <c r="Z959">
        <v>2</v>
      </c>
    </row>
    <row r="960" spans="1:26" x14ac:dyDescent="0.3">
      <c r="A960" t="s">
        <v>1065</v>
      </c>
      <c r="B960" s="5">
        <v>46201</v>
      </c>
      <c r="C960" s="5">
        <v>46202</v>
      </c>
      <c r="D960" s="5">
        <v>46205</v>
      </c>
      <c r="E960" s="5">
        <v>46205</v>
      </c>
      <c r="F960" t="s">
        <v>31</v>
      </c>
      <c r="G960" t="s">
        <v>59</v>
      </c>
      <c r="H960" t="s">
        <v>23</v>
      </c>
      <c r="I960" t="s">
        <v>43</v>
      </c>
      <c r="J960">
        <v>311.60000000000002</v>
      </c>
      <c r="K960">
        <v>3482.3</v>
      </c>
      <c r="L960">
        <v>5890000</v>
      </c>
      <c r="M960" t="b">
        <v>0</v>
      </c>
      <c r="N960" t="b">
        <v>0</v>
      </c>
      <c r="O960">
        <v>5000</v>
      </c>
      <c r="P960" t="b">
        <v>0</v>
      </c>
      <c r="Q960" t="b">
        <v>0</v>
      </c>
      <c r="R960" t="b">
        <v>0</v>
      </c>
      <c r="S960" t="s">
        <v>96</v>
      </c>
      <c r="T960" t="s">
        <v>1628</v>
      </c>
      <c r="U960">
        <v>69.646000000000015</v>
      </c>
      <c r="V960">
        <v>0</v>
      </c>
      <c r="W960">
        <v>0</v>
      </c>
      <c r="X960">
        <v>3</v>
      </c>
      <c r="Y960" s="6">
        <v>46174</v>
      </c>
    </row>
    <row r="961" spans="1:26" x14ac:dyDescent="0.3">
      <c r="A961" t="s">
        <v>1066</v>
      </c>
      <c r="B961" s="5">
        <v>46103</v>
      </c>
      <c r="C961" s="5">
        <v>46104</v>
      </c>
      <c r="D961" s="5">
        <v>46107</v>
      </c>
      <c r="E961" s="5">
        <v>46106</v>
      </c>
      <c r="F961" t="s">
        <v>32</v>
      </c>
      <c r="G961" t="s">
        <v>60</v>
      </c>
      <c r="H961" t="s">
        <v>24</v>
      </c>
      <c r="I961" t="s">
        <v>44</v>
      </c>
      <c r="J961">
        <v>486.7</v>
      </c>
      <c r="K961">
        <v>976</v>
      </c>
      <c r="L961">
        <v>5654000</v>
      </c>
      <c r="M961" t="b">
        <v>0</v>
      </c>
      <c r="N961" t="b">
        <v>0</v>
      </c>
      <c r="O961">
        <v>1500</v>
      </c>
      <c r="P961" t="b">
        <v>0</v>
      </c>
      <c r="Q961" t="b">
        <v>0</v>
      </c>
      <c r="R961" t="b">
        <v>0</v>
      </c>
      <c r="S961" t="s">
        <v>96</v>
      </c>
      <c r="T961" t="s">
        <v>1647</v>
      </c>
      <c r="U961">
        <v>65.066666666666663</v>
      </c>
      <c r="V961">
        <v>0</v>
      </c>
      <c r="W961">
        <v>0</v>
      </c>
      <c r="X961">
        <v>2</v>
      </c>
      <c r="Y961" s="6">
        <v>46082</v>
      </c>
    </row>
    <row r="962" spans="1:26" x14ac:dyDescent="0.3">
      <c r="A962" t="s">
        <v>1067</v>
      </c>
      <c r="B962" s="5">
        <v>46103</v>
      </c>
      <c r="C962" s="5">
        <v>46102</v>
      </c>
      <c r="D962" s="5">
        <v>46106</v>
      </c>
      <c r="E962" s="5">
        <v>46106</v>
      </c>
      <c r="F962" t="s">
        <v>34</v>
      </c>
      <c r="G962" t="s">
        <v>61</v>
      </c>
      <c r="H962" t="s">
        <v>20</v>
      </c>
      <c r="I962" t="s">
        <v>42</v>
      </c>
      <c r="J962">
        <v>23.2</v>
      </c>
      <c r="K962">
        <v>13593.9</v>
      </c>
      <c r="L962">
        <v>5201000</v>
      </c>
      <c r="M962" t="b">
        <v>1</v>
      </c>
      <c r="N962" t="b">
        <v>0</v>
      </c>
      <c r="O962">
        <v>16000</v>
      </c>
      <c r="P962" t="b">
        <v>0</v>
      </c>
      <c r="Q962" t="b">
        <v>0</v>
      </c>
      <c r="R962" t="b">
        <v>1</v>
      </c>
      <c r="S962" t="s">
        <v>260</v>
      </c>
      <c r="T962" t="s">
        <v>1638</v>
      </c>
      <c r="U962">
        <v>84.961874999999992</v>
      </c>
      <c r="V962">
        <v>0</v>
      </c>
      <c r="W962">
        <v>1</v>
      </c>
      <c r="Y962" s="6">
        <v>46082</v>
      </c>
    </row>
    <row r="963" spans="1:26" x14ac:dyDescent="0.3">
      <c r="A963" t="s">
        <v>1068</v>
      </c>
      <c r="B963" s="5">
        <v>46160</v>
      </c>
      <c r="C963" s="5">
        <v>46160</v>
      </c>
      <c r="D963" s="5">
        <v>46163</v>
      </c>
      <c r="E963" s="5">
        <v>46163</v>
      </c>
      <c r="F963" t="s">
        <v>31</v>
      </c>
      <c r="G963" t="s">
        <v>60</v>
      </c>
      <c r="H963" t="s">
        <v>23</v>
      </c>
      <c r="I963" t="s">
        <v>42</v>
      </c>
      <c r="J963">
        <v>577.70000000000005</v>
      </c>
      <c r="K963">
        <v>2950.8</v>
      </c>
      <c r="L963">
        <v>13551000</v>
      </c>
      <c r="M963" t="b">
        <v>0</v>
      </c>
      <c r="N963" t="b">
        <v>0</v>
      </c>
      <c r="O963">
        <v>16000</v>
      </c>
      <c r="P963" t="b">
        <v>0</v>
      </c>
      <c r="Q963" t="b">
        <v>0</v>
      </c>
      <c r="R963" t="b">
        <v>0</v>
      </c>
      <c r="S963" t="s">
        <v>96</v>
      </c>
      <c r="T963" t="s">
        <v>1652</v>
      </c>
      <c r="U963">
        <v>18.442499999999999</v>
      </c>
      <c r="V963">
        <v>0</v>
      </c>
      <c r="W963">
        <v>0</v>
      </c>
      <c r="X963">
        <v>3</v>
      </c>
      <c r="Y963" s="6">
        <v>46143</v>
      </c>
    </row>
    <row r="964" spans="1:26" x14ac:dyDescent="0.3">
      <c r="A964" t="s">
        <v>1069</v>
      </c>
      <c r="B964" s="5">
        <v>46191</v>
      </c>
      <c r="C964" s="5">
        <v>46192</v>
      </c>
      <c r="D964" s="5">
        <v>46194</v>
      </c>
      <c r="E964" s="5">
        <v>46196</v>
      </c>
      <c r="F964" t="s">
        <v>34</v>
      </c>
      <c r="G964" t="s">
        <v>57</v>
      </c>
      <c r="H964" t="s">
        <v>22</v>
      </c>
      <c r="I964" t="s">
        <v>45</v>
      </c>
      <c r="J964">
        <v>145.5</v>
      </c>
      <c r="K964">
        <v>888.6</v>
      </c>
      <c r="L964">
        <v>2047000</v>
      </c>
      <c r="M964" t="b">
        <v>0</v>
      </c>
      <c r="N964" t="b">
        <v>0</v>
      </c>
      <c r="O964">
        <v>1000</v>
      </c>
      <c r="P964" t="b">
        <v>0</v>
      </c>
      <c r="Q964" t="b">
        <v>0</v>
      </c>
      <c r="R964" t="b">
        <v>0</v>
      </c>
      <c r="S964" t="s">
        <v>101</v>
      </c>
      <c r="T964" t="s">
        <v>1620</v>
      </c>
      <c r="U964">
        <v>88.86</v>
      </c>
      <c r="V964">
        <v>0</v>
      </c>
      <c r="W964">
        <v>0</v>
      </c>
      <c r="X964">
        <v>4</v>
      </c>
      <c r="Y964" s="6">
        <v>46174</v>
      </c>
      <c r="Z964">
        <v>2</v>
      </c>
    </row>
    <row r="965" spans="1:26" x14ac:dyDescent="0.3">
      <c r="A965" t="s">
        <v>1070</v>
      </c>
      <c r="B965" s="5">
        <v>46108</v>
      </c>
      <c r="C965" s="5">
        <v>46110</v>
      </c>
      <c r="D965" s="5">
        <v>46113</v>
      </c>
      <c r="E965" s="5">
        <v>46113</v>
      </c>
      <c r="F965" t="s">
        <v>31</v>
      </c>
      <c r="G965" t="s">
        <v>53</v>
      </c>
      <c r="H965" t="s">
        <v>24</v>
      </c>
      <c r="I965" t="s">
        <v>43</v>
      </c>
      <c r="J965">
        <v>300.10000000000002</v>
      </c>
      <c r="K965">
        <v>3192.7</v>
      </c>
      <c r="L965">
        <v>5596000</v>
      </c>
      <c r="M965" t="b">
        <v>0</v>
      </c>
      <c r="N965" t="b">
        <v>0</v>
      </c>
      <c r="O965">
        <v>5000</v>
      </c>
      <c r="P965" t="b">
        <v>0</v>
      </c>
      <c r="Q965" t="b">
        <v>0</v>
      </c>
      <c r="R965" t="b">
        <v>0</v>
      </c>
      <c r="S965" t="s">
        <v>96</v>
      </c>
      <c r="T965" t="s">
        <v>1627</v>
      </c>
      <c r="U965">
        <v>63.853999999999999</v>
      </c>
      <c r="V965">
        <v>0</v>
      </c>
      <c r="W965">
        <v>0</v>
      </c>
      <c r="X965">
        <v>3</v>
      </c>
      <c r="Y965" s="6">
        <v>46082</v>
      </c>
    </row>
    <row r="966" spans="1:26" x14ac:dyDescent="0.3">
      <c r="A966" t="s">
        <v>1071</v>
      </c>
      <c r="B966" s="5">
        <v>46073</v>
      </c>
      <c r="C966" s="5">
        <v>46075</v>
      </c>
      <c r="D966" s="5">
        <v>46077</v>
      </c>
      <c r="E966" s="5">
        <v>46077</v>
      </c>
      <c r="F966" t="s">
        <v>32</v>
      </c>
      <c r="G966" t="s">
        <v>58</v>
      </c>
      <c r="H966" t="s">
        <v>21</v>
      </c>
      <c r="I966" t="s">
        <v>43</v>
      </c>
      <c r="J966">
        <v>295.5</v>
      </c>
      <c r="K966">
        <v>691.1</v>
      </c>
      <c r="L966">
        <v>4524000</v>
      </c>
      <c r="M966" t="b">
        <v>0</v>
      </c>
      <c r="N966" t="b">
        <v>0</v>
      </c>
      <c r="O966">
        <v>5000</v>
      </c>
      <c r="P966" t="b">
        <v>0</v>
      </c>
      <c r="Q966" t="b">
        <v>0</v>
      </c>
      <c r="R966" t="b">
        <v>0</v>
      </c>
      <c r="S966" t="s">
        <v>96</v>
      </c>
      <c r="T966" t="s">
        <v>1656</v>
      </c>
      <c r="U966">
        <v>13.821999999999999</v>
      </c>
      <c r="V966">
        <v>0</v>
      </c>
      <c r="W966">
        <v>0</v>
      </c>
      <c r="X966">
        <v>2</v>
      </c>
      <c r="Y966" s="6">
        <v>46054</v>
      </c>
    </row>
    <row r="967" spans="1:26" x14ac:dyDescent="0.3">
      <c r="A967" t="s">
        <v>1072</v>
      </c>
      <c r="B967" s="5">
        <v>46118</v>
      </c>
      <c r="C967" s="5">
        <v>46119</v>
      </c>
      <c r="D967" s="5">
        <v>46120</v>
      </c>
      <c r="E967" s="5">
        <v>46120</v>
      </c>
      <c r="F967" t="s">
        <v>31</v>
      </c>
      <c r="G967" t="s">
        <v>61</v>
      </c>
      <c r="H967" t="s">
        <v>22</v>
      </c>
      <c r="I967" t="s">
        <v>43</v>
      </c>
      <c r="J967">
        <v>54.8</v>
      </c>
      <c r="K967">
        <v>1238.3</v>
      </c>
      <c r="L967">
        <v>1674000</v>
      </c>
      <c r="M967" t="b">
        <v>0</v>
      </c>
      <c r="N967" t="b">
        <v>0</v>
      </c>
      <c r="O967">
        <v>5000</v>
      </c>
      <c r="P967" t="b">
        <v>0</v>
      </c>
      <c r="Q967" t="b">
        <v>0</v>
      </c>
      <c r="R967" t="b">
        <v>0</v>
      </c>
      <c r="S967" t="s">
        <v>96</v>
      </c>
      <c r="T967" t="s">
        <v>1645</v>
      </c>
      <c r="U967">
        <v>24.765999999999998</v>
      </c>
      <c r="V967">
        <v>0</v>
      </c>
      <c r="W967">
        <v>0</v>
      </c>
      <c r="X967">
        <v>1</v>
      </c>
      <c r="Y967" s="6">
        <v>46113</v>
      </c>
    </row>
    <row r="968" spans="1:26" x14ac:dyDescent="0.3">
      <c r="A968" t="s">
        <v>1073</v>
      </c>
      <c r="B968" s="5">
        <v>46044</v>
      </c>
      <c r="C968" s="5">
        <v>46045</v>
      </c>
      <c r="D968" s="5">
        <v>46046</v>
      </c>
      <c r="E968" s="5">
        <v>46047</v>
      </c>
      <c r="F968" t="s">
        <v>34</v>
      </c>
      <c r="G968" t="s">
        <v>55</v>
      </c>
      <c r="H968" t="s">
        <v>22</v>
      </c>
      <c r="I968" t="s">
        <v>43</v>
      </c>
      <c r="J968">
        <v>59.6</v>
      </c>
      <c r="K968">
        <v>4294.3</v>
      </c>
      <c r="L968">
        <v>3220000</v>
      </c>
      <c r="M968" t="b">
        <v>0</v>
      </c>
      <c r="N968" t="b">
        <v>0</v>
      </c>
      <c r="O968">
        <v>5000</v>
      </c>
      <c r="P968" t="b">
        <v>0</v>
      </c>
      <c r="Q968" t="b">
        <v>0</v>
      </c>
      <c r="R968" t="b">
        <v>0</v>
      </c>
      <c r="S968" t="s">
        <v>101</v>
      </c>
      <c r="T968" t="s">
        <v>1639</v>
      </c>
      <c r="U968">
        <v>85.88600000000001</v>
      </c>
      <c r="V968">
        <v>0</v>
      </c>
      <c r="W968">
        <v>0</v>
      </c>
      <c r="X968">
        <v>2</v>
      </c>
      <c r="Y968" s="6">
        <v>46023</v>
      </c>
      <c r="Z968">
        <v>1</v>
      </c>
    </row>
    <row r="969" spans="1:26" x14ac:dyDescent="0.3">
      <c r="A969" t="s">
        <v>1074</v>
      </c>
      <c r="B969" s="5">
        <v>46167</v>
      </c>
      <c r="C969" s="5">
        <v>46167</v>
      </c>
      <c r="D969" s="5">
        <v>46171</v>
      </c>
      <c r="E969" s="5">
        <v>46171</v>
      </c>
      <c r="F969" t="s">
        <v>33</v>
      </c>
      <c r="G969" t="s">
        <v>61</v>
      </c>
      <c r="H969" t="s">
        <v>23</v>
      </c>
      <c r="I969" t="s">
        <v>44</v>
      </c>
      <c r="J969">
        <v>612.70000000000005</v>
      </c>
      <c r="K969">
        <v>209</v>
      </c>
      <c r="L969">
        <v>6833000</v>
      </c>
      <c r="M969" t="b">
        <v>0</v>
      </c>
      <c r="N969" t="b">
        <v>0</v>
      </c>
      <c r="O969">
        <v>1500</v>
      </c>
      <c r="P969" t="b">
        <v>0</v>
      </c>
      <c r="Q969" t="b">
        <v>0</v>
      </c>
      <c r="R969" t="b">
        <v>0</v>
      </c>
      <c r="S969" t="s">
        <v>96</v>
      </c>
      <c r="T969" t="s">
        <v>1643</v>
      </c>
      <c r="U969">
        <v>13.93333333333333</v>
      </c>
      <c r="V969">
        <v>0</v>
      </c>
      <c r="W969">
        <v>0</v>
      </c>
      <c r="X969">
        <v>4</v>
      </c>
      <c r="Y969" s="6">
        <v>46143</v>
      </c>
    </row>
    <row r="970" spans="1:26" x14ac:dyDescent="0.3">
      <c r="A970" t="s">
        <v>1075</v>
      </c>
      <c r="B970" s="5">
        <v>46055</v>
      </c>
      <c r="C970" s="5">
        <v>46056</v>
      </c>
      <c r="D970" s="5">
        <v>46059</v>
      </c>
      <c r="E970" s="5">
        <v>46060</v>
      </c>
      <c r="F970" t="s">
        <v>33</v>
      </c>
      <c r="G970" t="s">
        <v>53</v>
      </c>
      <c r="H970" t="s">
        <v>22</v>
      </c>
      <c r="I970" t="s">
        <v>44</v>
      </c>
      <c r="J970">
        <v>550.1</v>
      </c>
      <c r="K970">
        <v>1258.5999999999999</v>
      </c>
      <c r="L970">
        <v>7531000</v>
      </c>
      <c r="M970" t="b">
        <v>0</v>
      </c>
      <c r="N970" t="b">
        <v>0</v>
      </c>
      <c r="O970">
        <v>1500</v>
      </c>
      <c r="P970" t="b">
        <v>0</v>
      </c>
      <c r="Q970" t="b">
        <v>0</v>
      </c>
      <c r="R970" t="b">
        <v>0</v>
      </c>
      <c r="S970" t="s">
        <v>101</v>
      </c>
      <c r="T970" t="s">
        <v>1632</v>
      </c>
      <c r="U970">
        <v>83.906666666666666</v>
      </c>
      <c r="V970">
        <v>0</v>
      </c>
      <c r="W970">
        <v>0</v>
      </c>
      <c r="X970">
        <v>4</v>
      </c>
      <c r="Y970" s="6">
        <v>46054</v>
      </c>
      <c r="Z970">
        <v>1</v>
      </c>
    </row>
    <row r="971" spans="1:26" x14ac:dyDescent="0.3">
      <c r="A971" t="s">
        <v>1076</v>
      </c>
      <c r="B971" s="5">
        <v>46041</v>
      </c>
      <c r="C971" s="5">
        <v>46042</v>
      </c>
      <c r="D971" s="5">
        <v>46046</v>
      </c>
      <c r="E971" s="5">
        <v>46046</v>
      </c>
      <c r="F971" t="s">
        <v>33</v>
      </c>
      <c r="G971" t="s">
        <v>61</v>
      </c>
      <c r="H971" t="s">
        <v>22</v>
      </c>
      <c r="I971" t="s">
        <v>43</v>
      </c>
      <c r="J971">
        <v>670.2</v>
      </c>
      <c r="K971">
        <v>2988.8</v>
      </c>
      <c r="L971">
        <v>11503000</v>
      </c>
      <c r="M971" t="b">
        <v>0</v>
      </c>
      <c r="N971" t="b">
        <v>0</v>
      </c>
      <c r="O971">
        <v>5000</v>
      </c>
      <c r="P971" t="b">
        <v>0</v>
      </c>
      <c r="Q971" t="b">
        <v>0</v>
      </c>
      <c r="R971" t="b">
        <v>0</v>
      </c>
      <c r="S971" t="s">
        <v>96</v>
      </c>
      <c r="T971" t="s">
        <v>1643</v>
      </c>
      <c r="U971">
        <v>59.77600000000001</v>
      </c>
      <c r="V971">
        <v>0</v>
      </c>
      <c r="W971">
        <v>0</v>
      </c>
      <c r="X971">
        <v>4</v>
      </c>
      <c r="Y971" s="6">
        <v>46023</v>
      </c>
    </row>
    <row r="972" spans="1:26" x14ac:dyDescent="0.3">
      <c r="A972" t="s">
        <v>1077</v>
      </c>
      <c r="B972" s="5">
        <v>46047</v>
      </c>
      <c r="C972" s="5">
        <v>46049</v>
      </c>
      <c r="D972" s="5">
        <v>46052</v>
      </c>
      <c r="E972" s="5">
        <v>46055</v>
      </c>
      <c r="F972" t="s">
        <v>33</v>
      </c>
      <c r="G972" t="s">
        <v>53</v>
      </c>
      <c r="H972" t="s">
        <v>24</v>
      </c>
      <c r="I972" t="s">
        <v>43</v>
      </c>
      <c r="J972">
        <v>581.1</v>
      </c>
      <c r="K972">
        <v>2932.8</v>
      </c>
      <c r="L972">
        <v>8993000</v>
      </c>
      <c r="M972" t="b">
        <v>0</v>
      </c>
      <c r="N972" t="b">
        <v>0</v>
      </c>
      <c r="O972">
        <v>5000</v>
      </c>
      <c r="P972" t="b">
        <v>0</v>
      </c>
      <c r="Q972" t="b">
        <v>0</v>
      </c>
      <c r="R972" t="b">
        <v>0</v>
      </c>
      <c r="S972" t="s">
        <v>101</v>
      </c>
      <c r="T972" t="s">
        <v>1632</v>
      </c>
      <c r="U972">
        <v>58.656000000000013</v>
      </c>
      <c r="V972">
        <v>0</v>
      </c>
      <c r="W972">
        <v>0</v>
      </c>
      <c r="X972">
        <v>6</v>
      </c>
      <c r="Y972" s="6">
        <v>46023</v>
      </c>
      <c r="Z972">
        <v>3</v>
      </c>
    </row>
    <row r="973" spans="1:26" x14ac:dyDescent="0.3">
      <c r="A973" t="s">
        <v>1078</v>
      </c>
      <c r="B973" s="5">
        <v>46164</v>
      </c>
      <c r="C973" s="5">
        <v>46165</v>
      </c>
      <c r="D973" s="5">
        <v>46167</v>
      </c>
      <c r="E973" s="5">
        <v>46169</v>
      </c>
      <c r="F973" t="s">
        <v>31</v>
      </c>
      <c r="G973" t="s">
        <v>52</v>
      </c>
      <c r="H973" t="s">
        <v>23</v>
      </c>
      <c r="I973" t="s">
        <v>43</v>
      </c>
      <c r="J973">
        <v>291.39999999999998</v>
      </c>
      <c r="K973">
        <v>565.1</v>
      </c>
      <c r="L973">
        <v>4000000</v>
      </c>
      <c r="M973" t="b">
        <v>0</v>
      </c>
      <c r="N973" t="b">
        <v>0</v>
      </c>
      <c r="O973">
        <v>5000</v>
      </c>
      <c r="P973" t="b">
        <v>0</v>
      </c>
      <c r="Q973" t="b">
        <v>0</v>
      </c>
      <c r="R973" t="b">
        <v>0</v>
      </c>
      <c r="S973" t="s">
        <v>101</v>
      </c>
      <c r="T973" t="s">
        <v>1618</v>
      </c>
      <c r="U973">
        <v>11.302</v>
      </c>
      <c r="V973">
        <v>0</v>
      </c>
      <c r="W973">
        <v>0</v>
      </c>
      <c r="X973">
        <v>4</v>
      </c>
      <c r="Y973" s="6">
        <v>46143</v>
      </c>
      <c r="Z973">
        <v>2</v>
      </c>
    </row>
    <row r="974" spans="1:26" x14ac:dyDescent="0.3">
      <c r="A974" t="s">
        <v>1079</v>
      </c>
      <c r="B974" s="5">
        <v>46117</v>
      </c>
      <c r="C974" s="5">
        <v>46118</v>
      </c>
      <c r="D974" s="5">
        <v>46121</v>
      </c>
      <c r="E974" s="5">
        <v>46120</v>
      </c>
      <c r="F974" t="s">
        <v>33</v>
      </c>
      <c r="G974" t="s">
        <v>52</v>
      </c>
      <c r="H974" t="s">
        <v>23</v>
      </c>
      <c r="I974" t="s">
        <v>44</v>
      </c>
      <c r="J974">
        <v>560.79999999999995</v>
      </c>
      <c r="K974">
        <v>915.8</v>
      </c>
      <c r="L974">
        <v>6147000</v>
      </c>
      <c r="M974" t="b">
        <v>0</v>
      </c>
      <c r="N974" t="b">
        <v>0</v>
      </c>
      <c r="O974">
        <v>1500</v>
      </c>
      <c r="P974" t="b">
        <v>0</v>
      </c>
      <c r="Q974" t="b">
        <v>0</v>
      </c>
      <c r="R974" t="b">
        <v>0</v>
      </c>
      <c r="S974" t="s">
        <v>96</v>
      </c>
      <c r="T974" t="s">
        <v>1622</v>
      </c>
      <c r="U974">
        <v>61.053333333333327</v>
      </c>
      <c r="V974">
        <v>0</v>
      </c>
      <c r="W974">
        <v>0</v>
      </c>
      <c r="X974">
        <v>2</v>
      </c>
      <c r="Y974" s="6">
        <v>46113</v>
      </c>
    </row>
    <row r="975" spans="1:26" x14ac:dyDescent="0.3">
      <c r="A975" t="s">
        <v>1080</v>
      </c>
      <c r="B975" s="5">
        <v>46053</v>
      </c>
      <c r="C975" s="5">
        <v>46054</v>
      </c>
      <c r="D975" s="5">
        <v>46058</v>
      </c>
      <c r="E975" s="5">
        <v>46058</v>
      </c>
      <c r="F975" t="s">
        <v>33</v>
      </c>
      <c r="G975" t="s">
        <v>61</v>
      </c>
      <c r="H975" t="s">
        <v>23</v>
      </c>
      <c r="I975" t="s">
        <v>42</v>
      </c>
      <c r="J975">
        <v>637.5</v>
      </c>
      <c r="K975">
        <v>2686.7</v>
      </c>
      <c r="L975">
        <v>10443000</v>
      </c>
      <c r="M975" t="b">
        <v>0</v>
      </c>
      <c r="N975" t="b">
        <v>0</v>
      </c>
      <c r="O975">
        <v>16000</v>
      </c>
      <c r="P975" t="b">
        <v>0</v>
      </c>
      <c r="Q975" t="b">
        <v>0</v>
      </c>
      <c r="R975" t="b">
        <v>0</v>
      </c>
      <c r="S975" t="s">
        <v>96</v>
      </c>
      <c r="T975" t="s">
        <v>1643</v>
      </c>
      <c r="U975">
        <v>16.791875000000001</v>
      </c>
      <c r="V975">
        <v>0</v>
      </c>
      <c r="W975">
        <v>0</v>
      </c>
      <c r="X975">
        <v>4</v>
      </c>
      <c r="Y975" s="6">
        <v>46054</v>
      </c>
    </row>
    <row r="976" spans="1:26" x14ac:dyDescent="0.3">
      <c r="A976" t="s">
        <v>1081</v>
      </c>
      <c r="B976" s="5">
        <v>46036</v>
      </c>
      <c r="C976" s="5">
        <v>46037</v>
      </c>
      <c r="D976" s="5">
        <v>46040</v>
      </c>
      <c r="E976" s="5">
        <v>46040</v>
      </c>
      <c r="F976" t="s">
        <v>31</v>
      </c>
      <c r="G976" t="s">
        <v>54</v>
      </c>
      <c r="H976" t="s">
        <v>20</v>
      </c>
      <c r="I976" t="s">
        <v>42</v>
      </c>
      <c r="J976">
        <v>506.4</v>
      </c>
      <c r="K976">
        <v>8730.1500000000015</v>
      </c>
      <c r="L976">
        <v>12669000</v>
      </c>
      <c r="M976" t="b">
        <v>0</v>
      </c>
      <c r="N976" t="b">
        <v>0</v>
      </c>
      <c r="O976">
        <v>16000</v>
      </c>
      <c r="P976" t="b">
        <v>0</v>
      </c>
      <c r="Q976" t="b">
        <v>0</v>
      </c>
      <c r="R976" t="b">
        <v>0</v>
      </c>
      <c r="S976" t="s">
        <v>96</v>
      </c>
      <c r="T976" t="s">
        <v>1631</v>
      </c>
      <c r="U976">
        <v>54.563437500000013</v>
      </c>
      <c r="V976">
        <v>0</v>
      </c>
      <c r="W976">
        <v>0</v>
      </c>
      <c r="X976">
        <v>3</v>
      </c>
      <c r="Y976" s="6">
        <v>46023</v>
      </c>
    </row>
    <row r="977" spans="1:26" x14ac:dyDescent="0.3">
      <c r="A977" t="s">
        <v>1082</v>
      </c>
      <c r="B977" s="5">
        <v>46170</v>
      </c>
      <c r="C977" s="5">
        <v>46171</v>
      </c>
      <c r="D977" s="5">
        <v>46175</v>
      </c>
      <c r="E977" s="5">
        <v>46175</v>
      </c>
      <c r="F977" t="s">
        <v>34</v>
      </c>
      <c r="G977" t="s">
        <v>56</v>
      </c>
      <c r="H977" t="s">
        <v>21</v>
      </c>
      <c r="I977" t="s">
        <v>43</v>
      </c>
      <c r="J977">
        <v>871.5</v>
      </c>
      <c r="K977">
        <v>4473.3</v>
      </c>
      <c r="L977">
        <v>15590000</v>
      </c>
      <c r="M977" t="b">
        <v>0</v>
      </c>
      <c r="N977" t="b">
        <v>0</v>
      </c>
      <c r="O977">
        <v>5000</v>
      </c>
      <c r="P977" t="b">
        <v>0</v>
      </c>
      <c r="Q977" t="b">
        <v>0</v>
      </c>
      <c r="R977" t="b">
        <v>0</v>
      </c>
      <c r="S977" t="s">
        <v>96</v>
      </c>
      <c r="T977" t="s">
        <v>1646</v>
      </c>
      <c r="U977">
        <v>89.466000000000008</v>
      </c>
      <c r="V977">
        <v>0</v>
      </c>
      <c r="W977">
        <v>0</v>
      </c>
      <c r="X977">
        <v>4</v>
      </c>
      <c r="Y977" s="6">
        <v>46143</v>
      </c>
    </row>
    <row r="978" spans="1:26" x14ac:dyDescent="0.3">
      <c r="A978" t="s">
        <v>1083</v>
      </c>
      <c r="B978" s="5">
        <v>46062</v>
      </c>
      <c r="C978" s="5">
        <v>46063</v>
      </c>
      <c r="D978" s="5">
        <v>46066</v>
      </c>
      <c r="E978" s="5">
        <v>46066</v>
      </c>
      <c r="F978" t="s">
        <v>31</v>
      </c>
      <c r="G978" t="s">
        <v>60</v>
      </c>
      <c r="H978" t="s">
        <v>21</v>
      </c>
      <c r="I978" t="s">
        <v>43</v>
      </c>
      <c r="J978">
        <v>588.4</v>
      </c>
      <c r="K978">
        <v>2185</v>
      </c>
      <c r="L978">
        <v>7644000</v>
      </c>
      <c r="M978" t="b">
        <v>0</v>
      </c>
      <c r="N978" t="b">
        <v>0</v>
      </c>
      <c r="O978">
        <v>5000</v>
      </c>
      <c r="P978" t="b">
        <v>0</v>
      </c>
      <c r="Q978" t="b">
        <v>0</v>
      </c>
      <c r="R978" t="b">
        <v>0</v>
      </c>
      <c r="S978" t="s">
        <v>96</v>
      </c>
      <c r="T978" t="s">
        <v>1652</v>
      </c>
      <c r="U978">
        <v>43.7</v>
      </c>
      <c r="V978">
        <v>0</v>
      </c>
      <c r="W978">
        <v>0</v>
      </c>
      <c r="X978">
        <v>3</v>
      </c>
      <c r="Y978" s="6">
        <v>46054</v>
      </c>
    </row>
    <row r="979" spans="1:26" x14ac:dyDescent="0.3">
      <c r="A979" t="s">
        <v>1084</v>
      </c>
      <c r="B979" s="5">
        <v>46107</v>
      </c>
      <c r="C979" s="5">
        <v>46109</v>
      </c>
      <c r="D979" s="5">
        <v>46112</v>
      </c>
      <c r="E979" s="5">
        <v>46112</v>
      </c>
      <c r="F979" t="s">
        <v>34</v>
      </c>
      <c r="G979" t="s">
        <v>63</v>
      </c>
      <c r="H979" t="s">
        <v>20</v>
      </c>
      <c r="I979" t="s">
        <v>43</v>
      </c>
      <c r="J979">
        <v>308.5</v>
      </c>
      <c r="K979">
        <v>525.4</v>
      </c>
      <c r="L979">
        <v>4826000</v>
      </c>
      <c r="M979" t="b">
        <v>0</v>
      </c>
      <c r="N979" t="b">
        <v>0</v>
      </c>
      <c r="O979">
        <v>5000</v>
      </c>
      <c r="P979" t="b">
        <v>0</v>
      </c>
      <c r="Q979" t="b">
        <v>0</v>
      </c>
      <c r="R979" t="b">
        <v>0</v>
      </c>
      <c r="S979" t="s">
        <v>96</v>
      </c>
      <c r="T979" t="s">
        <v>1613</v>
      </c>
      <c r="U979">
        <v>10.507999999999999</v>
      </c>
      <c r="V979">
        <v>0</v>
      </c>
      <c r="W979">
        <v>0</v>
      </c>
      <c r="X979">
        <v>3</v>
      </c>
      <c r="Y979" s="6">
        <v>46082</v>
      </c>
    </row>
    <row r="980" spans="1:26" x14ac:dyDescent="0.3">
      <c r="A980" t="s">
        <v>1085</v>
      </c>
      <c r="B980" s="5">
        <v>46105</v>
      </c>
      <c r="C980" s="5">
        <v>46107</v>
      </c>
      <c r="D980" s="5">
        <v>46109</v>
      </c>
      <c r="E980" s="5">
        <v>46109</v>
      </c>
      <c r="F980" t="s">
        <v>32</v>
      </c>
      <c r="G980" t="s">
        <v>55</v>
      </c>
      <c r="H980" t="s">
        <v>23</v>
      </c>
      <c r="I980" t="s">
        <v>42</v>
      </c>
      <c r="J980">
        <v>125.9</v>
      </c>
      <c r="K980">
        <v>11586.1</v>
      </c>
      <c r="L980">
        <v>6498000</v>
      </c>
      <c r="M980" t="b">
        <v>0</v>
      </c>
      <c r="N980" t="b">
        <v>0</v>
      </c>
      <c r="O980">
        <v>16000</v>
      </c>
      <c r="P980" t="b">
        <v>0</v>
      </c>
      <c r="Q980" t="b">
        <v>0</v>
      </c>
      <c r="R980" t="b">
        <v>0</v>
      </c>
      <c r="S980" t="s">
        <v>96</v>
      </c>
      <c r="T980" t="s">
        <v>1633</v>
      </c>
      <c r="U980">
        <v>72.413124999999994</v>
      </c>
      <c r="V980">
        <v>0</v>
      </c>
      <c r="W980">
        <v>0</v>
      </c>
      <c r="X980">
        <v>2</v>
      </c>
      <c r="Y980" s="6">
        <v>46082</v>
      </c>
    </row>
    <row r="981" spans="1:26" x14ac:dyDescent="0.3">
      <c r="A981" t="s">
        <v>1086</v>
      </c>
      <c r="B981" s="5">
        <v>46200</v>
      </c>
      <c r="C981" s="5">
        <v>46201</v>
      </c>
      <c r="D981" s="5">
        <v>46205</v>
      </c>
      <c r="E981" s="5">
        <v>46205</v>
      </c>
      <c r="F981" t="s">
        <v>32</v>
      </c>
      <c r="G981" t="s">
        <v>56</v>
      </c>
      <c r="H981" t="s">
        <v>23</v>
      </c>
      <c r="I981" t="s">
        <v>43</v>
      </c>
      <c r="J981">
        <v>1089.2</v>
      </c>
      <c r="K981">
        <v>1112.5999999999999</v>
      </c>
      <c r="L981">
        <v>12156000</v>
      </c>
      <c r="M981" t="b">
        <v>0</v>
      </c>
      <c r="N981" t="b">
        <v>0</v>
      </c>
      <c r="O981">
        <v>5000</v>
      </c>
      <c r="P981" t="b">
        <v>0</v>
      </c>
      <c r="Q981" t="b">
        <v>0</v>
      </c>
      <c r="R981" t="b">
        <v>0</v>
      </c>
      <c r="S981" t="s">
        <v>96</v>
      </c>
      <c r="T981" t="s">
        <v>1658</v>
      </c>
      <c r="U981">
        <v>22.251999999999999</v>
      </c>
      <c r="V981">
        <v>0</v>
      </c>
      <c r="W981">
        <v>0</v>
      </c>
      <c r="X981">
        <v>4</v>
      </c>
      <c r="Y981" s="6">
        <v>46174</v>
      </c>
    </row>
    <row r="982" spans="1:26" x14ac:dyDescent="0.3">
      <c r="A982" t="s">
        <v>1087</v>
      </c>
      <c r="B982" s="5">
        <v>46077</v>
      </c>
      <c r="C982" s="5">
        <v>46079</v>
      </c>
      <c r="D982" s="5">
        <v>46082</v>
      </c>
      <c r="E982" s="5">
        <v>46082</v>
      </c>
      <c r="F982" t="s">
        <v>34</v>
      </c>
      <c r="G982" t="s">
        <v>60</v>
      </c>
      <c r="H982" t="s">
        <v>20</v>
      </c>
      <c r="I982" t="s">
        <v>42</v>
      </c>
      <c r="J982">
        <v>461.8</v>
      </c>
      <c r="K982">
        <v>9240.1</v>
      </c>
      <c r="L982">
        <v>11293000</v>
      </c>
      <c r="M982" t="b">
        <v>0</v>
      </c>
      <c r="N982" t="b">
        <v>0</v>
      </c>
      <c r="O982">
        <v>16000</v>
      </c>
      <c r="P982" t="b">
        <v>0</v>
      </c>
      <c r="Q982" t="b">
        <v>0</v>
      </c>
      <c r="R982" t="b">
        <v>0</v>
      </c>
      <c r="S982" t="s">
        <v>96</v>
      </c>
      <c r="T982" t="s">
        <v>1644</v>
      </c>
      <c r="U982">
        <v>57.750624999999999</v>
      </c>
      <c r="V982">
        <v>0</v>
      </c>
      <c r="W982">
        <v>0</v>
      </c>
      <c r="X982">
        <v>3</v>
      </c>
      <c r="Y982" s="6">
        <v>46054</v>
      </c>
    </row>
    <row r="983" spans="1:26" x14ac:dyDescent="0.3">
      <c r="A983" t="s">
        <v>1088</v>
      </c>
      <c r="B983" s="5">
        <v>46066</v>
      </c>
      <c r="C983" s="5">
        <v>46067</v>
      </c>
      <c r="D983" s="5">
        <v>46071</v>
      </c>
      <c r="E983" s="5">
        <v>46071</v>
      </c>
      <c r="F983" t="s">
        <v>34</v>
      </c>
      <c r="G983" t="s">
        <v>60</v>
      </c>
      <c r="H983" t="s">
        <v>21</v>
      </c>
      <c r="I983" t="s">
        <v>42</v>
      </c>
      <c r="J983">
        <v>635.1</v>
      </c>
      <c r="K983">
        <v>12408.3</v>
      </c>
      <c r="L983">
        <v>17736000</v>
      </c>
      <c r="M983" t="b">
        <v>0</v>
      </c>
      <c r="N983" t="b">
        <v>0</v>
      </c>
      <c r="O983">
        <v>16000</v>
      </c>
      <c r="P983" t="b">
        <v>0</v>
      </c>
      <c r="Q983" t="b">
        <v>0</v>
      </c>
      <c r="R983" t="b">
        <v>0</v>
      </c>
      <c r="S983" t="s">
        <v>96</v>
      </c>
      <c r="T983" t="s">
        <v>1644</v>
      </c>
      <c r="U983">
        <v>77.551874999999995</v>
      </c>
      <c r="V983">
        <v>0</v>
      </c>
      <c r="W983">
        <v>0</v>
      </c>
      <c r="X983">
        <v>4</v>
      </c>
      <c r="Y983" s="6">
        <v>46054</v>
      </c>
    </row>
    <row r="984" spans="1:26" x14ac:dyDescent="0.3">
      <c r="A984" t="s">
        <v>1089</v>
      </c>
      <c r="B984" s="5">
        <v>46060</v>
      </c>
      <c r="C984" s="5">
        <v>46062</v>
      </c>
      <c r="D984" s="5">
        <v>46064</v>
      </c>
      <c r="E984" s="5">
        <v>46065</v>
      </c>
      <c r="F984" t="s">
        <v>34</v>
      </c>
      <c r="G984" t="s">
        <v>52</v>
      </c>
      <c r="H984" t="s">
        <v>21</v>
      </c>
      <c r="I984" t="s">
        <v>44</v>
      </c>
      <c r="J984">
        <v>288</v>
      </c>
      <c r="K984">
        <v>430.7</v>
      </c>
      <c r="L984">
        <v>3353000</v>
      </c>
      <c r="M984" t="b">
        <v>0</v>
      </c>
      <c r="N984" t="b">
        <v>0</v>
      </c>
      <c r="O984">
        <v>1500</v>
      </c>
      <c r="P984" t="b">
        <v>0</v>
      </c>
      <c r="Q984" t="b">
        <v>0</v>
      </c>
      <c r="R984" t="b">
        <v>0</v>
      </c>
      <c r="S984" t="s">
        <v>101</v>
      </c>
      <c r="T984" t="s">
        <v>1623</v>
      </c>
      <c r="U984">
        <v>28.713333333333331</v>
      </c>
      <c r="V984">
        <v>0</v>
      </c>
      <c r="W984">
        <v>0</v>
      </c>
      <c r="X984">
        <v>3</v>
      </c>
      <c r="Y984" s="6">
        <v>46054</v>
      </c>
      <c r="Z984">
        <v>1</v>
      </c>
    </row>
    <row r="985" spans="1:26" x14ac:dyDescent="0.3">
      <c r="A985" t="s">
        <v>1090</v>
      </c>
      <c r="B985" s="5">
        <v>46112</v>
      </c>
      <c r="C985" s="5">
        <v>46113</v>
      </c>
      <c r="D985" s="5">
        <v>46117</v>
      </c>
      <c r="E985" s="5">
        <v>46116</v>
      </c>
      <c r="F985" t="s">
        <v>32</v>
      </c>
      <c r="G985" t="s">
        <v>58</v>
      </c>
      <c r="H985" t="s">
        <v>23</v>
      </c>
      <c r="I985" t="s">
        <v>44</v>
      </c>
      <c r="J985">
        <v>309.3</v>
      </c>
      <c r="K985">
        <v>845.9</v>
      </c>
      <c r="L985">
        <v>3224000</v>
      </c>
      <c r="M985" t="b">
        <v>0</v>
      </c>
      <c r="N985" t="b">
        <v>0</v>
      </c>
      <c r="O985">
        <v>1500</v>
      </c>
      <c r="P985" t="b">
        <v>0</v>
      </c>
      <c r="Q985" t="b">
        <v>0</v>
      </c>
      <c r="R985" t="b">
        <v>0</v>
      </c>
      <c r="S985" t="s">
        <v>96</v>
      </c>
      <c r="T985" t="s">
        <v>1656</v>
      </c>
      <c r="U985">
        <v>56.393333333333331</v>
      </c>
      <c r="V985">
        <v>0</v>
      </c>
      <c r="W985">
        <v>0</v>
      </c>
      <c r="X985">
        <v>3</v>
      </c>
      <c r="Y985" s="6">
        <v>46113</v>
      </c>
    </row>
    <row r="986" spans="1:26" x14ac:dyDescent="0.3">
      <c r="A986" t="s">
        <v>1091</v>
      </c>
      <c r="B986" s="5">
        <v>46203</v>
      </c>
      <c r="C986" s="5">
        <v>46203</v>
      </c>
      <c r="D986" s="5">
        <v>46205</v>
      </c>
      <c r="E986" s="5">
        <v>46206</v>
      </c>
      <c r="F986" t="s">
        <v>32</v>
      </c>
      <c r="G986" t="s">
        <v>61</v>
      </c>
      <c r="H986" t="s">
        <v>20</v>
      </c>
      <c r="I986" t="s">
        <v>45</v>
      </c>
      <c r="J986">
        <v>143.6</v>
      </c>
      <c r="K986">
        <v>120.3</v>
      </c>
      <c r="L986">
        <v>1595000</v>
      </c>
      <c r="M986" t="b">
        <v>0</v>
      </c>
      <c r="N986" t="b">
        <v>0</v>
      </c>
      <c r="O986">
        <v>1000</v>
      </c>
      <c r="P986" t="b">
        <v>0</v>
      </c>
      <c r="Q986" t="b">
        <v>0</v>
      </c>
      <c r="R986" t="b">
        <v>0</v>
      </c>
      <c r="S986" t="s">
        <v>101</v>
      </c>
      <c r="T986" t="s">
        <v>1653</v>
      </c>
      <c r="U986">
        <v>12.03</v>
      </c>
      <c r="V986">
        <v>0</v>
      </c>
      <c r="W986">
        <v>0</v>
      </c>
      <c r="X986">
        <v>3</v>
      </c>
      <c r="Y986" s="6">
        <v>46174</v>
      </c>
      <c r="Z986">
        <v>1</v>
      </c>
    </row>
    <row r="987" spans="1:26" x14ac:dyDescent="0.3">
      <c r="A987" t="s">
        <v>1092</v>
      </c>
      <c r="B987" s="5">
        <v>46131</v>
      </c>
      <c r="C987" s="5">
        <v>46132</v>
      </c>
      <c r="D987" s="5">
        <v>46136</v>
      </c>
      <c r="E987" s="5">
        <v>46136</v>
      </c>
      <c r="F987" t="s">
        <v>33</v>
      </c>
      <c r="G987" t="s">
        <v>54</v>
      </c>
      <c r="H987" t="s">
        <v>21</v>
      </c>
      <c r="I987" t="s">
        <v>43</v>
      </c>
      <c r="J987">
        <v>913.9</v>
      </c>
      <c r="K987">
        <v>1479.5</v>
      </c>
      <c r="L987">
        <v>12438000</v>
      </c>
      <c r="M987" t="b">
        <v>0</v>
      </c>
      <c r="N987" t="b">
        <v>0</v>
      </c>
      <c r="O987">
        <v>5000</v>
      </c>
      <c r="P987" t="b">
        <v>0</v>
      </c>
      <c r="Q987" t="b">
        <v>0</v>
      </c>
      <c r="R987" t="b">
        <v>0</v>
      </c>
      <c r="S987" t="s">
        <v>96</v>
      </c>
      <c r="T987" t="s">
        <v>1642</v>
      </c>
      <c r="U987">
        <v>29.59</v>
      </c>
      <c r="V987">
        <v>0</v>
      </c>
      <c r="W987">
        <v>0</v>
      </c>
      <c r="X987">
        <v>4</v>
      </c>
      <c r="Y987" s="6">
        <v>46113</v>
      </c>
    </row>
    <row r="988" spans="1:26" x14ac:dyDescent="0.3">
      <c r="A988" t="s">
        <v>1093</v>
      </c>
      <c r="B988" s="5">
        <v>46202</v>
      </c>
      <c r="C988" s="5">
        <v>46203</v>
      </c>
      <c r="D988" s="5">
        <v>46207</v>
      </c>
      <c r="E988" s="5">
        <v>46207</v>
      </c>
      <c r="F988" t="s">
        <v>34</v>
      </c>
      <c r="G988" t="s">
        <v>62</v>
      </c>
      <c r="H988" t="s">
        <v>24</v>
      </c>
      <c r="I988" t="s">
        <v>43</v>
      </c>
      <c r="J988">
        <v>801</v>
      </c>
      <c r="K988">
        <v>2490.6999999999998</v>
      </c>
      <c r="L988">
        <v>13160000</v>
      </c>
      <c r="M988" t="b">
        <v>0</v>
      </c>
      <c r="N988" t="b">
        <v>0</v>
      </c>
      <c r="O988">
        <v>5000</v>
      </c>
      <c r="P988" t="b">
        <v>0</v>
      </c>
      <c r="Q988" t="b">
        <v>0</v>
      </c>
      <c r="R988" t="b">
        <v>0</v>
      </c>
      <c r="S988" t="s">
        <v>96</v>
      </c>
      <c r="T988" t="s">
        <v>1649</v>
      </c>
      <c r="U988">
        <v>49.814</v>
      </c>
      <c r="V988">
        <v>0</v>
      </c>
      <c r="W988">
        <v>0</v>
      </c>
      <c r="X988">
        <v>4</v>
      </c>
      <c r="Y988" s="6">
        <v>46174</v>
      </c>
    </row>
    <row r="989" spans="1:26" x14ac:dyDescent="0.3">
      <c r="A989" t="s">
        <v>1094</v>
      </c>
      <c r="B989" s="5">
        <v>46109</v>
      </c>
      <c r="C989" s="5">
        <v>46110</v>
      </c>
      <c r="D989" s="5">
        <v>46113</v>
      </c>
      <c r="E989" s="5">
        <v>46113</v>
      </c>
      <c r="F989" t="s">
        <v>34</v>
      </c>
      <c r="G989" t="s">
        <v>63</v>
      </c>
      <c r="H989" t="s">
        <v>21</v>
      </c>
      <c r="I989" t="s">
        <v>44</v>
      </c>
      <c r="J989">
        <v>337</v>
      </c>
      <c r="K989">
        <v>580.6</v>
      </c>
      <c r="L989">
        <v>3572000</v>
      </c>
      <c r="M989" t="b">
        <v>0</v>
      </c>
      <c r="N989" t="b">
        <v>0</v>
      </c>
      <c r="O989">
        <v>1500</v>
      </c>
      <c r="P989" t="b">
        <v>0</v>
      </c>
      <c r="Q989" t="b">
        <v>0</v>
      </c>
      <c r="R989" t="b">
        <v>0</v>
      </c>
      <c r="S989" t="s">
        <v>96</v>
      </c>
      <c r="T989" t="s">
        <v>1613</v>
      </c>
      <c r="U989">
        <v>38.706666666666663</v>
      </c>
      <c r="V989">
        <v>0</v>
      </c>
      <c r="W989">
        <v>0</v>
      </c>
      <c r="X989">
        <v>3</v>
      </c>
      <c r="Y989" s="6">
        <v>46082</v>
      </c>
    </row>
    <row r="990" spans="1:26" x14ac:dyDescent="0.3">
      <c r="A990" t="s">
        <v>1095</v>
      </c>
      <c r="B990" s="5">
        <v>46130</v>
      </c>
      <c r="C990" s="5">
        <v>46131</v>
      </c>
      <c r="D990" s="5">
        <v>46135</v>
      </c>
      <c r="E990" s="5">
        <v>46136</v>
      </c>
      <c r="F990" t="s">
        <v>33</v>
      </c>
      <c r="G990" t="s">
        <v>54</v>
      </c>
      <c r="H990" t="s">
        <v>22</v>
      </c>
      <c r="I990" t="s">
        <v>45</v>
      </c>
      <c r="J990">
        <v>946.6</v>
      </c>
      <c r="K990">
        <v>684.1</v>
      </c>
      <c r="L990">
        <v>8818000</v>
      </c>
      <c r="M990" t="b">
        <v>0</v>
      </c>
      <c r="N990" t="b">
        <v>0</v>
      </c>
      <c r="O990">
        <v>1000</v>
      </c>
      <c r="P990" t="b">
        <v>0</v>
      </c>
      <c r="Q990" t="b">
        <v>0</v>
      </c>
      <c r="R990" t="b">
        <v>0</v>
      </c>
      <c r="S990" t="s">
        <v>101</v>
      </c>
      <c r="T990" t="s">
        <v>1642</v>
      </c>
      <c r="U990">
        <v>68.410000000000011</v>
      </c>
      <c r="V990">
        <v>0</v>
      </c>
      <c r="W990">
        <v>0</v>
      </c>
      <c r="X990">
        <v>5</v>
      </c>
      <c r="Y990" s="6">
        <v>46113</v>
      </c>
      <c r="Z990">
        <v>1</v>
      </c>
    </row>
    <row r="991" spans="1:26" x14ac:dyDescent="0.3">
      <c r="A991" t="s">
        <v>1096</v>
      </c>
      <c r="B991" s="5">
        <v>46026</v>
      </c>
      <c r="C991" s="5">
        <v>46027</v>
      </c>
      <c r="D991" s="5">
        <v>46032</v>
      </c>
      <c r="E991" s="5">
        <v>46032</v>
      </c>
      <c r="F991" t="s">
        <v>34</v>
      </c>
      <c r="G991" t="s">
        <v>56</v>
      </c>
      <c r="H991" t="s">
        <v>21</v>
      </c>
      <c r="I991" t="s">
        <v>43</v>
      </c>
      <c r="J991">
        <v>1026.2</v>
      </c>
      <c r="K991">
        <v>2366.8000000000002</v>
      </c>
      <c r="L991">
        <v>13630000</v>
      </c>
      <c r="M991" t="b">
        <v>0</v>
      </c>
      <c r="N991" t="b">
        <v>0</v>
      </c>
      <c r="O991">
        <v>5000</v>
      </c>
      <c r="P991" t="b">
        <v>0</v>
      </c>
      <c r="Q991" t="b">
        <v>0</v>
      </c>
      <c r="R991" t="b">
        <v>0</v>
      </c>
      <c r="S991" t="s">
        <v>96</v>
      </c>
      <c r="T991" t="s">
        <v>1646</v>
      </c>
      <c r="U991">
        <v>47.336000000000013</v>
      </c>
      <c r="V991">
        <v>0</v>
      </c>
      <c r="W991">
        <v>0</v>
      </c>
      <c r="X991">
        <v>5</v>
      </c>
      <c r="Y991" s="6">
        <v>46023</v>
      </c>
    </row>
    <row r="992" spans="1:26" x14ac:dyDescent="0.3">
      <c r="A992" t="s">
        <v>1097</v>
      </c>
      <c r="B992" s="5">
        <v>46115</v>
      </c>
      <c r="C992" s="5">
        <v>46116</v>
      </c>
      <c r="D992" s="5">
        <v>46117</v>
      </c>
      <c r="E992" s="5">
        <v>46117</v>
      </c>
      <c r="F992" t="s">
        <v>34</v>
      </c>
      <c r="G992" t="s">
        <v>61</v>
      </c>
      <c r="H992" t="s">
        <v>20</v>
      </c>
      <c r="I992" t="s">
        <v>45</v>
      </c>
      <c r="J992">
        <v>31.6</v>
      </c>
      <c r="K992">
        <v>656.8</v>
      </c>
      <c r="L992">
        <v>983000</v>
      </c>
      <c r="M992" t="b">
        <v>0</v>
      </c>
      <c r="N992" t="b">
        <v>0</v>
      </c>
      <c r="O992">
        <v>1000</v>
      </c>
      <c r="P992" t="b">
        <v>0</v>
      </c>
      <c r="Q992" t="b">
        <v>0</v>
      </c>
      <c r="R992" t="b">
        <v>0</v>
      </c>
      <c r="S992" t="s">
        <v>96</v>
      </c>
      <c r="T992" t="s">
        <v>1638</v>
      </c>
      <c r="U992">
        <v>65.679999999999993</v>
      </c>
      <c r="V992">
        <v>0</v>
      </c>
      <c r="W992">
        <v>0</v>
      </c>
      <c r="X992">
        <v>1</v>
      </c>
      <c r="Y992" s="6">
        <v>46113</v>
      </c>
    </row>
    <row r="993" spans="1:26" x14ac:dyDescent="0.3">
      <c r="A993" t="s">
        <v>1098</v>
      </c>
      <c r="B993" s="5">
        <v>46181</v>
      </c>
      <c r="C993" s="5">
        <v>46182</v>
      </c>
      <c r="D993" s="5">
        <v>46186</v>
      </c>
      <c r="E993" s="5">
        <v>46186</v>
      </c>
      <c r="F993" t="s">
        <v>32</v>
      </c>
      <c r="G993" t="s">
        <v>62</v>
      </c>
      <c r="H993" t="s">
        <v>23</v>
      </c>
      <c r="I993" t="s">
        <v>43</v>
      </c>
      <c r="J993">
        <v>608</v>
      </c>
      <c r="K993">
        <v>1512</v>
      </c>
      <c r="L993">
        <v>8891000</v>
      </c>
      <c r="M993" t="b">
        <v>0</v>
      </c>
      <c r="N993" t="b">
        <v>0</v>
      </c>
      <c r="O993">
        <v>5000</v>
      </c>
      <c r="P993" t="b">
        <v>0</v>
      </c>
      <c r="Q993" t="b">
        <v>0</v>
      </c>
      <c r="R993" t="b">
        <v>0</v>
      </c>
      <c r="S993" t="s">
        <v>96</v>
      </c>
      <c r="T993" t="s">
        <v>1641</v>
      </c>
      <c r="U993">
        <v>30.24</v>
      </c>
      <c r="V993">
        <v>0</v>
      </c>
      <c r="W993">
        <v>0</v>
      </c>
      <c r="X993">
        <v>4</v>
      </c>
      <c r="Y993" s="6">
        <v>46174</v>
      </c>
    </row>
    <row r="994" spans="1:26" x14ac:dyDescent="0.3">
      <c r="A994" t="s">
        <v>1099</v>
      </c>
      <c r="B994" s="5">
        <v>46106</v>
      </c>
      <c r="C994" s="5">
        <v>46107</v>
      </c>
      <c r="D994" s="5">
        <v>46109</v>
      </c>
      <c r="E994" s="5">
        <v>46110</v>
      </c>
      <c r="F994" t="s">
        <v>31</v>
      </c>
      <c r="G994" t="s">
        <v>59</v>
      </c>
      <c r="H994" t="s">
        <v>22</v>
      </c>
      <c r="I994" t="s">
        <v>42</v>
      </c>
      <c r="J994">
        <v>296.5</v>
      </c>
      <c r="K994">
        <v>14667.3</v>
      </c>
      <c r="L994">
        <v>10617000</v>
      </c>
      <c r="M994" t="b">
        <v>0</v>
      </c>
      <c r="N994" t="b">
        <v>0</v>
      </c>
      <c r="O994">
        <v>16000</v>
      </c>
      <c r="P994" t="b">
        <v>0</v>
      </c>
      <c r="Q994" t="b">
        <v>0</v>
      </c>
      <c r="R994" t="b">
        <v>0</v>
      </c>
      <c r="S994" t="s">
        <v>101</v>
      </c>
      <c r="T994" t="s">
        <v>1628</v>
      </c>
      <c r="U994">
        <v>91.670625000000001</v>
      </c>
      <c r="V994">
        <v>0</v>
      </c>
      <c r="W994">
        <v>0</v>
      </c>
      <c r="X994">
        <v>3</v>
      </c>
      <c r="Y994" s="6">
        <v>46082</v>
      </c>
      <c r="Z994">
        <v>1</v>
      </c>
    </row>
    <row r="995" spans="1:26" x14ac:dyDescent="0.3">
      <c r="A995" t="s">
        <v>1100</v>
      </c>
      <c r="B995" s="5">
        <v>46152</v>
      </c>
      <c r="C995" s="5">
        <v>46152</v>
      </c>
      <c r="D995" s="5">
        <v>46154</v>
      </c>
      <c r="E995" s="5">
        <v>46154</v>
      </c>
      <c r="F995" t="s">
        <v>32</v>
      </c>
      <c r="G995" t="s">
        <v>57</v>
      </c>
      <c r="H995" t="s">
        <v>20</v>
      </c>
      <c r="I995" t="s">
        <v>43</v>
      </c>
      <c r="J995">
        <v>22.7</v>
      </c>
      <c r="K995">
        <v>3391.3</v>
      </c>
      <c r="L995">
        <v>2333000</v>
      </c>
      <c r="M995" t="b">
        <v>0</v>
      </c>
      <c r="N995" t="b">
        <v>0</v>
      </c>
      <c r="O995">
        <v>5000</v>
      </c>
      <c r="P995" t="b">
        <v>0</v>
      </c>
      <c r="Q995" t="b">
        <v>0</v>
      </c>
      <c r="R995" t="b">
        <v>0</v>
      </c>
      <c r="S995" t="s">
        <v>96</v>
      </c>
      <c r="T995" t="s">
        <v>1630</v>
      </c>
      <c r="U995">
        <v>67.826000000000008</v>
      </c>
      <c r="V995">
        <v>0</v>
      </c>
      <c r="W995">
        <v>0</v>
      </c>
      <c r="X995">
        <v>2</v>
      </c>
      <c r="Y995" s="6">
        <v>46143</v>
      </c>
    </row>
    <row r="996" spans="1:26" x14ac:dyDescent="0.3">
      <c r="A996" t="s">
        <v>1101</v>
      </c>
      <c r="B996" s="5">
        <v>46174</v>
      </c>
      <c r="C996" s="5">
        <v>46175</v>
      </c>
      <c r="D996" s="5">
        <v>46179</v>
      </c>
      <c r="E996" s="5">
        <v>46179</v>
      </c>
      <c r="F996" t="s">
        <v>31</v>
      </c>
      <c r="G996" t="s">
        <v>62</v>
      </c>
      <c r="H996" t="s">
        <v>107</v>
      </c>
      <c r="I996" t="s">
        <v>44</v>
      </c>
      <c r="J996">
        <v>701</v>
      </c>
      <c r="K996">
        <v>262.89999999999998</v>
      </c>
      <c r="L996">
        <v>7481000</v>
      </c>
      <c r="M996" t="b">
        <v>0</v>
      </c>
      <c r="N996" t="b">
        <v>0</v>
      </c>
      <c r="O996">
        <v>1500</v>
      </c>
      <c r="P996" t="b">
        <v>0</v>
      </c>
      <c r="Q996" t="b">
        <v>0</v>
      </c>
      <c r="R996" t="b">
        <v>0</v>
      </c>
      <c r="S996" t="s">
        <v>96</v>
      </c>
      <c r="T996" t="s">
        <v>1615</v>
      </c>
      <c r="U996">
        <v>17.52666666666666</v>
      </c>
      <c r="V996">
        <v>0</v>
      </c>
      <c r="W996">
        <v>0</v>
      </c>
      <c r="X996">
        <v>4</v>
      </c>
      <c r="Y996" s="6">
        <v>46174</v>
      </c>
    </row>
    <row r="997" spans="1:26" x14ac:dyDescent="0.3">
      <c r="A997" t="s">
        <v>1102</v>
      </c>
      <c r="B997" s="5">
        <v>46117</v>
      </c>
      <c r="C997" s="5">
        <v>46118</v>
      </c>
      <c r="D997" s="5">
        <v>46122</v>
      </c>
      <c r="E997" s="5">
        <v>46123</v>
      </c>
      <c r="F997" t="s">
        <v>34</v>
      </c>
      <c r="G997" t="s">
        <v>56</v>
      </c>
      <c r="H997" t="s">
        <v>23</v>
      </c>
      <c r="I997" t="s">
        <v>43</v>
      </c>
      <c r="J997">
        <v>908.7</v>
      </c>
      <c r="K997">
        <v>1771.5</v>
      </c>
      <c r="L997">
        <v>12635000</v>
      </c>
      <c r="M997" t="b">
        <v>0</v>
      </c>
      <c r="N997" t="b">
        <v>0</v>
      </c>
      <c r="O997">
        <v>5000</v>
      </c>
      <c r="P997" t="b">
        <v>0</v>
      </c>
      <c r="Q997" t="b">
        <v>0</v>
      </c>
      <c r="R997" t="b">
        <v>0</v>
      </c>
      <c r="S997" t="s">
        <v>101</v>
      </c>
      <c r="T997" t="s">
        <v>1646</v>
      </c>
      <c r="U997">
        <v>35.43</v>
      </c>
      <c r="V997">
        <v>0</v>
      </c>
      <c r="W997">
        <v>0</v>
      </c>
      <c r="X997">
        <v>5</v>
      </c>
      <c r="Y997" s="6">
        <v>46113</v>
      </c>
      <c r="Z997">
        <v>1</v>
      </c>
    </row>
    <row r="998" spans="1:26" x14ac:dyDescent="0.3">
      <c r="A998" t="s">
        <v>1103</v>
      </c>
      <c r="B998" s="5">
        <v>46123</v>
      </c>
      <c r="C998" s="5">
        <v>46124</v>
      </c>
      <c r="D998" s="5">
        <v>46126</v>
      </c>
      <c r="E998" s="5">
        <v>46126</v>
      </c>
      <c r="F998" t="s">
        <v>31</v>
      </c>
      <c r="G998" t="s">
        <v>58</v>
      </c>
      <c r="H998" t="s">
        <v>23</v>
      </c>
      <c r="I998" t="s">
        <v>45</v>
      </c>
      <c r="J998">
        <v>179</v>
      </c>
      <c r="K998">
        <v>166.6</v>
      </c>
      <c r="L998">
        <v>2037000</v>
      </c>
      <c r="M998" t="b">
        <v>0</v>
      </c>
      <c r="N998" t="b">
        <v>0</v>
      </c>
      <c r="O998">
        <v>1000</v>
      </c>
      <c r="P998" t="b">
        <v>0</v>
      </c>
      <c r="Q998" t="b">
        <v>0</v>
      </c>
      <c r="R998" t="b">
        <v>0</v>
      </c>
      <c r="S998" t="s">
        <v>96</v>
      </c>
      <c r="T998" t="s">
        <v>1621</v>
      </c>
      <c r="U998">
        <v>16.66</v>
      </c>
      <c r="V998">
        <v>0</v>
      </c>
      <c r="W998">
        <v>0</v>
      </c>
      <c r="X998">
        <v>2</v>
      </c>
      <c r="Y998" s="6">
        <v>46113</v>
      </c>
    </row>
    <row r="999" spans="1:26" x14ac:dyDescent="0.3">
      <c r="A999" t="s">
        <v>1104</v>
      </c>
      <c r="B999" s="5">
        <v>46075</v>
      </c>
      <c r="C999" s="5">
        <v>46076</v>
      </c>
      <c r="D999" s="5">
        <v>46077</v>
      </c>
      <c r="E999" s="5">
        <v>46078</v>
      </c>
      <c r="F999" t="s">
        <v>31</v>
      </c>
      <c r="G999" t="s">
        <v>55</v>
      </c>
      <c r="H999" t="s">
        <v>20</v>
      </c>
      <c r="I999" t="s">
        <v>43</v>
      </c>
      <c r="J999">
        <v>20.8</v>
      </c>
      <c r="K999">
        <v>3136.4</v>
      </c>
      <c r="L999">
        <v>1968000</v>
      </c>
      <c r="M999" t="b">
        <v>0</v>
      </c>
      <c r="N999" t="b">
        <v>0</v>
      </c>
      <c r="O999">
        <v>5000</v>
      </c>
      <c r="P999" t="b">
        <v>0</v>
      </c>
      <c r="Q999" t="b">
        <v>0</v>
      </c>
      <c r="R999" t="b">
        <v>0</v>
      </c>
      <c r="S999" t="s">
        <v>101</v>
      </c>
      <c r="T999" t="s">
        <v>1629</v>
      </c>
      <c r="U999">
        <v>62.728000000000009</v>
      </c>
      <c r="V999">
        <v>0</v>
      </c>
      <c r="W999">
        <v>0</v>
      </c>
      <c r="X999">
        <v>2</v>
      </c>
      <c r="Y999" s="6">
        <v>46054</v>
      </c>
      <c r="Z999">
        <v>1</v>
      </c>
    </row>
    <row r="1000" spans="1:26" x14ac:dyDescent="0.3">
      <c r="A1000" t="s">
        <v>1105</v>
      </c>
      <c r="B1000" s="5">
        <v>46149</v>
      </c>
      <c r="C1000" s="5">
        <v>46150</v>
      </c>
      <c r="D1000" s="5">
        <v>46154</v>
      </c>
      <c r="E1000" s="5">
        <v>46155</v>
      </c>
      <c r="F1000" t="s">
        <v>33</v>
      </c>
      <c r="G1000" t="s">
        <v>58</v>
      </c>
      <c r="H1000" t="s">
        <v>20</v>
      </c>
      <c r="I1000" t="s">
        <v>43</v>
      </c>
      <c r="J1000">
        <v>703.9</v>
      </c>
      <c r="K1000">
        <v>4183.8</v>
      </c>
      <c r="L1000">
        <v>9653000</v>
      </c>
      <c r="M1000" t="b">
        <v>0</v>
      </c>
      <c r="N1000" t="b">
        <v>0</v>
      </c>
      <c r="O1000">
        <v>5000</v>
      </c>
      <c r="P1000" t="b">
        <v>0</v>
      </c>
      <c r="Q1000" t="b">
        <v>0</v>
      </c>
      <c r="R1000" t="b">
        <v>0</v>
      </c>
      <c r="S1000" t="s">
        <v>101</v>
      </c>
      <c r="T1000" t="s">
        <v>1651</v>
      </c>
      <c r="U1000">
        <v>83.676000000000002</v>
      </c>
      <c r="V1000">
        <v>0</v>
      </c>
      <c r="W1000">
        <v>0</v>
      </c>
      <c r="X1000">
        <v>5</v>
      </c>
      <c r="Y1000" s="6">
        <v>46143</v>
      </c>
      <c r="Z1000">
        <v>1</v>
      </c>
    </row>
    <row r="1001" spans="1:26" x14ac:dyDescent="0.3">
      <c r="A1001" t="s">
        <v>1106</v>
      </c>
      <c r="B1001" s="5">
        <v>46137</v>
      </c>
      <c r="C1001" s="5">
        <v>46138</v>
      </c>
      <c r="D1001" s="5">
        <v>46141</v>
      </c>
      <c r="E1001" s="5">
        <v>46142</v>
      </c>
      <c r="F1001" t="s">
        <v>32</v>
      </c>
      <c r="G1001" t="s">
        <v>60</v>
      </c>
      <c r="H1001" t="s">
        <v>24</v>
      </c>
      <c r="I1001" t="s">
        <v>43</v>
      </c>
      <c r="J1001">
        <v>490.7</v>
      </c>
      <c r="K1001">
        <v>1502.8</v>
      </c>
      <c r="L1001">
        <v>7379000</v>
      </c>
      <c r="M1001" t="b">
        <v>0</v>
      </c>
      <c r="N1001" t="b">
        <v>0</v>
      </c>
      <c r="O1001">
        <v>5000</v>
      </c>
      <c r="P1001" t="b">
        <v>0</v>
      </c>
      <c r="Q1001" t="b">
        <v>0</v>
      </c>
      <c r="R1001" t="b">
        <v>0</v>
      </c>
      <c r="S1001" t="s">
        <v>101</v>
      </c>
      <c r="T1001" t="s">
        <v>1647</v>
      </c>
      <c r="U1001">
        <v>30.056000000000001</v>
      </c>
      <c r="V1001">
        <v>0</v>
      </c>
      <c r="W1001">
        <v>0</v>
      </c>
      <c r="X1001">
        <v>4</v>
      </c>
      <c r="Y1001" s="6">
        <v>46113</v>
      </c>
      <c r="Z1001">
        <v>1</v>
      </c>
    </row>
    <row r="1002" spans="1:26" x14ac:dyDescent="0.3">
      <c r="A1002" t="s">
        <v>1107</v>
      </c>
      <c r="B1002" s="5">
        <v>46168</v>
      </c>
      <c r="C1002" s="5">
        <v>46168</v>
      </c>
      <c r="D1002" s="5">
        <v>46172</v>
      </c>
      <c r="E1002" s="5">
        <v>46172</v>
      </c>
      <c r="F1002" t="s">
        <v>33</v>
      </c>
      <c r="G1002" t="s">
        <v>56</v>
      </c>
      <c r="H1002" t="s">
        <v>21</v>
      </c>
      <c r="I1002" t="s">
        <v>43</v>
      </c>
      <c r="J1002">
        <v>1400.9</v>
      </c>
      <c r="K1002">
        <v>1695.2</v>
      </c>
      <c r="L1002">
        <v>18776000</v>
      </c>
      <c r="M1002" t="b">
        <v>0</v>
      </c>
      <c r="N1002" t="b">
        <v>0</v>
      </c>
      <c r="O1002">
        <v>5000</v>
      </c>
      <c r="P1002" t="b">
        <v>0</v>
      </c>
      <c r="Q1002" t="b">
        <v>0</v>
      </c>
      <c r="R1002" t="b">
        <v>0</v>
      </c>
      <c r="S1002" t="s">
        <v>96</v>
      </c>
      <c r="T1002" t="s">
        <v>1654</v>
      </c>
      <c r="U1002">
        <v>33.904000000000003</v>
      </c>
      <c r="V1002">
        <v>0</v>
      </c>
      <c r="W1002">
        <v>0</v>
      </c>
      <c r="X1002">
        <v>4</v>
      </c>
      <c r="Y1002" s="6">
        <v>46143</v>
      </c>
    </row>
    <row r="1003" spans="1:26" x14ac:dyDescent="0.3">
      <c r="A1003" t="s">
        <v>1108</v>
      </c>
      <c r="B1003" s="5">
        <v>46157</v>
      </c>
      <c r="C1003" s="5">
        <v>46158</v>
      </c>
      <c r="D1003" s="5">
        <v>46161</v>
      </c>
      <c r="E1003" s="5">
        <v>46161</v>
      </c>
      <c r="F1003" t="s">
        <v>34</v>
      </c>
      <c r="G1003" t="s">
        <v>54</v>
      </c>
      <c r="H1003" t="s">
        <v>22</v>
      </c>
      <c r="I1003" t="s">
        <v>44</v>
      </c>
      <c r="J1003">
        <v>434.8</v>
      </c>
      <c r="K1003">
        <v>443.3</v>
      </c>
      <c r="L1003">
        <v>4918000</v>
      </c>
      <c r="M1003" t="b">
        <v>0</v>
      </c>
      <c r="N1003" t="b">
        <v>0</v>
      </c>
      <c r="O1003">
        <v>1500</v>
      </c>
      <c r="P1003" t="b">
        <v>0</v>
      </c>
      <c r="Q1003" t="b">
        <v>0</v>
      </c>
      <c r="R1003" t="b">
        <v>0</v>
      </c>
      <c r="S1003" t="s">
        <v>96</v>
      </c>
      <c r="T1003" t="s">
        <v>1635</v>
      </c>
      <c r="U1003">
        <v>29.553333333333331</v>
      </c>
      <c r="V1003">
        <v>0</v>
      </c>
      <c r="W1003">
        <v>0</v>
      </c>
      <c r="X1003">
        <v>3</v>
      </c>
      <c r="Y1003" s="6">
        <v>46143</v>
      </c>
    </row>
    <row r="1004" spans="1:26" x14ac:dyDescent="0.3">
      <c r="A1004" t="s">
        <v>1109</v>
      </c>
      <c r="B1004" s="5">
        <v>46071</v>
      </c>
      <c r="C1004" s="5">
        <v>46072</v>
      </c>
      <c r="D1004" s="5">
        <v>46074</v>
      </c>
      <c r="E1004" s="5">
        <v>46076</v>
      </c>
      <c r="F1004" t="s">
        <v>33</v>
      </c>
      <c r="G1004" t="s">
        <v>63</v>
      </c>
      <c r="H1004" t="s">
        <v>20</v>
      </c>
      <c r="I1004" t="s">
        <v>43</v>
      </c>
      <c r="J1004">
        <v>289.5</v>
      </c>
      <c r="K1004">
        <v>3942.5</v>
      </c>
      <c r="L1004">
        <v>5942000</v>
      </c>
      <c r="M1004" t="b">
        <v>0</v>
      </c>
      <c r="N1004" t="b">
        <v>0</v>
      </c>
      <c r="O1004">
        <v>5000</v>
      </c>
      <c r="P1004" t="b">
        <v>0</v>
      </c>
      <c r="Q1004" t="b">
        <v>0</v>
      </c>
      <c r="R1004" t="b">
        <v>0</v>
      </c>
      <c r="S1004" t="s">
        <v>101</v>
      </c>
      <c r="T1004" t="s">
        <v>1625</v>
      </c>
      <c r="U1004">
        <v>78.849999999999994</v>
      </c>
      <c r="V1004">
        <v>0</v>
      </c>
      <c r="W1004">
        <v>0</v>
      </c>
      <c r="X1004">
        <v>4</v>
      </c>
      <c r="Y1004" s="6">
        <v>46054</v>
      </c>
      <c r="Z1004">
        <v>2</v>
      </c>
    </row>
    <row r="1005" spans="1:26" x14ac:dyDescent="0.3">
      <c r="A1005" t="s">
        <v>1110</v>
      </c>
      <c r="B1005" s="5">
        <v>46050</v>
      </c>
      <c r="C1005" s="5">
        <v>46051</v>
      </c>
      <c r="D1005" s="5">
        <v>46054</v>
      </c>
      <c r="E1005" s="5">
        <v>46054</v>
      </c>
      <c r="F1005" t="s">
        <v>34</v>
      </c>
      <c r="G1005" t="s">
        <v>53</v>
      </c>
      <c r="H1005" t="s">
        <v>21</v>
      </c>
      <c r="I1005" t="s">
        <v>43</v>
      </c>
      <c r="J1005">
        <v>318.2</v>
      </c>
      <c r="K1005">
        <v>2936.8</v>
      </c>
      <c r="L1005">
        <v>6170000</v>
      </c>
      <c r="M1005" t="b">
        <v>0</v>
      </c>
      <c r="N1005" t="b">
        <v>0</v>
      </c>
      <c r="O1005">
        <v>5000</v>
      </c>
      <c r="P1005" t="b">
        <v>0</v>
      </c>
      <c r="Q1005" t="b">
        <v>0</v>
      </c>
      <c r="R1005" t="b">
        <v>0</v>
      </c>
      <c r="S1005" t="s">
        <v>96</v>
      </c>
      <c r="T1005" t="s">
        <v>1636</v>
      </c>
      <c r="U1005">
        <v>58.735999999999997</v>
      </c>
      <c r="V1005">
        <v>0</v>
      </c>
      <c r="W1005">
        <v>0</v>
      </c>
      <c r="X1005">
        <v>3</v>
      </c>
      <c r="Y1005" s="6">
        <v>46023</v>
      </c>
    </row>
    <row r="1006" spans="1:26" x14ac:dyDescent="0.3">
      <c r="A1006" t="s">
        <v>1111</v>
      </c>
      <c r="B1006" s="5">
        <v>46074</v>
      </c>
      <c r="C1006" s="5">
        <v>46075</v>
      </c>
      <c r="D1006" s="5">
        <v>46078</v>
      </c>
      <c r="E1006" s="5">
        <v>46080</v>
      </c>
      <c r="F1006" t="s">
        <v>34</v>
      </c>
      <c r="G1006" t="s">
        <v>54</v>
      </c>
      <c r="H1006" t="s">
        <v>22</v>
      </c>
      <c r="I1006" t="s">
        <v>43</v>
      </c>
      <c r="J1006">
        <v>405.9</v>
      </c>
      <c r="K1006">
        <v>555.29999999999995</v>
      </c>
      <c r="L1006">
        <v>6392000</v>
      </c>
      <c r="M1006" t="b">
        <v>0</v>
      </c>
      <c r="N1006" t="b">
        <v>0</v>
      </c>
      <c r="O1006">
        <v>5000</v>
      </c>
      <c r="P1006" t="b">
        <v>0</v>
      </c>
      <c r="Q1006" t="b">
        <v>0</v>
      </c>
      <c r="R1006" t="b">
        <v>0</v>
      </c>
      <c r="S1006" t="s">
        <v>101</v>
      </c>
      <c r="T1006" t="s">
        <v>1635</v>
      </c>
      <c r="U1006">
        <v>11.106</v>
      </c>
      <c r="V1006">
        <v>0</v>
      </c>
      <c r="W1006">
        <v>0</v>
      </c>
      <c r="X1006">
        <v>5</v>
      </c>
      <c r="Y1006" s="6">
        <v>46054</v>
      </c>
      <c r="Z1006">
        <v>2</v>
      </c>
    </row>
    <row r="1007" spans="1:26" x14ac:dyDescent="0.3">
      <c r="A1007" t="s">
        <v>1112</v>
      </c>
      <c r="B1007" s="5">
        <v>46043</v>
      </c>
      <c r="C1007" s="5">
        <v>46044</v>
      </c>
      <c r="D1007" s="5">
        <v>46048</v>
      </c>
      <c r="E1007" s="5">
        <v>46050</v>
      </c>
      <c r="F1007" t="s">
        <v>34</v>
      </c>
      <c r="G1007" t="s">
        <v>62</v>
      </c>
      <c r="H1007" t="s">
        <v>22</v>
      </c>
      <c r="I1007" t="s">
        <v>42</v>
      </c>
      <c r="J1007">
        <v>740.2</v>
      </c>
      <c r="K1007">
        <v>11627</v>
      </c>
      <c r="L1007">
        <v>16487000</v>
      </c>
      <c r="M1007" t="b">
        <v>0</v>
      </c>
      <c r="N1007" t="b">
        <v>0</v>
      </c>
      <c r="O1007">
        <v>16000</v>
      </c>
      <c r="P1007" t="b">
        <v>0</v>
      </c>
      <c r="Q1007" t="b">
        <v>0</v>
      </c>
      <c r="R1007" t="b">
        <v>0</v>
      </c>
      <c r="S1007" t="s">
        <v>101</v>
      </c>
      <c r="T1007" t="s">
        <v>1649</v>
      </c>
      <c r="U1007">
        <v>72.668750000000003</v>
      </c>
      <c r="V1007">
        <v>0</v>
      </c>
      <c r="W1007">
        <v>0</v>
      </c>
      <c r="X1007">
        <v>6</v>
      </c>
      <c r="Y1007" s="6">
        <v>46023</v>
      </c>
      <c r="Z1007">
        <v>2</v>
      </c>
    </row>
    <row r="1008" spans="1:26" x14ac:dyDescent="0.3">
      <c r="A1008" t="s">
        <v>1113</v>
      </c>
      <c r="B1008" s="5">
        <v>46025</v>
      </c>
      <c r="C1008" s="5">
        <v>46026</v>
      </c>
      <c r="D1008" s="5">
        <v>46029</v>
      </c>
      <c r="E1008" s="5">
        <v>46029</v>
      </c>
      <c r="F1008" t="s">
        <v>32</v>
      </c>
      <c r="G1008" t="s">
        <v>52</v>
      </c>
      <c r="H1008" t="s">
        <v>24</v>
      </c>
      <c r="I1008" t="s">
        <v>44</v>
      </c>
      <c r="J1008">
        <v>323.10000000000002</v>
      </c>
      <c r="K1008">
        <v>374.6</v>
      </c>
      <c r="L1008">
        <v>4322000</v>
      </c>
      <c r="M1008" t="b">
        <v>0</v>
      </c>
      <c r="N1008" t="b">
        <v>0</v>
      </c>
      <c r="O1008">
        <v>1500</v>
      </c>
      <c r="P1008" t="b">
        <v>0</v>
      </c>
      <c r="Q1008" t="b">
        <v>0</v>
      </c>
      <c r="R1008" t="b">
        <v>0</v>
      </c>
      <c r="S1008" t="s">
        <v>96</v>
      </c>
      <c r="T1008" t="s">
        <v>1611</v>
      </c>
      <c r="U1008">
        <v>24.973333333333329</v>
      </c>
      <c r="V1008">
        <v>0</v>
      </c>
      <c r="W1008">
        <v>0</v>
      </c>
      <c r="X1008">
        <v>3</v>
      </c>
      <c r="Y1008" s="6">
        <v>46023</v>
      </c>
    </row>
    <row r="1009" spans="1:26" x14ac:dyDescent="0.3">
      <c r="A1009" t="s">
        <v>1114</v>
      </c>
      <c r="B1009" s="5">
        <v>46085</v>
      </c>
      <c r="C1009" s="5">
        <v>46086</v>
      </c>
      <c r="D1009" s="5">
        <v>46089</v>
      </c>
      <c r="E1009" s="5">
        <v>46089</v>
      </c>
      <c r="F1009" t="s">
        <v>31</v>
      </c>
      <c r="G1009" t="s">
        <v>63</v>
      </c>
      <c r="H1009" t="s">
        <v>21</v>
      </c>
      <c r="I1009" t="s">
        <v>44</v>
      </c>
      <c r="J1009">
        <v>319.2</v>
      </c>
      <c r="K1009">
        <v>1014.5</v>
      </c>
      <c r="L1009">
        <v>4117000</v>
      </c>
      <c r="M1009" t="b">
        <v>0</v>
      </c>
      <c r="N1009" t="b">
        <v>0</v>
      </c>
      <c r="O1009">
        <v>1500</v>
      </c>
      <c r="P1009" t="b">
        <v>0</v>
      </c>
      <c r="Q1009" t="b">
        <v>0</v>
      </c>
      <c r="R1009" t="b">
        <v>0</v>
      </c>
      <c r="S1009" t="s">
        <v>96</v>
      </c>
      <c r="T1009" t="s">
        <v>1640</v>
      </c>
      <c r="U1009">
        <v>67.63333333333334</v>
      </c>
      <c r="V1009">
        <v>0</v>
      </c>
      <c r="W1009">
        <v>0</v>
      </c>
      <c r="X1009">
        <v>3</v>
      </c>
      <c r="Y1009" s="6">
        <v>46082</v>
      </c>
    </row>
    <row r="1010" spans="1:26" x14ac:dyDescent="0.3">
      <c r="A1010" t="s">
        <v>1115</v>
      </c>
      <c r="B1010" s="5">
        <v>46034</v>
      </c>
      <c r="C1010" s="5">
        <v>46034</v>
      </c>
      <c r="D1010" s="5">
        <v>46036</v>
      </c>
      <c r="E1010" s="5">
        <v>46036</v>
      </c>
      <c r="F1010" t="s">
        <v>32</v>
      </c>
      <c r="G1010" t="s">
        <v>61</v>
      </c>
      <c r="H1010" t="s">
        <v>23</v>
      </c>
      <c r="I1010" t="s">
        <v>42</v>
      </c>
      <c r="J1010">
        <v>136.9</v>
      </c>
      <c r="K1010">
        <v>5715</v>
      </c>
      <c r="L1010">
        <v>4620000</v>
      </c>
      <c r="M1010" t="b">
        <v>0</v>
      </c>
      <c r="N1010" t="b">
        <v>0</v>
      </c>
      <c r="O1010">
        <v>16000</v>
      </c>
      <c r="P1010" t="b">
        <v>0</v>
      </c>
      <c r="Q1010" t="b">
        <v>0</v>
      </c>
      <c r="R1010" t="b">
        <v>0</v>
      </c>
      <c r="S1010" t="s">
        <v>96</v>
      </c>
      <c r="T1010" t="s">
        <v>1653</v>
      </c>
      <c r="U1010">
        <v>35.71875</v>
      </c>
      <c r="V1010">
        <v>0</v>
      </c>
      <c r="W1010">
        <v>0</v>
      </c>
      <c r="X1010">
        <v>2</v>
      </c>
      <c r="Y1010" s="6">
        <v>46023</v>
      </c>
    </row>
    <row r="1011" spans="1:26" x14ac:dyDescent="0.3">
      <c r="A1011" t="s">
        <v>1116</v>
      </c>
      <c r="B1011" s="5">
        <v>46178</v>
      </c>
      <c r="C1011" s="5">
        <v>46179</v>
      </c>
      <c r="D1011" s="5">
        <v>46182</v>
      </c>
      <c r="E1011" s="5">
        <v>46182</v>
      </c>
      <c r="F1011" t="s">
        <v>31</v>
      </c>
      <c r="G1011" t="s">
        <v>60</v>
      </c>
      <c r="H1011" t="s">
        <v>21</v>
      </c>
      <c r="I1011" t="s">
        <v>44</v>
      </c>
      <c r="J1011">
        <v>569.5</v>
      </c>
      <c r="K1011">
        <v>774.6</v>
      </c>
      <c r="L1011">
        <v>6067000</v>
      </c>
      <c r="M1011" t="b">
        <v>0</v>
      </c>
      <c r="N1011" t="b">
        <v>0</v>
      </c>
      <c r="O1011">
        <v>1500</v>
      </c>
      <c r="P1011" t="b">
        <v>0</v>
      </c>
      <c r="Q1011" t="b">
        <v>0</v>
      </c>
      <c r="R1011" t="b">
        <v>0</v>
      </c>
      <c r="S1011" t="s">
        <v>96</v>
      </c>
      <c r="T1011" t="s">
        <v>1652</v>
      </c>
      <c r="U1011">
        <v>51.64</v>
      </c>
      <c r="V1011">
        <v>0</v>
      </c>
      <c r="W1011">
        <v>0</v>
      </c>
      <c r="X1011">
        <v>3</v>
      </c>
      <c r="Y1011" s="6">
        <v>46174</v>
      </c>
    </row>
    <row r="1012" spans="1:26" x14ac:dyDescent="0.3">
      <c r="A1012" t="s">
        <v>1117</v>
      </c>
      <c r="B1012" s="5">
        <v>46029</v>
      </c>
      <c r="C1012" s="5">
        <v>46031</v>
      </c>
      <c r="D1012" s="5">
        <v>46032</v>
      </c>
      <c r="E1012" s="5">
        <v>46032</v>
      </c>
      <c r="F1012" t="s">
        <v>32</v>
      </c>
      <c r="G1012" t="s">
        <v>57</v>
      </c>
      <c r="H1012" t="s">
        <v>22</v>
      </c>
      <c r="I1012" t="s">
        <v>43</v>
      </c>
      <c r="J1012">
        <v>26</v>
      </c>
      <c r="K1012">
        <v>2864.8</v>
      </c>
      <c r="L1012">
        <v>1866000</v>
      </c>
      <c r="M1012" t="b">
        <v>0</v>
      </c>
      <c r="N1012" t="b">
        <v>0</v>
      </c>
      <c r="O1012">
        <v>5000</v>
      </c>
      <c r="P1012" t="b">
        <v>0</v>
      </c>
      <c r="Q1012" t="b">
        <v>0</v>
      </c>
      <c r="R1012" t="b">
        <v>0</v>
      </c>
      <c r="S1012" t="s">
        <v>96</v>
      </c>
      <c r="T1012" t="s">
        <v>1630</v>
      </c>
      <c r="U1012">
        <v>57.295999999999999</v>
      </c>
      <c r="V1012">
        <v>0</v>
      </c>
      <c r="W1012">
        <v>0</v>
      </c>
      <c r="X1012">
        <v>1</v>
      </c>
      <c r="Y1012" s="6">
        <v>46023</v>
      </c>
    </row>
    <row r="1013" spans="1:26" x14ac:dyDescent="0.3">
      <c r="A1013" t="s">
        <v>1118</v>
      </c>
      <c r="B1013" s="5">
        <v>46094</v>
      </c>
      <c r="C1013" s="5">
        <v>46095</v>
      </c>
      <c r="D1013" s="5">
        <v>46096</v>
      </c>
      <c r="E1013" s="5">
        <v>46097</v>
      </c>
      <c r="F1013" t="s">
        <v>34</v>
      </c>
      <c r="G1013" t="s">
        <v>55</v>
      </c>
      <c r="H1013" t="s">
        <v>20</v>
      </c>
      <c r="I1013" t="s">
        <v>42</v>
      </c>
      <c r="J1013">
        <v>52.8</v>
      </c>
      <c r="K1013">
        <v>12613.3</v>
      </c>
      <c r="L1013">
        <v>6476000</v>
      </c>
      <c r="M1013" t="b">
        <v>0</v>
      </c>
      <c r="N1013" t="b">
        <v>0</v>
      </c>
      <c r="O1013">
        <v>16000</v>
      </c>
      <c r="P1013" t="b">
        <v>0</v>
      </c>
      <c r="Q1013" t="b">
        <v>0</v>
      </c>
      <c r="R1013" t="b">
        <v>0</v>
      </c>
      <c r="S1013" t="s">
        <v>101</v>
      </c>
      <c r="T1013" t="s">
        <v>1639</v>
      </c>
      <c r="U1013">
        <v>78.833124999999995</v>
      </c>
      <c r="V1013">
        <v>0</v>
      </c>
      <c r="W1013">
        <v>0</v>
      </c>
      <c r="X1013">
        <v>2</v>
      </c>
      <c r="Y1013" s="6">
        <v>46082</v>
      </c>
      <c r="Z1013">
        <v>1</v>
      </c>
    </row>
    <row r="1014" spans="1:26" x14ac:dyDescent="0.3">
      <c r="A1014" t="s">
        <v>1119</v>
      </c>
      <c r="B1014" s="5">
        <v>46048</v>
      </c>
      <c r="C1014" s="5">
        <v>46049</v>
      </c>
      <c r="D1014" s="5">
        <v>46053</v>
      </c>
      <c r="E1014" s="5">
        <v>46053</v>
      </c>
      <c r="F1014" t="s">
        <v>33</v>
      </c>
      <c r="G1014" t="s">
        <v>61</v>
      </c>
      <c r="H1014" t="s">
        <v>24</v>
      </c>
      <c r="I1014" t="s">
        <v>44</v>
      </c>
      <c r="J1014">
        <v>638</v>
      </c>
      <c r="K1014">
        <v>491</v>
      </c>
      <c r="L1014">
        <v>6380000</v>
      </c>
      <c r="M1014" t="b">
        <v>0</v>
      </c>
      <c r="N1014" t="b">
        <v>0</v>
      </c>
      <c r="O1014">
        <v>1500</v>
      </c>
      <c r="P1014" t="b">
        <v>0</v>
      </c>
      <c r="Q1014" t="b">
        <v>0</v>
      </c>
      <c r="R1014" t="b">
        <v>0</v>
      </c>
      <c r="S1014" t="s">
        <v>96</v>
      </c>
      <c r="T1014" t="s">
        <v>1643</v>
      </c>
      <c r="U1014">
        <v>32.733333333333327</v>
      </c>
      <c r="V1014">
        <v>0</v>
      </c>
      <c r="W1014">
        <v>0</v>
      </c>
      <c r="X1014">
        <v>4</v>
      </c>
      <c r="Y1014" s="6">
        <v>46023</v>
      </c>
    </row>
    <row r="1015" spans="1:26" x14ac:dyDescent="0.3">
      <c r="A1015" t="s">
        <v>1120</v>
      </c>
      <c r="B1015" s="5">
        <v>46126</v>
      </c>
      <c r="C1015" s="5">
        <v>46127</v>
      </c>
      <c r="D1015" s="5">
        <v>46131</v>
      </c>
      <c r="E1015" s="5">
        <v>46131</v>
      </c>
      <c r="F1015" t="s">
        <v>32</v>
      </c>
      <c r="G1015" t="s">
        <v>56</v>
      </c>
      <c r="H1015" t="s">
        <v>22</v>
      </c>
      <c r="I1015" t="s">
        <v>44</v>
      </c>
      <c r="J1015">
        <v>1083.3</v>
      </c>
      <c r="K1015">
        <v>208</v>
      </c>
      <c r="L1015">
        <v>10304000</v>
      </c>
      <c r="M1015" t="b">
        <v>0</v>
      </c>
      <c r="N1015" t="b">
        <v>0</v>
      </c>
      <c r="O1015">
        <v>1500</v>
      </c>
      <c r="P1015" t="b">
        <v>0</v>
      </c>
      <c r="Q1015" t="b">
        <v>0</v>
      </c>
      <c r="R1015" t="b">
        <v>0</v>
      </c>
      <c r="S1015" t="s">
        <v>96</v>
      </c>
      <c r="T1015" t="s">
        <v>1658</v>
      </c>
      <c r="U1015">
        <v>13.866666666666671</v>
      </c>
      <c r="V1015">
        <v>0</v>
      </c>
      <c r="W1015">
        <v>0</v>
      </c>
      <c r="X1015">
        <v>4</v>
      </c>
      <c r="Y1015" s="6">
        <v>46113</v>
      </c>
    </row>
    <row r="1016" spans="1:26" x14ac:dyDescent="0.3">
      <c r="A1016" t="s">
        <v>1121</v>
      </c>
      <c r="B1016" s="5">
        <v>46156</v>
      </c>
      <c r="C1016" s="5">
        <v>46157</v>
      </c>
      <c r="D1016" s="5">
        <v>46160</v>
      </c>
      <c r="E1016" s="5">
        <v>46161</v>
      </c>
      <c r="F1016" t="s">
        <v>31</v>
      </c>
      <c r="G1016" t="s">
        <v>63</v>
      </c>
      <c r="H1016" t="s">
        <v>23</v>
      </c>
      <c r="I1016" t="s">
        <v>42</v>
      </c>
      <c r="J1016">
        <v>303.8</v>
      </c>
      <c r="K1016">
        <v>6576.2</v>
      </c>
      <c r="L1016">
        <v>8958000</v>
      </c>
      <c r="M1016" t="b">
        <v>0</v>
      </c>
      <c r="N1016" t="b">
        <v>0</v>
      </c>
      <c r="O1016">
        <v>16000</v>
      </c>
      <c r="P1016" t="b">
        <v>0</v>
      </c>
      <c r="Q1016" t="b">
        <v>0</v>
      </c>
      <c r="R1016" t="b">
        <v>0</v>
      </c>
      <c r="S1016" t="s">
        <v>101</v>
      </c>
      <c r="T1016" t="s">
        <v>1640</v>
      </c>
      <c r="U1016">
        <v>41.10125</v>
      </c>
      <c r="V1016">
        <v>0</v>
      </c>
      <c r="W1016">
        <v>0</v>
      </c>
      <c r="X1016">
        <v>4</v>
      </c>
      <c r="Y1016" s="6">
        <v>46143</v>
      </c>
      <c r="Z1016">
        <v>1</v>
      </c>
    </row>
    <row r="1017" spans="1:26" x14ac:dyDescent="0.3">
      <c r="A1017" t="s">
        <v>1122</v>
      </c>
      <c r="B1017" s="5">
        <v>46137</v>
      </c>
      <c r="C1017" s="5">
        <v>46137</v>
      </c>
      <c r="D1017" s="5">
        <v>46141</v>
      </c>
      <c r="E1017" s="5">
        <v>46143</v>
      </c>
      <c r="F1017" t="s">
        <v>34</v>
      </c>
      <c r="G1017" t="s">
        <v>56</v>
      </c>
      <c r="H1017" t="s">
        <v>24</v>
      </c>
      <c r="I1017" t="s">
        <v>42</v>
      </c>
      <c r="J1017">
        <v>955.6</v>
      </c>
      <c r="K1017">
        <v>3055.1</v>
      </c>
      <c r="L1017">
        <v>21412000</v>
      </c>
      <c r="M1017" t="b">
        <v>0</v>
      </c>
      <c r="N1017" t="b">
        <v>0</v>
      </c>
      <c r="O1017">
        <v>16000</v>
      </c>
      <c r="P1017" t="b">
        <v>0</v>
      </c>
      <c r="Q1017" t="b">
        <v>0</v>
      </c>
      <c r="R1017" t="b">
        <v>0</v>
      </c>
      <c r="S1017" t="s">
        <v>101</v>
      </c>
      <c r="T1017" t="s">
        <v>1646</v>
      </c>
      <c r="U1017">
        <v>19.094374999999999</v>
      </c>
      <c r="V1017">
        <v>0</v>
      </c>
      <c r="W1017">
        <v>0</v>
      </c>
      <c r="X1017">
        <v>6</v>
      </c>
      <c r="Y1017" s="6">
        <v>46113</v>
      </c>
      <c r="Z1017">
        <v>2</v>
      </c>
    </row>
    <row r="1018" spans="1:26" x14ac:dyDescent="0.3">
      <c r="A1018" t="s">
        <v>1123</v>
      </c>
      <c r="B1018" s="5">
        <v>46138</v>
      </c>
      <c r="C1018" s="5">
        <v>46138</v>
      </c>
      <c r="D1018" s="5">
        <v>46140</v>
      </c>
      <c r="E1018" s="5">
        <v>46140</v>
      </c>
      <c r="F1018" t="s">
        <v>32</v>
      </c>
      <c r="G1018" t="s">
        <v>59</v>
      </c>
      <c r="H1018" t="s">
        <v>20</v>
      </c>
      <c r="I1018" t="s">
        <v>44</v>
      </c>
      <c r="J1018">
        <v>210.2</v>
      </c>
      <c r="K1018">
        <v>965</v>
      </c>
      <c r="L1018">
        <v>2839000</v>
      </c>
      <c r="M1018" t="b">
        <v>0</v>
      </c>
      <c r="N1018" t="b">
        <v>0</v>
      </c>
      <c r="O1018">
        <v>1500</v>
      </c>
      <c r="P1018" t="b">
        <v>0</v>
      </c>
      <c r="Q1018" t="b">
        <v>0</v>
      </c>
      <c r="R1018" t="b">
        <v>0</v>
      </c>
      <c r="S1018" t="s">
        <v>96</v>
      </c>
      <c r="T1018" t="s">
        <v>1619</v>
      </c>
      <c r="U1018">
        <v>64.333333333333329</v>
      </c>
      <c r="V1018">
        <v>0</v>
      </c>
      <c r="W1018">
        <v>0</v>
      </c>
      <c r="X1018">
        <v>2</v>
      </c>
      <c r="Y1018" s="6">
        <v>46113</v>
      </c>
    </row>
    <row r="1019" spans="1:26" x14ac:dyDescent="0.3">
      <c r="A1019" t="s">
        <v>1124</v>
      </c>
      <c r="B1019" s="5">
        <v>46049</v>
      </c>
      <c r="C1019" s="5">
        <v>46050</v>
      </c>
      <c r="D1019" s="5">
        <v>46052</v>
      </c>
      <c r="E1019" s="5">
        <v>46053</v>
      </c>
      <c r="F1019" t="s">
        <v>31</v>
      </c>
      <c r="G1019" t="s">
        <v>59</v>
      </c>
      <c r="H1019" t="s">
        <v>20</v>
      </c>
      <c r="I1019" t="s">
        <v>44</v>
      </c>
      <c r="J1019">
        <v>297.2</v>
      </c>
      <c r="K1019">
        <v>166.7</v>
      </c>
      <c r="L1019">
        <v>3181000</v>
      </c>
      <c r="M1019" t="b">
        <v>0</v>
      </c>
      <c r="N1019" t="b">
        <v>0</v>
      </c>
      <c r="O1019">
        <v>1500</v>
      </c>
      <c r="P1019" t="b">
        <v>0</v>
      </c>
      <c r="Q1019" t="b">
        <v>0</v>
      </c>
      <c r="R1019" t="b">
        <v>0</v>
      </c>
      <c r="S1019" t="s">
        <v>101</v>
      </c>
      <c r="T1019" t="s">
        <v>1628</v>
      </c>
      <c r="U1019">
        <v>11.11333333333333</v>
      </c>
      <c r="V1019">
        <v>0</v>
      </c>
      <c r="W1019">
        <v>0</v>
      </c>
      <c r="X1019">
        <v>3</v>
      </c>
      <c r="Y1019" s="6">
        <v>46023</v>
      </c>
      <c r="Z1019">
        <v>1</v>
      </c>
    </row>
    <row r="1020" spans="1:26" x14ac:dyDescent="0.3">
      <c r="A1020" t="s">
        <v>1125</v>
      </c>
      <c r="B1020" s="5">
        <v>46154</v>
      </c>
      <c r="C1020" s="5">
        <v>46155</v>
      </c>
      <c r="D1020" s="5">
        <v>46157</v>
      </c>
      <c r="E1020" s="5">
        <v>46156</v>
      </c>
      <c r="F1020" t="s">
        <v>32</v>
      </c>
      <c r="G1020" t="s">
        <v>63</v>
      </c>
      <c r="H1020" t="s">
        <v>21</v>
      </c>
      <c r="I1020" t="s">
        <v>43</v>
      </c>
      <c r="J1020">
        <v>183.6</v>
      </c>
      <c r="K1020">
        <v>2544</v>
      </c>
      <c r="L1020">
        <v>3976000</v>
      </c>
      <c r="M1020" t="b">
        <v>0</v>
      </c>
      <c r="N1020" t="b">
        <v>0</v>
      </c>
      <c r="O1020">
        <v>5000</v>
      </c>
      <c r="P1020" t="b">
        <v>0</v>
      </c>
      <c r="Q1020" t="b">
        <v>0</v>
      </c>
      <c r="R1020" t="b">
        <v>0</v>
      </c>
      <c r="S1020" t="s">
        <v>96</v>
      </c>
      <c r="T1020" t="s">
        <v>1634</v>
      </c>
      <c r="U1020">
        <v>50.88</v>
      </c>
      <c r="V1020">
        <v>0</v>
      </c>
      <c r="W1020">
        <v>0</v>
      </c>
      <c r="X1020">
        <v>1</v>
      </c>
      <c r="Y1020" s="6">
        <v>46143</v>
      </c>
    </row>
    <row r="1021" spans="1:26" x14ac:dyDescent="0.3">
      <c r="A1021" t="s">
        <v>1126</v>
      </c>
      <c r="B1021" s="5">
        <v>46054</v>
      </c>
      <c r="C1021" s="5">
        <v>46054</v>
      </c>
      <c r="D1021" s="5">
        <v>46058</v>
      </c>
      <c r="E1021" s="5">
        <v>46058</v>
      </c>
      <c r="F1021" t="s">
        <v>33</v>
      </c>
      <c r="G1021" t="s">
        <v>52</v>
      </c>
      <c r="H1021" t="s">
        <v>24</v>
      </c>
      <c r="I1021" t="s">
        <v>43</v>
      </c>
      <c r="J1021">
        <v>637.4</v>
      </c>
      <c r="K1021">
        <v>4425.5</v>
      </c>
      <c r="L1021">
        <v>9286000</v>
      </c>
      <c r="M1021" t="b">
        <v>0</v>
      </c>
      <c r="N1021" t="b">
        <v>0</v>
      </c>
      <c r="O1021">
        <v>5000</v>
      </c>
      <c r="P1021" t="b">
        <v>0</v>
      </c>
      <c r="Q1021" t="b">
        <v>0</v>
      </c>
      <c r="R1021" t="b">
        <v>0</v>
      </c>
      <c r="S1021" t="s">
        <v>96</v>
      </c>
      <c r="T1021" t="s">
        <v>1622</v>
      </c>
      <c r="U1021">
        <v>88.51</v>
      </c>
      <c r="V1021">
        <v>0</v>
      </c>
      <c r="W1021">
        <v>0</v>
      </c>
      <c r="X1021">
        <v>4</v>
      </c>
      <c r="Y1021" s="6">
        <v>46054</v>
      </c>
    </row>
    <row r="1022" spans="1:26" x14ac:dyDescent="0.3">
      <c r="A1022" t="s">
        <v>1127</v>
      </c>
      <c r="B1022" s="5">
        <v>46112</v>
      </c>
      <c r="C1022" s="5">
        <v>46113</v>
      </c>
      <c r="D1022" s="5">
        <v>46115</v>
      </c>
      <c r="E1022" s="5">
        <v>46115</v>
      </c>
      <c r="F1022" t="s">
        <v>34</v>
      </c>
      <c r="G1022" t="s">
        <v>57</v>
      </c>
      <c r="H1022" t="s">
        <v>20</v>
      </c>
      <c r="I1022" t="s">
        <v>43</v>
      </c>
      <c r="J1022">
        <v>167</v>
      </c>
      <c r="K1022">
        <v>3105.6</v>
      </c>
      <c r="L1022">
        <v>4252000</v>
      </c>
      <c r="M1022" t="b">
        <v>0</v>
      </c>
      <c r="N1022" t="b">
        <v>0</v>
      </c>
      <c r="O1022">
        <v>5000</v>
      </c>
      <c r="P1022" t="b">
        <v>0</v>
      </c>
      <c r="Q1022" t="b">
        <v>0</v>
      </c>
      <c r="R1022" t="b">
        <v>0</v>
      </c>
      <c r="S1022" t="s">
        <v>96</v>
      </c>
      <c r="T1022" t="s">
        <v>1620</v>
      </c>
      <c r="U1022">
        <v>62.112000000000002</v>
      </c>
      <c r="V1022">
        <v>0</v>
      </c>
      <c r="W1022">
        <v>0</v>
      </c>
      <c r="X1022">
        <v>2</v>
      </c>
      <c r="Y1022" s="6">
        <v>46113</v>
      </c>
    </row>
    <row r="1023" spans="1:26" x14ac:dyDescent="0.3">
      <c r="A1023" t="s">
        <v>1128</v>
      </c>
      <c r="B1023" s="5">
        <v>46111</v>
      </c>
      <c r="C1023" s="5">
        <v>46111</v>
      </c>
      <c r="D1023" s="5">
        <v>46113</v>
      </c>
      <c r="E1023" s="5">
        <v>46113</v>
      </c>
      <c r="F1023" t="s">
        <v>34</v>
      </c>
      <c r="G1023" t="s">
        <v>61</v>
      </c>
      <c r="H1023" t="s">
        <v>23</v>
      </c>
      <c r="I1023" t="s">
        <v>44</v>
      </c>
      <c r="J1023">
        <v>22.4</v>
      </c>
      <c r="K1023">
        <v>331.1</v>
      </c>
      <c r="L1023">
        <v>835000</v>
      </c>
      <c r="M1023" t="b">
        <v>0</v>
      </c>
      <c r="N1023" t="b">
        <v>0</v>
      </c>
      <c r="O1023">
        <v>1500</v>
      </c>
      <c r="P1023" t="b">
        <v>0</v>
      </c>
      <c r="Q1023" t="b">
        <v>0</v>
      </c>
      <c r="R1023" t="b">
        <v>0</v>
      </c>
      <c r="S1023" t="s">
        <v>96</v>
      </c>
      <c r="T1023" t="s">
        <v>1638</v>
      </c>
      <c r="U1023">
        <v>22.073333333333331</v>
      </c>
      <c r="V1023">
        <v>0</v>
      </c>
      <c r="W1023">
        <v>0</v>
      </c>
      <c r="X1023">
        <v>2</v>
      </c>
      <c r="Y1023" s="6">
        <v>46082</v>
      </c>
    </row>
    <row r="1024" spans="1:26" x14ac:dyDescent="0.3">
      <c r="A1024" t="s">
        <v>1129</v>
      </c>
      <c r="B1024" s="5">
        <v>46073</v>
      </c>
      <c r="C1024" s="5">
        <v>46075</v>
      </c>
      <c r="D1024" s="5">
        <v>46079</v>
      </c>
      <c r="E1024" s="5">
        <v>46080</v>
      </c>
      <c r="F1024" t="s">
        <v>33</v>
      </c>
      <c r="G1024" t="s">
        <v>54</v>
      </c>
      <c r="H1024" t="s">
        <v>20</v>
      </c>
      <c r="I1024" t="s">
        <v>43</v>
      </c>
      <c r="J1024">
        <v>950.2</v>
      </c>
      <c r="K1024">
        <v>4439.3</v>
      </c>
      <c r="L1024">
        <v>14494000</v>
      </c>
      <c r="M1024" t="b">
        <v>0</v>
      </c>
      <c r="N1024" t="b">
        <v>0</v>
      </c>
      <c r="O1024">
        <v>5000</v>
      </c>
      <c r="P1024" t="b">
        <v>0</v>
      </c>
      <c r="Q1024" t="b">
        <v>0</v>
      </c>
      <c r="R1024" t="b">
        <v>0</v>
      </c>
      <c r="S1024" t="s">
        <v>101</v>
      </c>
      <c r="T1024" t="s">
        <v>1642</v>
      </c>
      <c r="U1024">
        <v>88.786000000000001</v>
      </c>
      <c r="V1024">
        <v>0</v>
      </c>
      <c r="W1024">
        <v>0</v>
      </c>
      <c r="X1024">
        <v>5</v>
      </c>
      <c r="Y1024" s="6">
        <v>46054</v>
      </c>
      <c r="Z1024">
        <v>1</v>
      </c>
    </row>
    <row r="1025" spans="1:26" x14ac:dyDescent="0.3">
      <c r="A1025" t="s">
        <v>1130</v>
      </c>
      <c r="B1025" s="5">
        <v>46039</v>
      </c>
      <c r="C1025" s="5">
        <v>46040</v>
      </c>
      <c r="D1025" s="5">
        <v>46043</v>
      </c>
      <c r="E1025" s="5">
        <v>46043</v>
      </c>
      <c r="F1025" t="s">
        <v>32</v>
      </c>
      <c r="G1025" t="s">
        <v>54</v>
      </c>
      <c r="H1025" t="s">
        <v>21</v>
      </c>
      <c r="I1025" t="s">
        <v>43</v>
      </c>
      <c r="J1025">
        <v>532.4</v>
      </c>
      <c r="K1025">
        <v>2637.5</v>
      </c>
      <c r="L1025">
        <v>9947000</v>
      </c>
      <c r="M1025" t="b">
        <v>0</v>
      </c>
      <c r="N1025" t="b">
        <v>0</v>
      </c>
      <c r="O1025">
        <v>5000</v>
      </c>
      <c r="P1025" t="b">
        <v>0</v>
      </c>
      <c r="Q1025" t="b">
        <v>0</v>
      </c>
      <c r="R1025" t="b">
        <v>0</v>
      </c>
      <c r="S1025" t="s">
        <v>96</v>
      </c>
      <c r="T1025" t="s">
        <v>1655</v>
      </c>
      <c r="U1025">
        <v>52.75</v>
      </c>
      <c r="V1025">
        <v>0</v>
      </c>
      <c r="W1025">
        <v>0</v>
      </c>
      <c r="X1025">
        <v>3</v>
      </c>
      <c r="Y1025" s="6">
        <v>46023</v>
      </c>
    </row>
    <row r="1026" spans="1:26" x14ac:dyDescent="0.3">
      <c r="A1026" t="s">
        <v>1131</v>
      </c>
      <c r="B1026" s="5">
        <v>46068</v>
      </c>
      <c r="C1026" s="5">
        <v>46069</v>
      </c>
      <c r="D1026" s="5">
        <v>46072</v>
      </c>
      <c r="E1026" s="5">
        <v>46074</v>
      </c>
      <c r="F1026" t="s">
        <v>32</v>
      </c>
      <c r="G1026" t="s">
        <v>60</v>
      </c>
      <c r="H1026" t="s">
        <v>22</v>
      </c>
      <c r="I1026" t="s">
        <v>43</v>
      </c>
      <c r="J1026">
        <v>462.1</v>
      </c>
      <c r="K1026">
        <v>4402.7</v>
      </c>
      <c r="L1026">
        <v>8391000</v>
      </c>
      <c r="M1026" t="b">
        <v>0</v>
      </c>
      <c r="N1026" t="b">
        <v>0</v>
      </c>
      <c r="O1026">
        <v>5000</v>
      </c>
      <c r="P1026" t="b">
        <v>0</v>
      </c>
      <c r="Q1026" t="b">
        <v>0</v>
      </c>
      <c r="R1026" t="b">
        <v>0</v>
      </c>
      <c r="S1026" t="s">
        <v>101</v>
      </c>
      <c r="T1026" t="s">
        <v>1647</v>
      </c>
      <c r="U1026">
        <v>88.054000000000002</v>
      </c>
      <c r="V1026">
        <v>0</v>
      </c>
      <c r="W1026">
        <v>0</v>
      </c>
      <c r="X1026">
        <v>5</v>
      </c>
      <c r="Y1026" s="6">
        <v>46054</v>
      </c>
      <c r="Z1026">
        <v>2</v>
      </c>
    </row>
    <row r="1027" spans="1:26" x14ac:dyDescent="0.3">
      <c r="A1027" t="s">
        <v>1132</v>
      </c>
      <c r="B1027" s="5">
        <v>46114</v>
      </c>
      <c r="C1027" s="5">
        <v>46115</v>
      </c>
      <c r="D1027" s="5">
        <v>46118</v>
      </c>
      <c r="E1027" s="5">
        <v>46118</v>
      </c>
      <c r="F1027" t="s">
        <v>32</v>
      </c>
      <c r="G1027" t="s">
        <v>62</v>
      </c>
      <c r="H1027" t="s">
        <v>22</v>
      </c>
      <c r="I1027" t="s">
        <v>43</v>
      </c>
      <c r="J1027">
        <v>588.1</v>
      </c>
      <c r="K1027">
        <v>3325.4</v>
      </c>
      <c r="L1027">
        <v>8754000</v>
      </c>
      <c r="M1027" t="b">
        <v>0</v>
      </c>
      <c r="N1027" t="b">
        <v>0</v>
      </c>
      <c r="O1027">
        <v>5000</v>
      </c>
      <c r="P1027" t="b">
        <v>0</v>
      </c>
      <c r="Q1027" t="b">
        <v>0</v>
      </c>
      <c r="R1027" t="b">
        <v>0</v>
      </c>
      <c r="S1027" t="s">
        <v>96</v>
      </c>
      <c r="T1027" t="s">
        <v>1641</v>
      </c>
      <c r="U1027">
        <v>66.507999999999996</v>
      </c>
      <c r="V1027">
        <v>0</v>
      </c>
      <c r="W1027">
        <v>0</v>
      </c>
      <c r="X1027">
        <v>3</v>
      </c>
      <c r="Y1027" s="6">
        <v>46113</v>
      </c>
    </row>
    <row r="1028" spans="1:26" x14ac:dyDescent="0.3">
      <c r="A1028" t="s">
        <v>1133</v>
      </c>
      <c r="B1028" s="5">
        <v>46045</v>
      </c>
      <c r="C1028" s="5">
        <v>46046</v>
      </c>
      <c r="D1028" s="5">
        <v>46048</v>
      </c>
      <c r="E1028" s="5">
        <v>46049</v>
      </c>
      <c r="F1028" t="s">
        <v>34</v>
      </c>
      <c r="G1028" t="s">
        <v>58</v>
      </c>
      <c r="H1028" t="s">
        <v>22</v>
      </c>
      <c r="I1028" t="s">
        <v>43</v>
      </c>
      <c r="J1028">
        <v>164.8</v>
      </c>
      <c r="K1028">
        <v>3357.8</v>
      </c>
      <c r="L1028">
        <v>4101000</v>
      </c>
      <c r="M1028" t="b">
        <v>0</v>
      </c>
      <c r="N1028" t="b">
        <v>0</v>
      </c>
      <c r="O1028">
        <v>5000</v>
      </c>
      <c r="P1028" t="b">
        <v>0</v>
      </c>
      <c r="Q1028" t="b">
        <v>0</v>
      </c>
      <c r="R1028" t="b">
        <v>0</v>
      </c>
      <c r="S1028" t="s">
        <v>101</v>
      </c>
      <c r="T1028" t="s">
        <v>1637</v>
      </c>
      <c r="U1028">
        <v>67.156000000000006</v>
      </c>
      <c r="V1028">
        <v>0</v>
      </c>
      <c r="W1028">
        <v>0</v>
      </c>
      <c r="X1028">
        <v>3</v>
      </c>
      <c r="Y1028" s="6">
        <v>46023</v>
      </c>
      <c r="Z1028">
        <v>1</v>
      </c>
    </row>
    <row r="1029" spans="1:26" x14ac:dyDescent="0.3">
      <c r="A1029" t="s">
        <v>1134</v>
      </c>
      <c r="B1029" s="5">
        <v>46071</v>
      </c>
      <c r="C1029" s="5">
        <v>46071</v>
      </c>
      <c r="D1029" s="5">
        <v>46075</v>
      </c>
      <c r="E1029" s="5">
        <v>46076</v>
      </c>
      <c r="F1029" t="s">
        <v>31</v>
      </c>
      <c r="G1029" t="s">
        <v>60</v>
      </c>
      <c r="H1029" t="s">
        <v>20</v>
      </c>
      <c r="I1029" t="s">
        <v>43</v>
      </c>
      <c r="J1029">
        <v>601.9</v>
      </c>
      <c r="K1029">
        <v>3476.7</v>
      </c>
      <c r="L1029">
        <v>11612000</v>
      </c>
      <c r="M1029" t="b">
        <v>0</v>
      </c>
      <c r="N1029" t="b">
        <v>0</v>
      </c>
      <c r="O1029">
        <v>5000</v>
      </c>
      <c r="P1029" t="b">
        <v>0</v>
      </c>
      <c r="Q1029" t="b">
        <v>0</v>
      </c>
      <c r="R1029" t="b">
        <v>0</v>
      </c>
      <c r="S1029" t="s">
        <v>101</v>
      </c>
      <c r="T1029" t="s">
        <v>1652</v>
      </c>
      <c r="U1029">
        <v>69.533999999999992</v>
      </c>
      <c r="V1029">
        <v>0</v>
      </c>
      <c r="W1029">
        <v>0</v>
      </c>
      <c r="X1029">
        <v>5</v>
      </c>
      <c r="Y1029" s="6">
        <v>46054</v>
      </c>
      <c r="Z1029">
        <v>1</v>
      </c>
    </row>
    <row r="1030" spans="1:26" x14ac:dyDescent="0.3">
      <c r="A1030" t="s">
        <v>1135</v>
      </c>
      <c r="B1030" s="5">
        <v>46029</v>
      </c>
      <c r="C1030" s="5">
        <v>46031</v>
      </c>
      <c r="D1030" s="5">
        <v>46034</v>
      </c>
      <c r="E1030" s="5">
        <v>46034</v>
      </c>
      <c r="F1030" t="s">
        <v>31</v>
      </c>
      <c r="G1030" t="s">
        <v>58</v>
      </c>
      <c r="H1030" t="s">
        <v>21</v>
      </c>
      <c r="I1030" t="s">
        <v>42</v>
      </c>
      <c r="J1030">
        <v>200.1</v>
      </c>
      <c r="K1030">
        <v>2566.5</v>
      </c>
      <c r="L1030">
        <v>5137000</v>
      </c>
      <c r="M1030" t="b">
        <v>0</v>
      </c>
      <c r="N1030" t="b">
        <v>0</v>
      </c>
      <c r="O1030">
        <v>16000</v>
      </c>
      <c r="P1030" t="b">
        <v>0</v>
      </c>
      <c r="Q1030" t="b">
        <v>0</v>
      </c>
      <c r="R1030" t="b">
        <v>0</v>
      </c>
      <c r="S1030" t="s">
        <v>96</v>
      </c>
      <c r="T1030" t="s">
        <v>1621</v>
      </c>
      <c r="U1030">
        <v>16.040624999999999</v>
      </c>
      <c r="V1030">
        <v>0</v>
      </c>
      <c r="W1030">
        <v>0</v>
      </c>
      <c r="X1030">
        <v>3</v>
      </c>
      <c r="Y1030" s="6">
        <v>46023</v>
      </c>
    </row>
    <row r="1031" spans="1:26" x14ac:dyDescent="0.3">
      <c r="A1031" t="s">
        <v>1136</v>
      </c>
      <c r="B1031" s="5">
        <v>46080</v>
      </c>
      <c r="C1031" s="5">
        <v>46081</v>
      </c>
      <c r="D1031" s="5">
        <v>46084</v>
      </c>
      <c r="E1031" s="5">
        <v>46085</v>
      </c>
      <c r="F1031" t="s">
        <v>31</v>
      </c>
      <c r="G1031" t="s">
        <v>54</v>
      </c>
      <c r="H1031" t="s">
        <v>22</v>
      </c>
      <c r="I1031" t="s">
        <v>43</v>
      </c>
      <c r="J1031">
        <v>523.29999999999995</v>
      </c>
      <c r="K1031">
        <v>2252.8000000000002</v>
      </c>
      <c r="L1031">
        <v>6775000</v>
      </c>
      <c r="M1031" t="b">
        <v>0</v>
      </c>
      <c r="N1031" t="b">
        <v>0</v>
      </c>
      <c r="O1031">
        <v>5000</v>
      </c>
      <c r="P1031" t="b">
        <v>0</v>
      </c>
      <c r="Q1031" t="b">
        <v>0</v>
      </c>
      <c r="R1031" t="b">
        <v>0</v>
      </c>
      <c r="S1031" t="s">
        <v>101</v>
      </c>
      <c r="T1031" t="s">
        <v>1631</v>
      </c>
      <c r="U1031">
        <v>45.055999999999997</v>
      </c>
      <c r="V1031">
        <v>0</v>
      </c>
      <c r="W1031">
        <v>0</v>
      </c>
      <c r="X1031">
        <v>4</v>
      </c>
      <c r="Y1031" s="6">
        <v>46054</v>
      </c>
      <c r="Z1031">
        <v>1</v>
      </c>
    </row>
    <row r="1032" spans="1:26" x14ac:dyDescent="0.3">
      <c r="A1032" t="s">
        <v>1137</v>
      </c>
      <c r="B1032" s="5">
        <v>46171</v>
      </c>
      <c r="C1032" s="5">
        <v>46172</v>
      </c>
      <c r="D1032" s="5">
        <v>46175</v>
      </c>
      <c r="E1032" s="5">
        <v>46174</v>
      </c>
      <c r="F1032" t="s">
        <v>34</v>
      </c>
      <c r="G1032" t="s">
        <v>53</v>
      </c>
      <c r="H1032" t="s">
        <v>23</v>
      </c>
      <c r="I1032" t="s">
        <v>43</v>
      </c>
      <c r="K1032">
        <v>2359.8000000000002</v>
      </c>
      <c r="L1032">
        <v>7389000</v>
      </c>
      <c r="M1032" t="b">
        <v>0</v>
      </c>
      <c r="N1032" t="b">
        <v>1</v>
      </c>
      <c r="O1032">
        <v>5000</v>
      </c>
      <c r="P1032" t="b">
        <v>0</v>
      </c>
      <c r="Q1032" t="b">
        <v>0</v>
      </c>
      <c r="R1032" t="b">
        <v>1</v>
      </c>
      <c r="S1032" t="s">
        <v>96</v>
      </c>
      <c r="T1032" t="s">
        <v>1636</v>
      </c>
      <c r="U1032">
        <v>47.196000000000012</v>
      </c>
      <c r="V1032">
        <v>0</v>
      </c>
      <c r="W1032">
        <v>1</v>
      </c>
      <c r="X1032">
        <v>2</v>
      </c>
      <c r="Y1032" s="6">
        <v>46143</v>
      </c>
    </row>
    <row r="1033" spans="1:26" x14ac:dyDescent="0.3">
      <c r="A1033" t="s">
        <v>1138</v>
      </c>
      <c r="B1033" s="5">
        <v>46110</v>
      </c>
      <c r="C1033" s="5">
        <v>46111</v>
      </c>
      <c r="D1033" s="5">
        <v>46113</v>
      </c>
      <c r="E1033" s="5">
        <v>46114</v>
      </c>
      <c r="F1033" t="s">
        <v>31</v>
      </c>
      <c r="G1033" t="s">
        <v>58</v>
      </c>
      <c r="H1033" t="s">
        <v>24</v>
      </c>
      <c r="I1033" t="s">
        <v>42</v>
      </c>
      <c r="J1033">
        <v>166.9</v>
      </c>
      <c r="K1033">
        <v>4250</v>
      </c>
      <c r="L1033">
        <v>4534000</v>
      </c>
      <c r="M1033" t="b">
        <v>0</v>
      </c>
      <c r="N1033" t="b">
        <v>0</v>
      </c>
      <c r="O1033">
        <v>16000</v>
      </c>
      <c r="P1033" t="b">
        <v>0</v>
      </c>
      <c r="Q1033" t="b">
        <v>0</v>
      </c>
      <c r="R1033" t="b">
        <v>0</v>
      </c>
      <c r="S1033" t="s">
        <v>101</v>
      </c>
      <c r="T1033" t="s">
        <v>1621</v>
      </c>
      <c r="U1033">
        <v>26.5625</v>
      </c>
      <c r="V1033">
        <v>0</v>
      </c>
      <c r="W1033">
        <v>0</v>
      </c>
      <c r="X1033">
        <v>3</v>
      </c>
      <c r="Y1033" s="6">
        <v>46082</v>
      </c>
      <c r="Z1033">
        <v>1</v>
      </c>
    </row>
    <row r="1034" spans="1:26" x14ac:dyDescent="0.3">
      <c r="A1034" t="s">
        <v>1139</v>
      </c>
      <c r="B1034" s="5">
        <v>46124</v>
      </c>
      <c r="C1034" s="5">
        <v>46125</v>
      </c>
      <c r="D1034" s="5">
        <v>46126</v>
      </c>
      <c r="E1034" s="5">
        <v>46126</v>
      </c>
      <c r="F1034" t="s">
        <v>34</v>
      </c>
      <c r="G1034" t="s">
        <v>61</v>
      </c>
      <c r="H1034" t="s">
        <v>20</v>
      </c>
      <c r="I1034" t="s">
        <v>43</v>
      </c>
      <c r="J1034">
        <v>19.5</v>
      </c>
      <c r="K1034">
        <v>3876.7</v>
      </c>
      <c r="L1034">
        <v>2512000</v>
      </c>
      <c r="M1034" t="b">
        <v>0</v>
      </c>
      <c r="N1034" t="b">
        <v>0</v>
      </c>
      <c r="O1034">
        <v>5000</v>
      </c>
      <c r="P1034" t="b">
        <v>0</v>
      </c>
      <c r="Q1034" t="b">
        <v>0</v>
      </c>
      <c r="R1034" t="b">
        <v>0</v>
      </c>
      <c r="S1034" t="s">
        <v>96</v>
      </c>
      <c r="T1034" t="s">
        <v>1638</v>
      </c>
      <c r="U1034">
        <v>77.533999999999992</v>
      </c>
      <c r="V1034">
        <v>0</v>
      </c>
      <c r="W1034">
        <v>0</v>
      </c>
      <c r="X1034">
        <v>1</v>
      </c>
      <c r="Y1034" s="6">
        <v>46113</v>
      </c>
    </row>
    <row r="1035" spans="1:26" x14ac:dyDescent="0.3">
      <c r="A1035" t="s">
        <v>1140</v>
      </c>
      <c r="B1035" s="5">
        <v>46192</v>
      </c>
      <c r="C1035" s="5">
        <v>46193</v>
      </c>
      <c r="D1035" s="5">
        <v>46196</v>
      </c>
      <c r="E1035" s="5">
        <v>46196</v>
      </c>
      <c r="F1035" t="s">
        <v>32</v>
      </c>
      <c r="G1035" t="s">
        <v>54</v>
      </c>
      <c r="H1035" t="s">
        <v>22</v>
      </c>
      <c r="I1035" t="s">
        <v>43</v>
      </c>
      <c r="J1035">
        <v>524.5</v>
      </c>
      <c r="K1035">
        <v>1281</v>
      </c>
      <c r="L1035">
        <v>7146000</v>
      </c>
      <c r="M1035" t="b">
        <v>0</v>
      </c>
      <c r="N1035" t="b">
        <v>0</v>
      </c>
      <c r="O1035">
        <v>5000</v>
      </c>
      <c r="P1035" t="b">
        <v>0</v>
      </c>
      <c r="Q1035" t="b">
        <v>0</v>
      </c>
      <c r="R1035" t="b">
        <v>0</v>
      </c>
      <c r="S1035" t="s">
        <v>96</v>
      </c>
      <c r="T1035" t="s">
        <v>1655</v>
      </c>
      <c r="U1035">
        <v>25.62</v>
      </c>
      <c r="V1035">
        <v>0</v>
      </c>
      <c r="W1035">
        <v>0</v>
      </c>
      <c r="X1035">
        <v>3</v>
      </c>
      <c r="Y1035" s="6">
        <v>46174</v>
      </c>
    </row>
    <row r="1036" spans="1:26" x14ac:dyDescent="0.3">
      <c r="A1036" t="s">
        <v>1141</v>
      </c>
      <c r="B1036" s="5">
        <v>46190</v>
      </c>
      <c r="C1036" s="5">
        <v>46191</v>
      </c>
      <c r="D1036" s="5">
        <v>46193</v>
      </c>
      <c r="E1036" s="5">
        <v>46193</v>
      </c>
      <c r="F1036" t="s">
        <v>33</v>
      </c>
      <c r="G1036" t="s">
        <v>62</v>
      </c>
      <c r="H1036" t="s">
        <v>20</v>
      </c>
      <c r="I1036" t="s">
        <v>43</v>
      </c>
      <c r="J1036">
        <v>151.6</v>
      </c>
      <c r="K1036">
        <v>2098.5</v>
      </c>
      <c r="L1036">
        <v>3483000</v>
      </c>
      <c r="M1036" t="b">
        <v>0</v>
      </c>
      <c r="N1036" t="b">
        <v>0</v>
      </c>
      <c r="O1036">
        <v>5000</v>
      </c>
      <c r="P1036" t="b">
        <v>0</v>
      </c>
      <c r="Q1036" t="b">
        <v>0</v>
      </c>
      <c r="R1036" t="b">
        <v>0</v>
      </c>
      <c r="S1036" t="s">
        <v>96</v>
      </c>
      <c r="T1036" t="s">
        <v>1657</v>
      </c>
      <c r="U1036">
        <v>41.97</v>
      </c>
      <c r="V1036">
        <v>0</v>
      </c>
      <c r="W1036">
        <v>0</v>
      </c>
      <c r="X1036">
        <v>2</v>
      </c>
      <c r="Y1036" s="6">
        <v>46174</v>
      </c>
    </row>
    <row r="1037" spans="1:26" x14ac:dyDescent="0.3">
      <c r="A1037" t="s">
        <v>1142</v>
      </c>
      <c r="B1037" s="5">
        <v>46199</v>
      </c>
      <c r="C1037" s="5">
        <v>46200</v>
      </c>
      <c r="D1037" s="5">
        <v>46205</v>
      </c>
      <c r="E1037" s="5">
        <v>46205</v>
      </c>
      <c r="F1037" t="s">
        <v>34</v>
      </c>
      <c r="G1037" t="s">
        <v>56</v>
      </c>
      <c r="H1037" t="s">
        <v>21</v>
      </c>
      <c r="I1037" t="s">
        <v>44</v>
      </c>
      <c r="J1037">
        <v>911.4</v>
      </c>
      <c r="K1037">
        <v>408.6</v>
      </c>
      <c r="L1037">
        <v>8964000</v>
      </c>
      <c r="M1037" t="b">
        <v>0</v>
      </c>
      <c r="N1037" t="b">
        <v>0</v>
      </c>
      <c r="O1037">
        <v>1500</v>
      </c>
      <c r="P1037" t="b">
        <v>0</v>
      </c>
      <c r="Q1037" t="b">
        <v>0</v>
      </c>
      <c r="R1037" t="b">
        <v>0</v>
      </c>
      <c r="S1037" t="s">
        <v>96</v>
      </c>
      <c r="T1037" t="s">
        <v>1646</v>
      </c>
      <c r="U1037">
        <v>27.24</v>
      </c>
      <c r="V1037">
        <v>0</v>
      </c>
      <c r="W1037">
        <v>0</v>
      </c>
      <c r="X1037">
        <v>5</v>
      </c>
      <c r="Y1037" s="6">
        <v>46174</v>
      </c>
    </row>
    <row r="1038" spans="1:26" x14ac:dyDescent="0.3">
      <c r="A1038" t="s">
        <v>1143</v>
      </c>
      <c r="B1038" s="5">
        <v>46031</v>
      </c>
      <c r="C1038" s="5">
        <v>46032</v>
      </c>
      <c r="D1038" s="5">
        <v>46035</v>
      </c>
      <c r="E1038" s="5">
        <v>46036</v>
      </c>
      <c r="F1038" t="s">
        <v>31</v>
      </c>
      <c r="G1038" t="s">
        <v>59</v>
      </c>
      <c r="H1038" t="s">
        <v>22</v>
      </c>
      <c r="I1038" t="s">
        <v>43</v>
      </c>
      <c r="J1038">
        <v>319</v>
      </c>
      <c r="K1038">
        <v>1996</v>
      </c>
      <c r="L1038">
        <v>5990000</v>
      </c>
      <c r="M1038" t="b">
        <v>0</v>
      </c>
      <c r="N1038" t="b">
        <v>0</v>
      </c>
      <c r="O1038">
        <v>5000</v>
      </c>
      <c r="P1038" t="b">
        <v>0</v>
      </c>
      <c r="Q1038" t="b">
        <v>0</v>
      </c>
      <c r="R1038" t="b">
        <v>0</v>
      </c>
      <c r="S1038" t="s">
        <v>101</v>
      </c>
      <c r="T1038" t="s">
        <v>1628</v>
      </c>
      <c r="U1038">
        <v>39.92</v>
      </c>
      <c r="V1038">
        <v>0</v>
      </c>
      <c r="W1038">
        <v>0</v>
      </c>
      <c r="X1038">
        <v>4</v>
      </c>
      <c r="Y1038" s="6">
        <v>46023</v>
      </c>
      <c r="Z1038">
        <v>1</v>
      </c>
    </row>
    <row r="1039" spans="1:26" x14ac:dyDescent="0.3">
      <c r="A1039" t="s">
        <v>1144</v>
      </c>
      <c r="B1039" s="5">
        <v>46102</v>
      </c>
      <c r="C1039" s="5">
        <v>46104</v>
      </c>
      <c r="D1039" s="5">
        <v>46107</v>
      </c>
      <c r="E1039" s="5">
        <v>46107</v>
      </c>
      <c r="F1039" t="s">
        <v>31</v>
      </c>
      <c r="G1039" t="s">
        <v>53</v>
      </c>
      <c r="H1039" t="s">
        <v>20</v>
      </c>
      <c r="I1039" t="s">
        <v>44</v>
      </c>
      <c r="J1039">
        <v>338.1</v>
      </c>
      <c r="K1039">
        <v>674.8</v>
      </c>
      <c r="L1039">
        <v>4175000</v>
      </c>
      <c r="M1039" t="b">
        <v>0</v>
      </c>
      <c r="N1039" t="b">
        <v>0</v>
      </c>
      <c r="O1039">
        <v>1500</v>
      </c>
      <c r="P1039" t="b">
        <v>0</v>
      </c>
      <c r="Q1039" t="b">
        <v>0</v>
      </c>
      <c r="R1039" t="b">
        <v>0</v>
      </c>
      <c r="S1039" t="s">
        <v>96</v>
      </c>
      <c r="T1039" t="s">
        <v>1627</v>
      </c>
      <c r="U1039">
        <v>44.986666666666657</v>
      </c>
      <c r="V1039">
        <v>0</v>
      </c>
      <c r="W1039">
        <v>0</v>
      </c>
      <c r="X1039">
        <v>3</v>
      </c>
      <c r="Y1039" s="6">
        <v>46082</v>
      </c>
    </row>
    <row r="1040" spans="1:26" x14ac:dyDescent="0.3">
      <c r="A1040" t="s">
        <v>1145</v>
      </c>
      <c r="B1040" s="5">
        <v>46203</v>
      </c>
      <c r="C1040" s="5">
        <v>46204</v>
      </c>
      <c r="D1040" s="5">
        <v>46206</v>
      </c>
      <c r="E1040" s="5">
        <v>46208</v>
      </c>
      <c r="F1040" t="s">
        <v>31</v>
      </c>
      <c r="G1040" t="s">
        <v>58</v>
      </c>
      <c r="H1040" t="s">
        <v>20</v>
      </c>
      <c r="I1040" t="s">
        <v>43</v>
      </c>
      <c r="J1040">
        <v>180.3</v>
      </c>
      <c r="K1040">
        <v>3329.9</v>
      </c>
      <c r="L1040">
        <v>4021000</v>
      </c>
      <c r="M1040" t="b">
        <v>0</v>
      </c>
      <c r="N1040" t="b">
        <v>0</v>
      </c>
      <c r="O1040">
        <v>5000</v>
      </c>
      <c r="P1040" t="b">
        <v>0</v>
      </c>
      <c r="Q1040" t="b">
        <v>0</v>
      </c>
      <c r="R1040" t="b">
        <v>0</v>
      </c>
      <c r="S1040" t="s">
        <v>101</v>
      </c>
      <c r="T1040" t="s">
        <v>1621</v>
      </c>
      <c r="U1040">
        <v>66.597999999999999</v>
      </c>
      <c r="V1040">
        <v>0</v>
      </c>
      <c r="W1040">
        <v>0</v>
      </c>
      <c r="X1040">
        <v>4</v>
      </c>
      <c r="Y1040" s="6">
        <v>46204</v>
      </c>
      <c r="Z1040">
        <v>2</v>
      </c>
    </row>
    <row r="1041" spans="1:26" x14ac:dyDescent="0.3">
      <c r="A1041" t="s">
        <v>1146</v>
      </c>
      <c r="B1041" s="5">
        <v>46171</v>
      </c>
      <c r="C1041" s="5">
        <v>46173</v>
      </c>
      <c r="D1041" s="5">
        <v>46177</v>
      </c>
      <c r="E1041" s="5">
        <v>46177</v>
      </c>
      <c r="F1041" t="s">
        <v>34</v>
      </c>
      <c r="G1041" t="s">
        <v>62</v>
      </c>
      <c r="H1041" t="s">
        <v>24</v>
      </c>
      <c r="I1041" t="s">
        <v>44</v>
      </c>
      <c r="J1041">
        <v>745.1</v>
      </c>
      <c r="K1041">
        <v>1047.5999999999999</v>
      </c>
      <c r="L1041">
        <v>7327000</v>
      </c>
      <c r="M1041" t="b">
        <v>0</v>
      </c>
      <c r="N1041" t="b">
        <v>0</v>
      </c>
      <c r="O1041">
        <v>1500</v>
      </c>
      <c r="P1041" t="b">
        <v>0</v>
      </c>
      <c r="Q1041" t="b">
        <v>0</v>
      </c>
      <c r="R1041" t="b">
        <v>0</v>
      </c>
      <c r="S1041" t="s">
        <v>96</v>
      </c>
      <c r="T1041" t="s">
        <v>1649</v>
      </c>
      <c r="U1041">
        <v>69.839999999999989</v>
      </c>
      <c r="V1041">
        <v>0</v>
      </c>
      <c r="W1041">
        <v>0</v>
      </c>
      <c r="X1041">
        <v>4</v>
      </c>
      <c r="Y1041" s="6">
        <v>46143</v>
      </c>
    </row>
    <row r="1042" spans="1:26" x14ac:dyDescent="0.3">
      <c r="A1042" t="s">
        <v>1147</v>
      </c>
      <c r="B1042" s="5">
        <v>46081</v>
      </c>
      <c r="C1042" s="5">
        <v>46081</v>
      </c>
      <c r="D1042" s="5">
        <v>46085</v>
      </c>
      <c r="E1042" s="5">
        <v>46087</v>
      </c>
      <c r="F1042" t="s">
        <v>33</v>
      </c>
      <c r="G1042" t="s">
        <v>56</v>
      </c>
      <c r="H1042" t="s">
        <v>23</v>
      </c>
      <c r="I1042" t="s">
        <v>43</v>
      </c>
      <c r="J1042">
        <v>1541.6</v>
      </c>
      <c r="K1042">
        <v>4428.6000000000004</v>
      </c>
      <c r="L1042">
        <v>20830000</v>
      </c>
      <c r="M1042" t="b">
        <v>0</v>
      </c>
      <c r="N1042" t="b">
        <v>0</v>
      </c>
      <c r="O1042">
        <v>5000</v>
      </c>
      <c r="P1042" t="b">
        <v>0</v>
      </c>
      <c r="Q1042" t="b">
        <v>0</v>
      </c>
      <c r="R1042" t="b">
        <v>0</v>
      </c>
      <c r="S1042" t="s">
        <v>101</v>
      </c>
      <c r="T1042" t="s">
        <v>1654</v>
      </c>
      <c r="U1042">
        <v>88.572000000000003</v>
      </c>
      <c r="V1042">
        <v>0</v>
      </c>
      <c r="W1042">
        <v>0</v>
      </c>
      <c r="X1042">
        <v>6</v>
      </c>
      <c r="Y1042" s="6">
        <v>46054</v>
      </c>
      <c r="Z1042">
        <v>2</v>
      </c>
    </row>
    <row r="1043" spans="1:26" x14ac:dyDescent="0.3">
      <c r="A1043" t="s">
        <v>1148</v>
      </c>
      <c r="B1043" s="5">
        <v>46164</v>
      </c>
      <c r="C1043" s="5">
        <v>46166</v>
      </c>
      <c r="D1043" s="5">
        <v>46169</v>
      </c>
      <c r="E1043" s="5">
        <v>46169</v>
      </c>
      <c r="F1043" t="s">
        <v>34</v>
      </c>
      <c r="G1043" t="s">
        <v>60</v>
      </c>
      <c r="H1043" t="s">
        <v>20</v>
      </c>
      <c r="I1043" t="s">
        <v>42</v>
      </c>
      <c r="J1043">
        <v>597.20000000000005</v>
      </c>
      <c r="K1043">
        <v>5447.8</v>
      </c>
      <c r="L1043">
        <v>12403000</v>
      </c>
      <c r="M1043" t="b">
        <v>0</v>
      </c>
      <c r="N1043" t="b">
        <v>0</v>
      </c>
      <c r="O1043">
        <v>16000</v>
      </c>
      <c r="P1043" t="b">
        <v>0</v>
      </c>
      <c r="Q1043" t="b">
        <v>0</v>
      </c>
      <c r="R1043" t="b">
        <v>0</v>
      </c>
      <c r="S1043" t="s">
        <v>96</v>
      </c>
      <c r="T1043" t="s">
        <v>1644</v>
      </c>
      <c r="U1043">
        <v>34.048749999999998</v>
      </c>
      <c r="V1043">
        <v>0</v>
      </c>
      <c r="W1043">
        <v>0</v>
      </c>
      <c r="X1043">
        <v>3</v>
      </c>
      <c r="Y1043" s="6">
        <v>46143</v>
      </c>
    </row>
    <row r="1044" spans="1:26" x14ac:dyDescent="0.3">
      <c r="A1044" t="s">
        <v>1149</v>
      </c>
      <c r="B1044" s="5">
        <v>46168</v>
      </c>
      <c r="C1044" s="5">
        <v>46169</v>
      </c>
      <c r="D1044" s="5">
        <v>46170</v>
      </c>
      <c r="E1044" s="5">
        <v>46170</v>
      </c>
      <c r="F1044" t="s">
        <v>34</v>
      </c>
      <c r="G1044" t="s">
        <v>61</v>
      </c>
      <c r="H1044" t="s">
        <v>23</v>
      </c>
      <c r="I1044" t="s">
        <v>43</v>
      </c>
      <c r="J1044">
        <v>22.5</v>
      </c>
      <c r="K1044">
        <v>1381.1</v>
      </c>
      <c r="L1044">
        <v>1519000</v>
      </c>
      <c r="M1044" t="b">
        <v>0</v>
      </c>
      <c r="N1044" t="b">
        <v>0</v>
      </c>
      <c r="O1044">
        <v>5000</v>
      </c>
      <c r="P1044" t="b">
        <v>0</v>
      </c>
      <c r="Q1044" t="b">
        <v>0</v>
      </c>
      <c r="R1044" t="b">
        <v>0</v>
      </c>
      <c r="S1044" t="s">
        <v>96</v>
      </c>
      <c r="T1044" t="s">
        <v>1638</v>
      </c>
      <c r="U1044">
        <v>27.622</v>
      </c>
      <c r="V1044">
        <v>0</v>
      </c>
      <c r="W1044">
        <v>0</v>
      </c>
      <c r="X1044">
        <v>1</v>
      </c>
      <c r="Y1044" s="6">
        <v>46143</v>
      </c>
    </row>
    <row r="1045" spans="1:26" x14ac:dyDescent="0.3">
      <c r="A1045" t="s">
        <v>1150</v>
      </c>
      <c r="B1045" s="5">
        <v>46164</v>
      </c>
      <c r="C1045" s="5">
        <v>46165</v>
      </c>
      <c r="D1045" s="5">
        <v>46168</v>
      </c>
      <c r="E1045" s="5">
        <v>46168</v>
      </c>
      <c r="F1045" t="s">
        <v>33</v>
      </c>
      <c r="G1045" t="s">
        <v>57</v>
      </c>
      <c r="H1045" t="s">
        <v>20</v>
      </c>
      <c r="I1045" t="s">
        <v>43</v>
      </c>
      <c r="J1045">
        <v>528.6</v>
      </c>
      <c r="K1045">
        <v>2691.2</v>
      </c>
      <c r="L1045">
        <v>8816000</v>
      </c>
      <c r="M1045" t="b">
        <v>0</v>
      </c>
      <c r="N1045" t="b">
        <v>0</v>
      </c>
      <c r="O1045">
        <v>5000</v>
      </c>
      <c r="P1045" t="b">
        <v>0</v>
      </c>
      <c r="Q1045" t="b">
        <v>0</v>
      </c>
      <c r="R1045" t="b">
        <v>0</v>
      </c>
      <c r="S1045" t="s">
        <v>96</v>
      </c>
      <c r="T1045" t="s">
        <v>1624</v>
      </c>
      <c r="U1045">
        <v>53.823999999999991</v>
      </c>
      <c r="V1045">
        <v>0</v>
      </c>
      <c r="W1045">
        <v>0</v>
      </c>
      <c r="X1045">
        <v>3</v>
      </c>
      <c r="Y1045" s="6">
        <v>46143</v>
      </c>
    </row>
    <row r="1046" spans="1:26" x14ac:dyDescent="0.3">
      <c r="A1046" t="s">
        <v>1151</v>
      </c>
      <c r="B1046" s="5">
        <v>46133</v>
      </c>
      <c r="C1046" s="5">
        <v>46134</v>
      </c>
      <c r="D1046" s="5">
        <v>46138</v>
      </c>
      <c r="E1046" s="5">
        <v>46138</v>
      </c>
      <c r="F1046" t="s">
        <v>31</v>
      </c>
      <c r="G1046" t="s">
        <v>62</v>
      </c>
      <c r="H1046" t="s">
        <v>22</v>
      </c>
      <c r="I1046" t="s">
        <v>43</v>
      </c>
      <c r="J1046">
        <v>680.9</v>
      </c>
      <c r="K1046">
        <v>3073.5</v>
      </c>
      <c r="L1046">
        <v>11188000</v>
      </c>
      <c r="M1046" t="b">
        <v>0</v>
      </c>
      <c r="N1046" t="b">
        <v>0</v>
      </c>
      <c r="O1046">
        <v>5000</v>
      </c>
      <c r="P1046" t="b">
        <v>0</v>
      </c>
      <c r="Q1046" t="b">
        <v>0</v>
      </c>
      <c r="R1046" t="b">
        <v>0</v>
      </c>
      <c r="S1046" t="s">
        <v>96</v>
      </c>
      <c r="T1046" t="s">
        <v>1615</v>
      </c>
      <c r="U1046">
        <v>61.47</v>
      </c>
      <c r="V1046">
        <v>0</v>
      </c>
      <c r="W1046">
        <v>0</v>
      </c>
      <c r="X1046">
        <v>4</v>
      </c>
      <c r="Y1046" s="6">
        <v>46113</v>
      </c>
    </row>
    <row r="1047" spans="1:26" x14ac:dyDescent="0.3">
      <c r="A1047" t="s">
        <v>1152</v>
      </c>
      <c r="B1047" s="5">
        <v>46024</v>
      </c>
      <c r="C1047" s="5">
        <v>46025</v>
      </c>
      <c r="D1047" s="5">
        <v>46029</v>
      </c>
      <c r="E1047" s="5">
        <v>46029</v>
      </c>
      <c r="F1047" t="s">
        <v>34</v>
      </c>
      <c r="G1047" t="s">
        <v>62</v>
      </c>
      <c r="H1047" t="s">
        <v>24</v>
      </c>
      <c r="I1047" t="s">
        <v>43</v>
      </c>
      <c r="J1047">
        <v>748.7</v>
      </c>
      <c r="K1047">
        <v>2989.2</v>
      </c>
      <c r="L1047">
        <v>10638000</v>
      </c>
      <c r="M1047" t="b">
        <v>0</v>
      </c>
      <c r="N1047" t="b">
        <v>0</v>
      </c>
      <c r="O1047">
        <v>5000</v>
      </c>
      <c r="P1047" t="b">
        <v>0</v>
      </c>
      <c r="Q1047" t="b">
        <v>0</v>
      </c>
      <c r="R1047" t="b">
        <v>0</v>
      </c>
      <c r="S1047" t="s">
        <v>96</v>
      </c>
      <c r="T1047" t="s">
        <v>1649</v>
      </c>
      <c r="U1047">
        <v>59.783999999999992</v>
      </c>
      <c r="V1047">
        <v>0</v>
      </c>
      <c r="W1047">
        <v>0</v>
      </c>
      <c r="X1047">
        <v>4</v>
      </c>
      <c r="Y1047" s="6">
        <v>46023</v>
      </c>
    </row>
    <row r="1048" spans="1:26" x14ac:dyDescent="0.3">
      <c r="A1048" t="s">
        <v>1153</v>
      </c>
      <c r="B1048" s="5">
        <v>46041</v>
      </c>
      <c r="C1048" s="5">
        <v>46042</v>
      </c>
      <c r="D1048" s="5">
        <v>46046</v>
      </c>
      <c r="E1048" s="5">
        <v>46046</v>
      </c>
      <c r="F1048" t="s">
        <v>33</v>
      </c>
      <c r="G1048" t="s">
        <v>55</v>
      </c>
      <c r="H1048" t="s">
        <v>20</v>
      </c>
      <c r="I1048" t="s">
        <v>44</v>
      </c>
      <c r="J1048">
        <v>620.9</v>
      </c>
      <c r="K1048">
        <v>1061.3</v>
      </c>
      <c r="L1048">
        <v>7983000</v>
      </c>
      <c r="M1048" t="b">
        <v>0</v>
      </c>
      <c r="N1048" t="b">
        <v>0</v>
      </c>
      <c r="O1048">
        <v>1500</v>
      </c>
      <c r="P1048" t="b">
        <v>0</v>
      </c>
      <c r="Q1048" t="b">
        <v>0</v>
      </c>
      <c r="R1048" t="b">
        <v>0</v>
      </c>
      <c r="S1048" t="s">
        <v>96</v>
      </c>
      <c r="T1048" t="s">
        <v>1626</v>
      </c>
      <c r="U1048">
        <v>70.75333333333333</v>
      </c>
      <c r="V1048">
        <v>0</v>
      </c>
      <c r="W1048">
        <v>0</v>
      </c>
      <c r="X1048">
        <v>4</v>
      </c>
      <c r="Y1048" s="6">
        <v>46023</v>
      </c>
    </row>
    <row r="1049" spans="1:26" x14ac:dyDescent="0.3">
      <c r="A1049" t="s">
        <v>1154</v>
      </c>
      <c r="B1049" s="5">
        <v>46169</v>
      </c>
      <c r="C1049" s="5">
        <v>46169</v>
      </c>
      <c r="D1049" s="5">
        <v>46172</v>
      </c>
      <c r="E1049" s="5">
        <v>46173</v>
      </c>
      <c r="F1049" t="s">
        <v>32</v>
      </c>
      <c r="G1049" t="s">
        <v>60</v>
      </c>
      <c r="H1049" t="s">
        <v>21</v>
      </c>
      <c r="I1049" t="s">
        <v>45</v>
      </c>
      <c r="J1049">
        <v>451.2</v>
      </c>
      <c r="K1049">
        <v>886.7</v>
      </c>
      <c r="L1049">
        <v>4931000</v>
      </c>
      <c r="M1049" t="b">
        <v>0</v>
      </c>
      <c r="N1049" t="b">
        <v>0</v>
      </c>
      <c r="O1049">
        <v>1000</v>
      </c>
      <c r="P1049" t="b">
        <v>0</v>
      </c>
      <c r="Q1049" t="b">
        <v>0</v>
      </c>
      <c r="R1049" t="b">
        <v>0</v>
      </c>
      <c r="S1049" t="s">
        <v>101</v>
      </c>
      <c r="T1049" t="s">
        <v>1647</v>
      </c>
      <c r="U1049">
        <v>88.67</v>
      </c>
      <c r="V1049">
        <v>0</v>
      </c>
      <c r="W1049">
        <v>0</v>
      </c>
      <c r="X1049">
        <v>4</v>
      </c>
      <c r="Y1049" s="6">
        <v>46143</v>
      </c>
      <c r="Z1049">
        <v>1</v>
      </c>
    </row>
    <row r="1050" spans="1:26" x14ac:dyDescent="0.3">
      <c r="A1050" t="s">
        <v>1155</v>
      </c>
      <c r="B1050" s="5">
        <v>46181</v>
      </c>
      <c r="C1050" s="5">
        <v>46181</v>
      </c>
      <c r="D1050" s="5">
        <v>46185</v>
      </c>
      <c r="E1050" s="5">
        <v>46185</v>
      </c>
      <c r="F1050" t="s">
        <v>33</v>
      </c>
      <c r="G1050" t="s">
        <v>56</v>
      </c>
      <c r="H1050" t="s">
        <v>24</v>
      </c>
      <c r="I1050" t="s">
        <v>44</v>
      </c>
      <c r="J1050">
        <v>1636.3</v>
      </c>
      <c r="K1050">
        <v>533.20000000000005</v>
      </c>
      <c r="L1050">
        <v>17573000</v>
      </c>
      <c r="M1050" t="b">
        <v>0</v>
      </c>
      <c r="N1050" t="b">
        <v>0</v>
      </c>
      <c r="O1050">
        <v>1500</v>
      </c>
      <c r="P1050" t="b">
        <v>0</v>
      </c>
      <c r="Q1050" t="b">
        <v>0</v>
      </c>
      <c r="R1050" t="b">
        <v>0</v>
      </c>
      <c r="S1050" t="s">
        <v>96</v>
      </c>
      <c r="T1050" t="s">
        <v>1654</v>
      </c>
      <c r="U1050">
        <v>35.546666666666667</v>
      </c>
      <c r="V1050">
        <v>0</v>
      </c>
      <c r="W1050">
        <v>0</v>
      </c>
      <c r="X1050">
        <v>4</v>
      </c>
      <c r="Y1050" s="6">
        <v>46174</v>
      </c>
    </row>
    <row r="1051" spans="1:26" x14ac:dyDescent="0.3">
      <c r="A1051" t="s">
        <v>1156</v>
      </c>
      <c r="B1051" s="5">
        <v>46172</v>
      </c>
      <c r="C1051" s="5">
        <v>46173</v>
      </c>
      <c r="D1051" s="5">
        <v>46177</v>
      </c>
      <c r="E1051" s="5">
        <v>46177</v>
      </c>
      <c r="F1051" t="s">
        <v>33</v>
      </c>
      <c r="G1051" t="s">
        <v>57</v>
      </c>
      <c r="H1051" t="s">
        <v>21</v>
      </c>
      <c r="I1051" t="s">
        <v>43</v>
      </c>
      <c r="J1051">
        <v>466.4</v>
      </c>
      <c r="K1051">
        <v>3595</v>
      </c>
      <c r="L1051">
        <v>7645000</v>
      </c>
      <c r="M1051" t="b">
        <v>0</v>
      </c>
      <c r="N1051" t="b">
        <v>0</v>
      </c>
      <c r="O1051">
        <v>5000</v>
      </c>
      <c r="P1051" t="b">
        <v>0</v>
      </c>
      <c r="Q1051" t="b">
        <v>0</v>
      </c>
      <c r="R1051" t="b">
        <v>0</v>
      </c>
      <c r="S1051" t="s">
        <v>96</v>
      </c>
      <c r="T1051" t="s">
        <v>1624</v>
      </c>
      <c r="U1051">
        <v>71.899999999999991</v>
      </c>
      <c r="V1051">
        <v>0</v>
      </c>
      <c r="W1051">
        <v>0</v>
      </c>
      <c r="X1051">
        <v>4</v>
      </c>
      <c r="Y1051" s="6">
        <v>46143</v>
      </c>
    </row>
    <row r="1052" spans="1:26" x14ac:dyDescent="0.3">
      <c r="A1052" t="s">
        <v>1157</v>
      </c>
      <c r="B1052" s="5">
        <v>46042</v>
      </c>
      <c r="C1052" s="5">
        <v>46043</v>
      </c>
      <c r="D1052" s="5">
        <v>46044</v>
      </c>
      <c r="E1052" s="5">
        <v>46044</v>
      </c>
      <c r="F1052" t="s">
        <v>34</v>
      </c>
      <c r="G1052" t="s">
        <v>55</v>
      </c>
      <c r="H1052" t="s">
        <v>21</v>
      </c>
      <c r="I1052" t="s">
        <v>44</v>
      </c>
      <c r="J1052">
        <v>57.5</v>
      </c>
      <c r="K1052">
        <v>791</v>
      </c>
      <c r="L1052">
        <v>1470000</v>
      </c>
      <c r="M1052" t="b">
        <v>0</v>
      </c>
      <c r="N1052" t="b">
        <v>0</v>
      </c>
      <c r="O1052">
        <v>1500</v>
      </c>
      <c r="P1052" t="b">
        <v>0</v>
      </c>
      <c r="Q1052" t="b">
        <v>0</v>
      </c>
      <c r="R1052" t="b">
        <v>0</v>
      </c>
      <c r="S1052" t="s">
        <v>96</v>
      </c>
      <c r="T1052" t="s">
        <v>1639</v>
      </c>
      <c r="U1052">
        <v>52.733333333333327</v>
      </c>
      <c r="V1052">
        <v>0</v>
      </c>
      <c r="W1052">
        <v>0</v>
      </c>
      <c r="X1052">
        <v>1</v>
      </c>
      <c r="Y1052" s="6">
        <v>46023</v>
      </c>
    </row>
    <row r="1053" spans="1:26" x14ac:dyDescent="0.3">
      <c r="A1053" t="s">
        <v>1158</v>
      </c>
      <c r="B1053" s="5">
        <v>46174</v>
      </c>
      <c r="C1053" s="5">
        <v>46174</v>
      </c>
      <c r="D1053" s="5">
        <v>46177</v>
      </c>
      <c r="E1053" s="5">
        <v>46177</v>
      </c>
      <c r="F1053" t="s">
        <v>33</v>
      </c>
      <c r="G1053" t="s">
        <v>57</v>
      </c>
      <c r="H1053" t="s">
        <v>22</v>
      </c>
      <c r="I1053" t="s">
        <v>43</v>
      </c>
      <c r="J1053">
        <v>444.9</v>
      </c>
      <c r="K1053">
        <v>4203.3999999999996</v>
      </c>
      <c r="L1053">
        <v>7707000</v>
      </c>
      <c r="M1053" t="b">
        <v>0</v>
      </c>
      <c r="N1053" t="b">
        <v>0</v>
      </c>
      <c r="O1053">
        <v>5000</v>
      </c>
      <c r="P1053" t="b">
        <v>0</v>
      </c>
      <c r="Q1053" t="b">
        <v>0</v>
      </c>
      <c r="R1053" t="b">
        <v>0</v>
      </c>
      <c r="S1053" t="s">
        <v>96</v>
      </c>
      <c r="T1053" t="s">
        <v>1624</v>
      </c>
      <c r="U1053">
        <v>84.067999999999984</v>
      </c>
      <c r="V1053">
        <v>0</v>
      </c>
      <c r="W1053">
        <v>0</v>
      </c>
      <c r="X1053">
        <v>3</v>
      </c>
      <c r="Y1053" s="6">
        <v>46174</v>
      </c>
    </row>
    <row r="1054" spans="1:26" x14ac:dyDescent="0.3">
      <c r="A1054" t="s">
        <v>1159</v>
      </c>
      <c r="B1054" s="5">
        <v>46048</v>
      </c>
      <c r="C1054" s="5">
        <v>46050</v>
      </c>
      <c r="D1054" s="5">
        <v>46051</v>
      </c>
      <c r="E1054" s="5">
        <v>46051</v>
      </c>
      <c r="F1054" t="s">
        <v>31</v>
      </c>
      <c r="G1054" t="s">
        <v>55</v>
      </c>
      <c r="H1054" t="s">
        <v>22</v>
      </c>
      <c r="I1054" t="s">
        <v>43</v>
      </c>
      <c r="J1054">
        <v>19.600000000000001</v>
      </c>
      <c r="K1054">
        <v>540.70000000000005</v>
      </c>
      <c r="L1054">
        <v>1219000</v>
      </c>
      <c r="M1054" t="b">
        <v>0</v>
      </c>
      <c r="N1054" t="b">
        <v>0</v>
      </c>
      <c r="O1054">
        <v>5000</v>
      </c>
      <c r="P1054" t="b">
        <v>0</v>
      </c>
      <c r="Q1054" t="b">
        <v>0</v>
      </c>
      <c r="R1054" t="b">
        <v>0</v>
      </c>
      <c r="S1054" t="s">
        <v>96</v>
      </c>
      <c r="T1054" t="s">
        <v>1629</v>
      </c>
      <c r="U1054">
        <v>10.814</v>
      </c>
      <c r="V1054">
        <v>0</v>
      </c>
      <c r="W1054">
        <v>0</v>
      </c>
      <c r="X1054">
        <v>1</v>
      </c>
      <c r="Y1054" s="6">
        <v>46023</v>
      </c>
    </row>
    <row r="1055" spans="1:26" x14ac:dyDescent="0.3">
      <c r="A1055" t="s">
        <v>1160</v>
      </c>
      <c r="B1055" s="5">
        <v>46151</v>
      </c>
      <c r="C1055" s="5">
        <v>46151</v>
      </c>
      <c r="D1055" s="5">
        <v>46153</v>
      </c>
      <c r="E1055" s="5">
        <v>46153</v>
      </c>
      <c r="F1055" t="s">
        <v>34</v>
      </c>
      <c r="G1055" t="s">
        <v>58</v>
      </c>
      <c r="H1055" t="s">
        <v>20</v>
      </c>
      <c r="I1055" t="s">
        <v>43</v>
      </c>
      <c r="J1055">
        <v>145</v>
      </c>
      <c r="K1055">
        <v>931</v>
      </c>
      <c r="L1055">
        <v>2585000</v>
      </c>
      <c r="M1055" t="b">
        <v>0</v>
      </c>
      <c r="N1055" t="b">
        <v>0</v>
      </c>
      <c r="O1055">
        <v>5000</v>
      </c>
      <c r="P1055" t="b">
        <v>0</v>
      </c>
      <c r="Q1055" t="b">
        <v>0</v>
      </c>
      <c r="R1055" t="b">
        <v>0</v>
      </c>
      <c r="S1055" t="s">
        <v>96</v>
      </c>
      <c r="T1055" t="s">
        <v>1637</v>
      </c>
      <c r="U1055">
        <v>18.62</v>
      </c>
      <c r="V1055">
        <v>0</v>
      </c>
      <c r="W1055">
        <v>0</v>
      </c>
      <c r="X1055">
        <v>2</v>
      </c>
      <c r="Y1055" s="6">
        <v>46143</v>
      </c>
    </row>
    <row r="1056" spans="1:26" x14ac:dyDescent="0.3">
      <c r="A1056" t="s">
        <v>1161</v>
      </c>
      <c r="B1056" s="5">
        <v>46123</v>
      </c>
      <c r="C1056" s="5">
        <v>46124</v>
      </c>
      <c r="D1056" s="5">
        <v>46126</v>
      </c>
      <c r="E1056" s="5">
        <v>46126</v>
      </c>
      <c r="F1056" t="s">
        <v>32</v>
      </c>
      <c r="G1056" t="s">
        <v>59</v>
      </c>
      <c r="H1056" t="s">
        <v>23</v>
      </c>
      <c r="I1056" t="s">
        <v>43</v>
      </c>
      <c r="J1056">
        <v>168.6</v>
      </c>
      <c r="K1056">
        <v>1965.6</v>
      </c>
      <c r="L1056">
        <v>3370000</v>
      </c>
      <c r="M1056" t="b">
        <v>0</v>
      </c>
      <c r="N1056" t="b">
        <v>0</v>
      </c>
      <c r="O1056">
        <v>5000</v>
      </c>
      <c r="P1056" t="b">
        <v>0</v>
      </c>
      <c r="Q1056" t="b">
        <v>0</v>
      </c>
      <c r="R1056" t="b">
        <v>0</v>
      </c>
      <c r="S1056" t="s">
        <v>96</v>
      </c>
      <c r="T1056" t="s">
        <v>1619</v>
      </c>
      <c r="U1056">
        <v>39.311999999999998</v>
      </c>
      <c r="V1056">
        <v>0</v>
      </c>
      <c r="W1056">
        <v>0</v>
      </c>
      <c r="X1056">
        <v>2</v>
      </c>
      <c r="Y1056" s="6">
        <v>46113</v>
      </c>
    </row>
    <row r="1057" spans="1:26" x14ac:dyDescent="0.3">
      <c r="A1057" t="s">
        <v>1162</v>
      </c>
      <c r="B1057" s="5">
        <v>46189</v>
      </c>
      <c r="C1057" s="5">
        <v>46190</v>
      </c>
      <c r="D1057" s="5">
        <v>46193</v>
      </c>
      <c r="E1057" s="5">
        <v>46193</v>
      </c>
      <c r="F1057" t="s">
        <v>31</v>
      </c>
      <c r="G1057" t="s">
        <v>54</v>
      </c>
      <c r="H1057" t="s">
        <v>20</v>
      </c>
      <c r="I1057" t="s">
        <v>43</v>
      </c>
      <c r="J1057">
        <v>507.1</v>
      </c>
      <c r="K1057">
        <v>517.79999999999995</v>
      </c>
      <c r="L1057">
        <v>6640000</v>
      </c>
      <c r="M1057" t="b">
        <v>0</v>
      </c>
      <c r="N1057" t="b">
        <v>0</v>
      </c>
      <c r="O1057">
        <v>5000</v>
      </c>
      <c r="P1057" t="b">
        <v>0</v>
      </c>
      <c r="Q1057" t="b">
        <v>0</v>
      </c>
      <c r="R1057" t="b">
        <v>0</v>
      </c>
      <c r="S1057" t="s">
        <v>96</v>
      </c>
      <c r="T1057" t="s">
        <v>1631</v>
      </c>
      <c r="U1057">
        <v>10.356</v>
      </c>
      <c r="V1057">
        <v>0</v>
      </c>
      <c r="W1057">
        <v>0</v>
      </c>
      <c r="X1057">
        <v>3</v>
      </c>
      <c r="Y1057" s="6">
        <v>46174</v>
      </c>
    </row>
    <row r="1058" spans="1:26" x14ac:dyDescent="0.3">
      <c r="A1058" t="s">
        <v>1163</v>
      </c>
      <c r="B1058" s="5">
        <v>46049</v>
      </c>
      <c r="C1058" s="5">
        <v>46050</v>
      </c>
      <c r="D1058" s="5">
        <v>46053</v>
      </c>
      <c r="E1058" s="5"/>
      <c r="F1058" t="s">
        <v>33</v>
      </c>
      <c r="G1058" t="s">
        <v>53</v>
      </c>
      <c r="H1058" t="s">
        <v>21</v>
      </c>
      <c r="I1058" t="s">
        <v>43</v>
      </c>
      <c r="J1058">
        <v>580.79999999999995</v>
      </c>
      <c r="K1058">
        <v>3583.4</v>
      </c>
      <c r="L1058">
        <v>9027000</v>
      </c>
      <c r="M1058" t="b">
        <v>0</v>
      </c>
      <c r="N1058" t="b">
        <v>0</v>
      </c>
      <c r="O1058">
        <v>5000</v>
      </c>
      <c r="P1058" t="b">
        <v>0</v>
      </c>
      <c r="Q1058" t="b">
        <v>0</v>
      </c>
      <c r="R1058" t="b">
        <v>0</v>
      </c>
      <c r="S1058" t="s">
        <v>203</v>
      </c>
      <c r="T1058" t="s">
        <v>1632</v>
      </c>
      <c r="U1058">
        <v>71.667999999999992</v>
      </c>
      <c r="V1058">
        <v>0</v>
      </c>
      <c r="W1058">
        <v>0</v>
      </c>
      <c r="Y1058" s="6">
        <v>46023</v>
      </c>
    </row>
    <row r="1059" spans="1:26" x14ac:dyDescent="0.3">
      <c r="A1059" t="s">
        <v>1164</v>
      </c>
      <c r="B1059" s="5">
        <v>46056</v>
      </c>
      <c r="C1059" s="5">
        <v>46056</v>
      </c>
      <c r="D1059" s="5">
        <v>46059</v>
      </c>
      <c r="E1059" s="5">
        <v>46061</v>
      </c>
      <c r="F1059" t="s">
        <v>32</v>
      </c>
      <c r="G1059" t="s">
        <v>54</v>
      </c>
      <c r="H1059" t="s">
        <v>20</v>
      </c>
      <c r="I1059" t="s">
        <v>42</v>
      </c>
      <c r="J1059">
        <v>550.1</v>
      </c>
      <c r="K1059">
        <v>9368.2000000000007</v>
      </c>
      <c r="L1059">
        <v>13360000</v>
      </c>
      <c r="M1059" t="b">
        <v>0</v>
      </c>
      <c r="N1059" t="b">
        <v>0</v>
      </c>
      <c r="O1059">
        <v>16000</v>
      </c>
      <c r="P1059" t="b">
        <v>0</v>
      </c>
      <c r="Q1059" t="b">
        <v>0</v>
      </c>
      <c r="R1059" t="b">
        <v>0</v>
      </c>
      <c r="S1059" t="s">
        <v>101</v>
      </c>
      <c r="T1059" t="s">
        <v>1655</v>
      </c>
      <c r="U1059">
        <v>58.551250000000003</v>
      </c>
      <c r="V1059">
        <v>0</v>
      </c>
      <c r="W1059">
        <v>0</v>
      </c>
      <c r="X1059">
        <v>5</v>
      </c>
      <c r="Y1059" s="6">
        <v>46054</v>
      </c>
      <c r="Z1059">
        <v>2</v>
      </c>
    </row>
    <row r="1060" spans="1:26" x14ac:dyDescent="0.3">
      <c r="A1060" t="s">
        <v>1165</v>
      </c>
      <c r="B1060" s="5">
        <v>46050</v>
      </c>
      <c r="C1060" s="5">
        <v>46051</v>
      </c>
      <c r="D1060" s="5">
        <v>46056</v>
      </c>
      <c r="E1060" s="5">
        <v>46056</v>
      </c>
      <c r="F1060" t="s">
        <v>33</v>
      </c>
      <c r="G1060" t="s">
        <v>58</v>
      </c>
      <c r="H1060" t="s">
        <v>21</v>
      </c>
      <c r="I1060" t="s">
        <v>43</v>
      </c>
      <c r="J1060">
        <v>710.5</v>
      </c>
      <c r="K1060">
        <v>616.79999999999995</v>
      </c>
      <c r="L1060">
        <v>10428000</v>
      </c>
      <c r="M1060" t="b">
        <v>0</v>
      </c>
      <c r="N1060" t="b">
        <v>0</v>
      </c>
      <c r="O1060">
        <v>5000</v>
      </c>
      <c r="P1060" t="b">
        <v>0</v>
      </c>
      <c r="Q1060" t="b">
        <v>0</v>
      </c>
      <c r="R1060" t="b">
        <v>0</v>
      </c>
      <c r="S1060" t="s">
        <v>96</v>
      </c>
      <c r="T1060" t="s">
        <v>1651</v>
      </c>
      <c r="U1060">
        <v>12.336</v>
      </c>
      <c r="V1060">
        <v>0</v>
      </c>
      <c r="W1060">
        <v>0</v>
      </c>
      <c r="X1060">
        <v>5</v>
      </c>
      <c r="Y1060" s="6">
        <v>46023</v>
      </c>
    </row>
    <row r="1061" spans="1:26" x14ac:dyDescent="0.3">
      <c r="A1061" t="s">
        <v>1166</v>
      </c>
      <c r="B1061" s="5">
        <v>46042</v>
      </c>
      <c r="C1061" s="5">
        <v>46043</v>
      </c>
      <c r="D1061" s="5">
        <v>46047</v>
      </c>
      <c r="E1061" s="5">
        <v>46047</v>
      </c>
      <c r="F1061" t="s">
        <v>31</v>
      </c>
      <c r="G1061" t="s">
        <v>62</v>
      </c>
      <c r="H1061" t="s">
        <v>23</v>
      </c>
      <c r="I1061" t="s">
        <v>44</v>
      </c>
      <c r="J1061">
        <v>729.5</v>
      </c>
      <c r="K1061">
        <v>540.5</v>
      </c>
      <c r="L1061">
        <v>8187000</v>
      </c>
      <c r="M1061" t="b">
        <v>0</v>
      </c>
      <c r="N1061" t="b">
        <v>0</v>
      </c>
      <c r="O1061">
        <v>1500</v>
      </c>
      <c r="P1061" t="b">
        <v>0</v>
      </c>
      <c r="Q1061" t="b">
        <v>0</v>
      </c>
      <c r="R1061" t="b">
        <v>0</v>
      </c>
      <c r="S1061" t="s">
        <v>96</v>
      </c>
      <c r="T1061" t="s">
        <v>1615</v>
      </c>
      <c r="U1061">
        <v>36.033333333333331</v>
      </c>
      <c r="V1061">
        <v>0</v>
      </c>
      <c r="W1061">
        <v>0</v>
      </c>
      <c r="X1061">
        <v>4</v>
      </c>
      <c r="Y1061" s="6">
        <v>46023</v>
      </c>
    </row>
    <row r="1062" spans="1:26" x14ac:dyDescent="0.3">
      <c r="A1062" t="s">
        <v>1167</v>
      </c>
      <c r="B1062" s="5">
        <v>46137</v>
      </c>
      <c r="C1062" s="5">
        <v>46138</v>
      </c>
      <c r="D1062" s="5">
        <v>46139</v>
      </c>
      <c r="E1062" s="5">
        <v>46138</v>
      </c>
      <c r="F1062" t="s">
        <v>34</v>
      </c>
      <c r="G1062" t="s">
        <v>61</v>
      </c>
      <c r="H1062" t="s">
        <v>21</v>
      </c>
      <c r="I1062" t="s">
        <v>44</v>
      </c>
      <c r="J1062">
        <v>26.5</v>
      </c>
      <c r="K1062">
        <v>1092.8</v>
      </c>
      <c r="L1062">
        <v>1039000</v>
      </c>
      <c r="M1062" t="b">
        <v>0</v>
      </c>
      <c r="N1062" t="b">
        <v>0</v>
      </c>
      <c r="O1062">
        <v>1500</v>
      </c>
      <c r="P1062" t="b">
        <v>0</v>
      </c>
      <c r="Q1062" t="b">
        <v>0</v>
      </c>
      <c r="R1062" t="b">
        <v>0</v>
      </c>
      <c r="S1062" t="s">
        <v>96</v>
      </c>
      <c r="T1062" t="s">
        <v>1638</v>
      </c>
      <c r="U1062">
        <v>72.853333333333325</v>
      </c>
      <c r="V1062">
        <v>0</v>
      </c>
      <c r="W1062">
        <v>0</v>
      </c>
      <c r="X1062">
        <v>0</v>
      </c>
      <c r="Y1062" s="6">
        <v>46113</v>
      </c>
    </row>
    <row r="1063" spans="1:26" x14ac:dyDescent="0.3">
      <c r="A1063" t="s">
        <v>1168</v>
      </c>
      <c r="B1063" s="5">
        <v>46156</v>
      </c>
      <c r="C1063" s="5">
        <v>46157</v>
      </c>
      <c r="D1063" s="5">
        <v>46159</v>
      </c>
      <c r="E1063" s="5">
        <v>46159</v>
      </c>
      <c r="F1063" t="s">
        <v>32</v>
      </c>
      <c r="G1063" t="s">
        <v>55</v>
      </c>
      <c r="H1063" t="s">
        <v>20</v>
      </c>
      <c r="I1063" t="s">
        <v>43</v>
      </c>
      <c r="J1063">
        <v>130</v>
      </c>
      <c r="K1063">
        <v>4203.5</v>
      </c>
      <c r="L1063">
        <v>3269000</v>
      </c>
      <c r="M1063" t="b">
        <v>0</v>
      </c>
      <c r="N1063" t="b">
        <v>0</v>
      </c>
      <c r="O1063">
        <v>5000</v>
      </c>
      <c r="P1063" t="b">
        <v>0</v>
      </c>
      <c r="Q1063" t="b">
        <v>0</v>
      </c>
      <c r="R1063" t="b">
        <v>0</v>
      </c>
      <c r="S1063" t="s">
        <v>96</v>
      </c>
      <c r="T1063" t="s">
        <v>1633</v>
      </c>
      <c r="U1063">
        <v>84.07</v>
      </c>
      <c r="V1063">
        <v>0</v>
      </c>
      <c r="W1063">
        <v>0</v>
      </c>
      <c r="X1063">
        <v>2</v>
      </c>
      <c r="Y1063" s="6">
        <v>46143</v>
      </c>
    </row>
    <row r="1064" spans="1:26" x14ac:dyDescent="0.3">
      <c r="A1064" t="s">
        <v>1169</v>
      </c>
      <c r="B1064" s="5">
        <v>46107</v>
      </c>
      <c r="C1064" s="5">
        <v>46108</v>
      </c>
      <c r="D1064" s="5">
        <v>46109</v>
      </c>
      <c r="E1064" s="5">
        <v>46109</v>
      </c>
      <c r="F1064" t="s">
        <v>34</v>
      </c>
      <c r="G1064" t="s">
        <v>55</v>
      </c>
      <c r="H1064" t="s">
        <v>20</v>
      </c>
      <c r="I1064" t="s">
        <v>44</v>
      </c>
      <c r="J1064">
        <v>61.1</v>
      </c>
      <c r="K1064">
        <v>503.1</v>
      </c>
      <c r="L1064">
        <v>1372000</v>
      </c>
      <c r="M1064" t="b">
        <v>0</v>
      </c>
      <c r="N1064" t="b">
        <v>0</v>
      </c>
      <c r="O1064">
        <v>1500</v>
      </c>
      <c r="P1064" t="b">
        <v>0</v>
      </c>
      <c r="Q1064" t="b">
        <v>0</v>
      </c>
      <c r="R1064" t="b">
        <v>0</v>
      </c>
      <c r="S1064" t="s">
        <v>96</v>
      </c>
      <c r="T1064" t="s">
        <v>1639</v>
      </c>
      <c r="U1064">
        <v>33.540000000000013</v>
      </c>
      <c r="V1064">
        <v>0</v>
      </c>
      <c r="W1064">
        <v>0</v>
      </c>
      <c r="X1064">
        <v>1</v>
      </c>
      <c r="Y1064" s="6">
        <v>46082</v>
      </c>
    </row>
    <row r="1065" spans="1:26" x14ac:dyDescent="0.3">
      <c r="A1065" t="s">
        <v>1170</v>
      </c>
      <c r="B1065" s="5">
        <v>46040</v>
      </c>
      <c r="C1065" s="5">
        <v>46041</v>
      </c>
      <c r="D1065" s="5">
        <v>46043</v>
      </c>
      <c r="E1065" s="5">
        <v>46043</v>
      </c>
      <c r="F1065" t="s">
        <v>34</v>
      </c>
      <c r="G1065" t="s">
        <v>57</v>
      </c>
      <c r="H1065" t="s">
        <v>20</v>
      </c>
      <c r="I1065" t="s">
        <v>44</v>
      </c>
      <c r="J1065">
        <v>154.30000000000001</v>
      </c>
      <c r="K1065">
        <v>903.9</v>
      </c>
      <c r="L1065">
        <v>2395000</v>
      </c>
      <c r="M1065" t="b">
        <v>0</v>
      </c>
      <c r="N1065" t="b">
        <v>0</v>
      </c>
      <c r="O1065">
        <v>1500</v>
      </c>
      <c r="P1065" t="b">
        <v>0</v>
      </c>
      <c r="Q1065" t="b">
        <v>0</v>
      </c>
      <c r="R1065" t="b">
        <v>0</v>
      </c>
      <c r="S1065" t="s">
        <v>96</v>
      </c>
      <c r="T1065" t="s">
        <v>1620</v>
      </c>
      <c r="U1065">
        <v>60.260000000000012</v>
      </c>
      <c r="V1065">
        <v>0</v>
      </c>
      <c r="W1065">
        <v>0</v>
      </c>
      <c r="X1065">
        <v>2</v>
      </c>
      <c r="Y1065" s="6">
        <v>46023</v>
      </c>
    </row>
    <row r="1066" spans="1:26" x14ac:dyDescent="0.3">
      <c r="A1066" t="s">
        <v>1171</v>
      </c>
      <c r="B1066" s="5">
        <v>46056</v>
      </c>
      <c r="C1066" s="5">
        <v>46057</v>
      </c>
      <c r="D1066" s="5">
        <v>46060</v>
      </c>
      <c r="E1066" s="5">
        <v>46060</v>
      </c>
      <c r="F1066" t="s">
        <v>34</v>
      </c>
      <c r="G1066" t="s">
        <v>54</v>
      </c>
      <c r="H1066" t="s">
        <v>23</v>
      </c>
      <c r="I1066" t="s">
        <v>43</v>
      </c>
      <c r="J1066">
        <v>423.1</v>
      </c>
      <c r="K1066">
        <v>1478.7</v>
      </c>
      <c r="L1066">
        <v>6881000</v>
      </c>
      <c r="M1066" t="b">
        <v>0</v>
      </c>
      <c r="N1066" t="b">
        <v>0</v>
      </c>
      <c r="O1066">
        <v>5000</v>
      </c>
      <c r="P1066" t="b">
        <v>0</v>
      </c>
      <c r="Q1066" t="b">
        <v>0</v>
      </c>
      <c r="R1066" t="b">
        <v>0</v>
      </c>
      <c r="S1066" t="s">
        <v>96</v>
      </c>
      <c r="T1066" t="s">
        <v>1635</v>
      </c>
      <c r="U1066">
        <v>29.574000000000002</v>
      </c>
      <c r="V1066">
        <v>0</v>
      </c>
      <c r="W1066">
        <v>0</v>
      </c>
      <c r="X1066">
        <v>3</v>
      </c>
      <c r="Y1066" s="6">
        <v>46054</v>
      </c>
    </row>
    <row r="1067" spans="1:26" x14ac:dyDescent="0.3">
      <c r="A1067" t="s">
        <v>1172</v>
      </c>
      <c r="B1067" s="5">
        <v>46140</v>
      </c>
      <c r="C1067" s="5">
        <v>46141</v>
      </c>
      <c r="D1067" s="5">
        <v>46143</v>
      </c>
      <c r="E1067" s="5">
        <v>46143</v>
      </c>
      <c r="F1067" t="s">
        <v>34</v>
      </c>
      <c r="G1067" t="s">
        <v>58</v>
      </c>
      <c r="H1067" t="s">
        <v>22</v>
      </c>
      <c r="I1067" t="s">
        <v>43</v>
      </c>
      <c r="J1067">
        <v>136.6</v>
      </c>
      <c r="K1067">
        <v>3261.2</v>
      </c>
      <c r="L1067">
        <v>3608000</v>
      </c>
      <c r="M1067" t="b">
        <v>0</v>
      </c>
      <c r="N1067" t="b">
        <v>0</v>
      </c>
      <c r="O1067">
        <v>5000</v>
      </c>
      <c r="P1067" t="b">
        <v>0</v>
      </c>
      <c r="Q1067" t="b">
        <v>0</v>
      </c>
      <c r="R1067" t="b">
        <v>0</v>
      </c>
      <c r="S1067" t="s">
        <v>96</v>
      </c>
      <c r="T1067" t="s">
        <v>1637</v>
      </c>
      <c r="U1067">
        <v>65.22399999999999</v>
      </c>
      <c r="V1067">
        <v>0</v>
      </c>
      <c r="W1067">
        <v>0</v>
      </c>
      <c r="X1067">
        <v>2</v>
      </c>
      <c r="Y1067" s="6">
        <v>46113</v>
      </c>
    </row>
    <row r="1068" spans="1:26" x14ac:dyDescent="0.3">
      <c r="A1068" t="s">
        <v>1173</v>
      </c>
      <c r="B1068" s="5">
        <v>46167</v>
      </c>
      <c r="C1068" s="5">
        <v>46168</v>
      </c>
      <c r="D1068" s="5">
        <v>46173</v>
      </c>
      <c r="E1068" s="5">
        <v>46174</v>
      </c>
      <c r="F1068" t="s">
        <v>33</v>
      </c>
      <c r="G1068" t="s">
        <v>56</v>
      </c>
      <c r="H1068" t="s">
        <v>24</v>
      </c>
      <c r="I1068" t="s">
        <v>43</v>
      </c>
      <c r="J1068">
        <v>1551.2</v>
      </c>
      <c r="K1068">
        <v>2501.3000000000002</v>
      </c>
      <c r="L1068">
        <v>21927000</v>
      </c>
      <c r="M1068" t="b">
        <v>0</v>
      </c>
      <c r="N1068" t="b">
        <v>0</v>
      </c>
      <c r="O1068">
        <v>5000</v>
      </c>
      <c r="P1068" t="b">
        <v>0</v>
      </c>
      <c r="Q1068" t="b">
        <v>0</v>
      </c>
      <c r="R1068" t="b">
        <v>0</v>
      </c>
      <c r="S1068" t="s">
        <v>101</v>
      </c>
      <c r="T1068" t="s">
        <v>1654</v>
      </c>
      <c r="U1068">
        <v>50.026000000000003</v>
      </c>
      <c r="V1068">
        <v>0</v>
      </c>
      <c r="W1068">
        <v>0</v>
      </c>
      <c r="X1068">
        <v>6</v>
      </c>
      <c r="Y1068" s="6">
        <v>46143</v>
      </c>
      <c r="Z1068">
        <v>1</v>
      </c>
    </row>
    <row r="1069" spans="1:26" x14ac:dyDescent="0.3">
      <c r="A1069" t="s">
        <v>1174</v>
      </c>
      <c r="B1069" s="5">
        <v>46070</v>
      </c>
      <c r="C1069" s="5">
        <v>46070</v>
      </c>
      <c r="D1069" s="5">
        <v>46074</v>
      </c>
      <c r="E1069" s="5">
        <v>46076</v>
      </c>
      <c r="F1069" t="s">
        <v>34</v>
      </c>
      <c r="G1069" t="s">
        <v>56</v>
      </c>
      <c r="H1069" t="s">
        <v>20</v>
      </c>
      <c r="I1069" t="s">
        <v>45</v>
      </c>
      <c r="J1069">
        <v>908.1</v>
      </c>
      <c r="K1069">
        <v>496.5</v>
      </c>
      <c r="L1069">
        <v>8366000</v>
      </c>
      <c r="M1069" t="b">
        <v>0</v>
      </c>
      <c r="N1069" t="b">
        <v>0</v>
      </c>
      <c r="O1069">
        <v>1000</v>
      </c>
      <c r="P1069" t="b">
        <v>0</v>
      </c>
      <c r="Q1069" t="b">
        <v>0</v>
      </c>
      <c r="R1069" t="b">
        <v>0</v>
      </c>
      <c r="S1069" t="s">
        <v>101</v>
      </c>
      <c r="T1069" t="s">
        <v>1646</v>
      </c>
      <c r="U1069">
        <v>49.65</v>
      </c>
      <c r="V1069">
        <v>0</v>
      </c>
      <c r="W1069">
        <v>0</v>
      </c>
      <c r="X1069">
        <v>6</v>
      </c>
      <c r="Y1069" s="6">
        <v>46054</v>
      </c>
      <c r="Z1069">
        <v>2</v>
      </c>
    </row>
    <row r="1070" spans="1:26" x14ac:dyDescent="0.3">
      <c r="A1070" t="s">
        <v>1175</v>
      </c>
      <c r="B1070" s="5">
        <v>46093</v>
      </c>
      <c r="C1070" s="5">
        <v>46095</v>
      </c>
      <c r="D1070" s="5">
        <v>46099</v>
      </c>
      <c r="E1070" s="5">
        <v>46100</v>
      </c>
      <c r="F1070" t="s">
        <v>32</v>
      </c>
      <c r="G1070" t="s">
        <v>62</v>
      </c>
      <c r="H1070" t="s">
        <v>23</v>
      </c>
      <c r="I1070" t="s">
        <v>43</v>
      </c>
      <c r="J1070">
        <v>612.6</v>
      </c>
      <c r="K1070">
        <v>968.7</v>
      </c>
      <c r="L1070">
        <v>8262000</v>
      </c>
      <c r="M1070" t="b">
        <v>0</v>
      </c>
      <c r="N1070" t="b">
        <v>0</v>
      </c>
      <c r="O1070">
        <v>5000</v>
      </c>
      <c r="P1070" t="b">
        <v>0</v>
      </c>
      <c r="Q1070" t="b">
        <v>0</v>
      </c>
      <c r="R1070" t="b">
        <v>0</v>
      </c>
      <c r="S1070" t="s">
        <v>101</v>
      </c>
      <c r="T1070" t="s">
        <v>1641</v>
      </c>
      <c r="U1070">
        <v>19.373999999999999</v>
      </c>
      <c r="V1070">
        <v>0</v>
      </c>
      <c r="W1070">
        <v>0</v>
      </c>
      <c r="X1070">
        <v>5</v>
      </c>
      <c r="Y1070" s="6">
        <v>46082</v>
      </c>
      <c r="Z1070">
        <v>1</v>
      </c>
    </row>
    <row r="1071" spans="1:26" x14ac:dyDescent="0.3">
      <c r="A1071" t="s">
        <v>1176</v>
      </c>
      <c r="B1071" s="5">
        <v>46155</v>
      </c>
      <c r="C1071" s="5">
        <v>46156</v>
      </c>
      <c r="D1071" s="5">
        <v>46159</v>
      </c>
      <c r="E1071" s="5">
        <v>46161</v>
      </c>
      <c r="F1071" t="s">
        <v>32</v>
      </c>
      <c r="G1071" t="s">
        <v>58</v>
      </c>
      <c r="H1071" t="s">
        <v>24</v>
      </c>
      <c r="I1071" t="s">
        <v>45</v>
      </c>
      <c r="J1071">
        <v>303.5</v>
      </c>
      <c r="K1071">
        <v>620.5</v>
      </c>
      <c r="L1071">
        <v>3150000</v>
      </c>
      <c r="M1071" t="b">
        <v>0</v>
      </c>
      <c r="N1071" t="b">
        <v>0</v>
      </c>
      <c r="O1071">
        <v>1000</v>
      </c>
      <c r="P1071" t="b">
        <v>0</v>
      </c>
      <c r="Q1071" t="b">
        <v>0</v>
      </c>
      <c r="R1071" t="b">
        <v>0</v>
      </c>
      <c r="S1071" t="s">
        <v>101</v>
      </c>
      <c r="T1071" t="s">
        <v>1656</v>
      </c>
      <c r="U1071">
        <v>62.05</v>
      </c>
      <c r="V1071">
        <v>0</v>
      </c>
      <c r="W1071">
        <v>0</v>
      </c>
      <c r="X1071">
        <v>5</v>
      </c>
      <c r="Y1071" s="6">
        <v>46143</v>
      </c>
      <c r="Z1071">
        <v>2</v>
      </c>
    </row>
    <row r="1072" spans="1:26" x14ac:dyDescent="0.3">
      <c r="A1072" t="s">
        <v>1177</v>
      </c>
      <c r="B1072" s="5">
        <v>46145</v>
      </c>
      <c r="C1072" s="5">
        <v>46146</v>
      </c>
      <c r="D1072" s="5">
        <v>46150</v>
      </c>
      <c r="E1072" s="5">
        <v>46151</v>
      </c>
      <c r="F1072" t="s">
        <v>33</v>
      </c>
      <c r="G1072" t="s">
        <v>56</v>
      </c>
      <c r="H1072" t="s">
        <v>23</v>
      </c>
      <c r="I1072" t="s">
        <v>45</v>
      </c>
      <c r="J1072">
        <v>1540.1</v>
      </c>
      <c r="K1072">
        <v>168.5</v>
      </c>
      <c r="L1072">
        <v>13927000</v>
      </c>
      <c r="M1072" t="b">
        <v>0</v>
      </c>
      <c r="N1072" t="b">
        <v>0</v>
      </c>
      <c r="O1072">
        <v>1000</v>
      </c>
      <c r="P1072" t="b">
        <v>0</v>
      </c>
      <c r="Q1072" t="b">
        <v>0</v>
      </c>
      <c r="R1072" t="b">
        <v>0</v>
      </c>
      <c r="S1072" t="s">
        <v>101</v>
      </c>
      <c r="T1072" t="s">
        <v>1654</v>
      </c>
      <c r="U1072">
        <v>16.850000000000001</v>
      </c>
      <c r="V1072">
        <v>0</v>
      </c>
      <c r="W1072">
        <v>0</v>
      </c>
      <c r="X1072">
        <v>5</v>
      </c>
      <c r="Y1072" s="6">
        <v>46143</v>
      </c>
      <c r="Z1072">
        <v>1</v>
      </c>
    </row>
    <row r="1073" spans="1:26" x14ac:dyDescent="0.3">
      <c r="A1073" t="s">
        <v>1178</v>
      </c>
      <c r="B1073" s="5">
        <v>46153</v>
      </c>
      <c r="C1073" s="5">
        <v>46154</v>
      </c>
      <c r="D1073" s="5">
        <v>46159</v>
      </c>
      <c r="E1073" s="5">
        <v>46160</v>
      </c>
      <c r="F1073" t="s">
        <v>31</v>
      </c>
      <c r="G1073" t="s">
        <v>62</v>
      </c>
      <c r="H1073" t="s">
        <v>24</v>
      </c>
      <c r="I1073" t="s">
        <v>45</v>
      </c>
      <c r="J1073">
        <v>751.5</v>
      </c>
      <c r="K1073">
        <v>570.20000000000005</v>
      </c>
      <c r="L1073">
        <v>6950000</v>
      </c>
      <c r="M1073" t="b">
        <v>0</v>
      </c>
      <c r="N1073" t="b">
        <v>0</v>
      </c>
      <c r="O1073">
        <v>1000</v>
      </c>
      <c r="P1073" t="b">
        <v>0</v>
      </c>
      <c r="Q1073" t="b">
        <v>0</v>
      </c>
      <c r="R1073" t="b">
        <v>0</v>
      </c>
      <c r="S1073" t="s">
        <v>101</v>
      </c>
      <c r="T1073" t="s">
        <v>1615</v>
      </c>
      <c r="U1073">
        <v>57.02</v>
      </c>
      <c r="V1073">
        <v>0</v>
      </c>
      <c r="W1073">
        <v>0</v>
      </c>
      <c r="X1073">
        <v>6</v>
      </c>
      <c r="Y1073" s="6">
        <v>46143</v>
      </c>
      <c r="Z1073">
        <v>1</v>
      </c>
    </row>
    <row r="1074" spans="1:26" x14ac:dyDescent="0.3">
      <c r="A1074" t="s">
        <v>1179</v>
      </c>
      <c r="B1074" s="5">
        <v>46118</v>
      </c>
      <c r="C1074" s="5">
        <v>46118</v>
      </c>
      <c r="D1074" s="5">
        <v>46120</v>
      </c>
      <c r="E1074" s="5">
        <v>46120</v>
      </c>
      <c r="F1074" t="s">
        <v>34</v>
      </c>
      <c r="G1074" t="s">
        <v>53</v>
      </c>
      <c r="H1074" t="s">
        <v>23</v>
      </c>
      <c r="I1074" t="s">
        <v>44</v>
      </c>
      <c r="J1074">
        <v>298.2</v>
      </c>
      <c r="K1074">
        <v>412.6</v>
      </c>
      <c r="L1074">
        <v>3396000</v>
      </c>
      <c r="M1074" t="b">
        <v>0</v>
      </c>
      <c r="N1074" t="b">
        <v>0</v>
      </c>
      <c r="O1074">
        <v>1500</v>
      </c>
      <c r="P1074" t="b">
        <v>0</v>
      </c>
      <c r="Q1074" t="b">
        <v>0</v>
      </c>
      <c r="R1074" t="b">
        <v>0</v>
      </c>
      <c r="S1074" t="s">
        <v>96</v>
      </c>
      <c r="T1074" t="s">
        <v>1636</v>
      </c>
      <c r="U1074">
        <v>27.506666666666671</v>
      </c>
      <c r="V1074">
        <v>0</v>
      </c>
      <c r="W1074">
        <v>0</v>
      </c>
      <c r="X1074">
        <v>2</v>
      </c>
      <c r="Y1074" s="6">
        <v>46113</v>
      </c>
    </row>
    <row r="1075" spans="1:26" x14ac:dyDescent="0.3">
      <c r="A1075" t="s">
        <v>1180</v>
      </c>
      <c r="B1075" s="5">
        <v>46076</v>
      </c>
      <c r="C1075" s="5">
        <v>46076</v>
      </c>
      <c r="D1075" s="5">
        <v>46078</v>
      </c>
      <c r="E1075" s="5">
        <v>46078</v>
      </c>
      <c r="F1075" t="s">
        <v>34</v>
      </c>
      <c r="G1075" t="s">
        <v>57</v>
      </c>
      <c r="H1075" t="s">
        <v>24</v>
      </c>
      <c r="I1075" t="s">
        <v>42</v>
      </c>
      <c r="J1075">
        <v>165.8</v>
      </c>
      <c r="K1075">
        <v>5575.7</v>
      </c>
      <c r="L1075">
        <v>5626000</v>
      </c>
      <c r="M1075" t="b">
        <v>0</v>
      </c>
      <c r="N1075" t="b">
        <v>0</v>
      </c>
      <c r="O1075">
        <v>16000</v>
      </c>
      <c r="P1075" t="b">
        <v>0</v>
      </c>
      <c r="Q1075" t="b">
        <v>0</v>
      </c>
      <c r="R1075" t="b">
        <v>0</v>
      </c>
      <c r="S1075" t="s">
        <v>96</v>
      </c>
      <c r="T1075" t="s">
        <v>1620</v>
      </c>
      <c r="U1075">
        <v>34.848125000000003</v>
      </c>
      <c r="V1075">
        <v>0</v>
      </c>
      <c r="W1075">
        <v>0</v>
      </c>
      <c r="X1075">
        <v>2</v>
      </c>
      <c r="Y1075" s="6">
        <v>46054</v>
      </c>
    </row>
    <row r="1076" spans="1:26" x14ac:dyDescent="0.3">
      <c r="A1076" t="s">
        <v>1181</v>
      </c>
      <c r="B1076" s="5">
        <v>46028</v>
      </c>
      <c r="C1076" s="5">
        <v>46029</v>
      </c>
      <c r="D1076" s="5">
        <v>46033</v>
      </c>
      <c r="E1076" s="5">
        <v>46033</v>
      </c>
      <c r="F1076" t="s">
        <v>34</v>
      </c>
      <c r="G1076" t="s">
        <v>62</v>
      </c>
      <c r="H1076" t="s">
        <v>21</v>
      </c>
      <c r="I1076" t="s">
        <v>43</v>
      </c>
      <c r="J1076">
        <v>740.5</v>
      </c>
      <c r="K1076">
        <v>724.6</v>
      </c>
      <c r="L1076">
        <v>8774000</v>
      </c>
      <c r="M1076" t="b">
        <v>0</v>
      </c>
      <c r="N1076" t="b">
        <v>0</v>
      </c>
      <c r="O1076">
        <v>5000</v>
      </c>
      <c r="P1076" t="b">
        <v>0</v>
      </c>
      <c r="Q1076" t="b">
        <v>0</v>
      </c>
      <c r="R1076" t="b">
        <v>0</v>
      </c>
      <c r="S1076" t="s">
        <v>96</v>
      </c>
      <c r="T1076" t="s">
        <v>1649</v>
      </c>
      <c r="U1076">
        <v>14.492000000000001</v>
      </c>
      <c r="V1076">
        <v>0</v>
      </c>
      <c r="W1076">
        <v>0</v>
      </c>
      <c r="X1076">
        <v>4</v>
      </c>
      <c r="Y1076" s="6">
        <v>46023</v>
      </c>
    </row>
    <row r="1077" spans="1:26" x14ac:dyDescent="0.3">
      <c r="A1077" t="s">
        <v>1182</v>
      </c>
      <c r="B1077" s="5">
        <v>46025</v>
      </c>
      <c r="C1077" s="5">
        <v>46026</v>
      </c>
      <c r="D1077" s="5">
        <v>46030</v>
      </c>
      <c r="E1077" s="5">
        <v>46031</v>
      </c>
      <c r="F1077" t="s">
        <v>33</v>
      </c>
      <c r="G1077" t="s">
        <v>56</v>
      </c>
      <c r="H1077" t="s">
        <v>21</v>
      </c>
      <c r="I1077" t="s">
        <v>43</v>
      </c>
      <c r="J1077">
        <v>1393.6</v>
      </c>
      <c r="K1077">
        <v>3734.8</v>
      </c>
      <c r="L1077">
        <v>22302000</v>
      </c>
      <c r="M1077" t="b">
        <v>0</v>
      </c>
      <c r="N1077" t="b">
        <v>0</v>
      </c>
      <c r="O1077">
        <v>5000</v>
      </c>
      <c r="P1077" t="b">
        <v>0</v>
      </c>
      <c r="Q1077" t="b">
        <v>0</v>
      </c>
      <c r="R1077" t="b">
        <v>0</v>
      </c>
      <c r="S1077" t="s">
        <v>101</v>
      </c>
      <c r="T1077" t="s">
        <v>1654</v>
      </c>
      <c r="U1077">
        <v>74.696000000000012</v>
      </c>
      <c r="V1077">
        <v>0</v>
      </c>
      <c r="W1077">
        <v>0</v>
      </c>
      <c r="X1077">
        <v>5</v>
      </c>
      <c r="Y1077" s="6">
        <v>46023</v>
      </c>
      <c r="Z1077">
        <v>1</v>
      </c>
    </row>
    <row r="1078" spans="1:26" x14ac:dyDescent="0.3">
      <c r="A1078" t="s">
        <v>1183</v>
      </c>
      <c r="B1078" s="5">
        <v>46039</v>
      </c>
      <c r="C1078" s="5">
        <v>46040</v>
      </c>
      <c r="D1078" s="5">
        <v>46043</v>
      </c>
      <c r="E1078" s="5">
        <v>46043</v>
      </c>
      <c r="F1078" t="s">
        <v>33</v>
      </c>
      <c r="G1078" t="s">
        <v>52</v>
      </c>
      <c r="H1078" t="s">
        <v>22</v>
      </c>
      <c r="I1078" t="s">
        <v>45</v>
      </c>
      <c r="J1078">
        <v>548</v>
      </c>
      <c r="K1078">
        <v>644.70000000000005</v>
      </c>
      <c r="L1078">
        <v>5504000</v>
      </c>
      <c r="M1078" t="b">
        <v>0</v>
      </c>
      <c r="N1078" t="b">
        <v>0</v>
      </c>
      <c r="O1078">
        <v>1000</v>
      </c>
      <c r="P1078" t="b">
        <v>0</v>
      </c>
      <c r="Q1078" t="b">
        <v>0</v>
      </c>
      <c r="R1078" t="b">
        <v>0</v>
      </c>
      <c r="S1078" t="s">
        <v>96</v>
      </c>
      <c r="T1078" t="s">
        <v>1622</v>
      </c>
      <c r="U1078">
        <v>64.47</v>
      </c>
      <c r="V1078">
        <v>0</v>
      </c>
      <c r="W1078">
        <v>0</v>
      </c>
      <c r="X1078">
        <v>3</v>
      </c>
      <c r="Y1078" s="6">
        <v>46023</v>
      </c>
    </row>
    <row r="1079" spans="1:26" x14ac:dyDescent="0.3">
      <c r="A1079" t="s">
        <v>1184</v>
      </c>
      <c r="B1079" s="5">
        <v>46054</v>
      </c>
      <c r="C1079" s="5">
        <v>46054</v>
      </c>
      <c r="D1079" s="5">
        <v>46057</v>
      </c>
      <c r="E1079" s="5">
        <v>46057</v>
      </c>
      <c r="F1079" t="s">
        <v>32</v>
      </c>
      <c r="G1079" t="s">
        <v>61</v>
      </c>
      <c r="H1079" t="s">
        <v>20</v>
      </c>
      <c r="I1079" t="s">
        <v>42</v>
      </c>
      <c r="J1079">
        <v>160.5</v>
      </c>
      <c r="K1079">
        <v>3938.1</v>
      </c>
      <c r="L1079">
        <v>5436000</v>
      </c>
      <c r="M1079" t="b">
        <v>0</v>
      </c>
      <c r="N1079" t="b">
        <v>0</v>
      </c>
      <c r="O1079">
        <v>16000</v>
      </c>
      <c r="P1079" t="b">
        <v>0</v>
      </c>
      <c r="Q1079" t="b">
        <v>0</v>
      </c>
      <c r="R1079" t="b">
        <v>0</v>
      </c>
      <c r="S1079" t="s">
        <v>96</v>
      </c>
      <c r="T1079" t="s">
        <v>1653</v>
      </c>
      <c r="U1079">
        <v>24.613125</v>
      </c>
      <c r="V1079">
        <v>0</v>
      </c>
      <c r="W1079">
        <v>0</v>
      </c>
      <c r="X1079">
        <v>3</v>
      </c>
      <c r="Y1079" s="6">
        <v>46054</v>
      </c>
    </row>
    <row r="1080" spans="1:26" x14ac:dyDescent="0.3">
      <c r="A1080" t="s">
        <v>1185</v>
      </c>
      <c r="B1080" s="5">
        <v>46120</v>
      </c>
      <c r="C1080" s="5">
        <v>46121</v>
      </c>
      <c r="D1080" s="5">
        <v>46125</v>
      </c>
      <c r="E1080" s="5">
        <v>46125</v>
      </c>
      <c r="F1080" t="s">
        <v>34</v>
      </c>
      <c r="G1080" t="s">
        <v>62</v>
      </c>
      <c r="H1080" t="s">
        <v>20</v>
      </c>
      <c r="I1080" t="s">
        <v>43</v>
      </c>
      <c r="J1080">
        <v>763</v>
      </c>
      <c r="K1080">
        <v>1807.5</v>
      </c>
      <c r="L1080">
        <v>10732000</v>
      </c>
      <c r="M1080" t="b">
        <v>0</v>
      </c>
      <c r="N1080" t="b">
        <v>0</v>
      </c>
      <c r="O1080">
        <v>5000</v>
      </c>
      <c r="P1080" t="b">
        <v>0</v>
      </c>
      <c r="Q1080" t="b">
        <v>0</v>
      </c>
      <c r="R1080" t="b">
        <v>0</v>
      </c>
      <c r="S1080" t="s">
        <v>96</v>
      </c>
      <c r="T1080" t="s">
        <v>1649</v>
      </c>
      <c r="U1080">
        <v>36.15</v>
      </c>
      <c r="V1080">
        <v>0</v>
      </c>
      <c r="W1080">
        <v>0</v>
      </c>
      <c r="X1080">
        <v>4</v>
      </c>
      <c r="Y1080" s="6">
        <v>46113</v>
      </c>
    </row>
    <row r="1081" spans="1:26" x14ac:dyDescent="0.3">
      <c r="A1081" t="s">
        <v>1186</v>
      </c>
      <c r="B1081" s="5">
        <v>46119</v>
      </c>
      <c r="C1081" s="5">
        <v>46120</v>
      </c>
      <c r="D1081" s="5">
        <v>46123</v>
      </c>
      <c r="E1081" s="5">
        <v>46123</v>
      </c>
      <c r="F1081" t="s">
        <v>32</v>
      </c>
      <c r="G1081" t="s">
        <v>58</v>
      </c>
      <c r="H1081" t="s">
        <v>24</v>
      </c>
      <c r="I1081" t="s">
        <v>43</v>
      </c>
      <c r="J1081">
        <v>303.5</v>
      </c>
      <c r="K1081">
        <v>3813.1</v>
      </c>
      <c r="L1081">
        <v>6082000</v>
      </c>
      <c r="M1081" t="b">
        <v>0</v>
      </c>
      <c r="N1081" t="b">
        <v>0</v>
      </c>
      <c r="O1081">
        <v>5000</v>
      </c>
      <c r="P1081" t="b">
        <v>0</v>
      </c>
      <c r="Q1081" t="b">
        <v>0</v>
      </c>
      <c r="R1081" t="b">
        <v>0</v>
      </c>
      <c r="S1081" t="s">
        <v>96</v>
      </c>
      <c r="T1081" t="s">
        <v>1656</v>
      </c>
      <c r="U1081">
        <v>76.262</v>
      </c>
      <c r="V1081">
        <v>0</v>
      </c>
      <c r="W1081">
        <v>0</v>
      </c>
      <c r="X1081">
        <v>3</v>
      </c>
      <c r="Y1081" s="6">
        <v>46113</v>
      </c>
    </row>
    <row r="1082" spans="1:26" x14ac:dyDescent="0.3">
      <c r="A1082" t="s">
        <v>1187</v>
      </c>
      <c r="B1082" s="5">
        <v>46177</v>
      </c>
      <c r="C1082" s="5">
        <v>46178</v>
      </c>
      <c r="D1082" s="5">
        <v>46182</v>
      </c>
      <c r="E1082" s="5">
        <v>46182</v>
      </c>
      <c r="F1082" t="s">
        <v>34</v>
      </c>
      <c r="G1082" t="s">
        <v>62</v>
      </c>
      <c r="H1082" t="s">
        <v>24</v>
      </c>
      <c r="I1082" t="s">
        <v>43</v>
      </c>
      <c r="J1082">
        <v>755.1</v>
      </c>
      <c r="K1082">
        <v>1006.6</v>
      </c>
      <c r="L1082">
        <v>11144000</v>
      </c>
      <c r="M1082" t="b">
        <v>0</v>
      </c>
      <c r="N1082" t="b">
        <v>0</v>
      </c>
      <c r="O1082">
        <v>5000</v>
      </c>
      <c r="P1082" t="b">
        <v>0</v>
      </c>
      <c r="Q1082" t="b">
        <v>0</v>
      </c>
      <c r="R1082" t="b">
        <v>0</v>
      </c>
      <c r="S1082" t="s">
        <v>96</v>
      </c>
      <c r="T1082" t="s">
        <v>1649</v>
      </c>
      <c r="U1082">
        <v>20.132000000000001</v>
      </c>
      <c r="V1082">
        <v>0</v>
      </c>
      <c r="W1082">
        <v>0</v>
      </c>
      <c r="X1082">
        <v>4</v>
      </c>
      <c r="Y1082" s="6">
        <v>46174</v>
      </c>
    </row>
    <row r="1083" spans="1:26" x14ac:dyDescent="0.3">
      <c r="A1083" t="s">
        <v>1188</v>
      </c>
      <c r="B1083" s="5">
        <v>46077</v>
      </c>
      <c r="C1083" s="5">
        <v>46079</v>
      </c>
      <c r="D1083" s="5">
        <v>46083</v>
      </c>
      <c r="E1083" s="5">
        <v>46084</v>
      </c>
      <c r="F1083" t="s">
        <v>33</v>
      </c>
      <c r="G1083" t="s">
        <v>55</v>
      </c>
      <c r="H1083" t="s">
        <v>20</v>
      </c>
      <c r="I1083" t="s">
        <v>44</v>
      </c>
      <c r="J1083">
        <v>609.4</v>
      </c>
      <c r="K1083">
        <v>722.1</v>
      </c>
      <c r="L1083">
        <v>6549000</v>
      </c>
      <c r="M1083" t="b">
        <v>0</v>
      </c>
      <c r="N1083" t="b">
        <v>0</v>
      </c>
      <c r="O1083">
        <v>1500</v>
      </c>
      <c r="P1083" t="b">
        <v>0</v>
      </c>
      <c r="Q1083" t="b">
        <v>0</v>
      </c>
      <c r="R1083" t="b">
        <v>0</v>
      </c>
      <c r="S1083" t="s">
        <v>101</v>
      </c>
      <c r="T1083" t="s">
        <v>1626</v>
      </c>
      <c r="U1083">
        <v>48.14</v>
      </c>
      <c r="V1083">
        <v>0</v>
      </c>
      <c r="W1083">
        <v>0</v>
      </c>
      <c r="X1083">
        <v>5</v>
      </c>
      <c r="Y1083" s="6">
        <v>46054</v>
      </c>
      <c r="Z1083">
        <v>1</v>
      </c>
    </row>
    <row r="1084" spans="1:26" x14ac:dyDescent="0.3">
      <c r="A1084" t="s">
        <v>1189</v>
      </c>
      <c r="B1084" s="5">
        <v>46175</v>
      </c>
      <c r="C1084" s="5">
        <v>46176</v>
      </c>
      <c r="D1084" s="5">
        <v>46178</v>
      </c>
      <c r="E1084" s="5">
        <v>46178</v>
      </c>
      <c r="F1084" t="s">
        <v>34</v>
      </c>
      <c r="G1084" t="s">
        <v>58</v>
      </c>
      <c r="H1084" t="s">
        <v>20</v>
      </c>
      <c r="I1084" t="s">
        <v>44</v>
      </c>
      <c r="J1084">
        <v>144.4</v>
      </c>
      <c r="K1084">
        <v>499.1</v>
      </c>
      <c r="L1084">
        <v>2334000</v>
      </c>
      <c r="M1084" t="b">
        <v>0</v>
      </c>
      <c r="N1084" t="b">
        <v>0</v>
      </c>
      <c r="O1084">
        <v>1500</v>
      </c>
      <c r="P1084" t="b">
        <v>0</v>
      </c>
      <c r="Q1084" t="b">
        <v>0</v>
      </c>
      <c r="R1084" t="b">
        <v>0</v>
      </c>
      <c r="S1084" t="s">
        <v>96</v>
      </c>
      <c r="T1084" t="s">
        <v>1637</v>
      </c>
      <c r="U1084">
        <v>33.273333333333333</v>
      </c>
      <c r="V1084">
        <v>0</v>
      </c>
      <c r="W1084">
        <v>0</v>
      </c>
      <c r="X1084">
        <v>2</v>
      </c>
      <c r="Y1084" s="6">
        <v>46174</v>
      </c>
    </row>
    <row r="1085" spans="1:26" x14ac:dyDescent="0.3">
      <c r="A1085" t="s">
        <v>1190</v>
      </c>
      <c r="B1085" s="5">
        <v>46091</v>
      </c>
      <c r="C1085" s="5">
        <v>46092</v>
      </c>
      <c r="D1085" s="5">
        <v>46095</v>
      </c>
      <c r="E1085" s="5">
        <v>46095</v>
      </c>
      <c r="F1085" t="s">
        <v>34</v>
      </c>
      <c r="G1085" t="s">
        <v>58</v>
      </c>
      <c r="H1085" t="s">
        <v>22</v>
      </c>
      <c r="I1085" t="s">
        <v>44</v>
      </c>
      <c r="J1085">
        <v>156.4</v>
      </c>
      <c r="K1085">
        <v>597.20000000000005</v>
      </c>
      <c r="L1085">
        <v>2278000</v>
      </c>
      <c r="M1085" t="b">
        <v>0</v>
      </c>
      <c r="N1085" t="b">
        <v>0</v>
      </c>
      <c r="O1085">
        <v>1500</v>
      </c>
      <c r="P1085" t="b">
        <v>0</v>
      </c>
      <c r="Q1085" t="b">
        <v>0</v>
      </c>
      <c r="R1085" t="b">
        <v>0</v>
      </c>
      <c r="S1085" t="s">
        <v>96</v>
      </c>
      <c r="T1085" t="s">
        <v>1637</v>
      </c>
      <c r="U1085">
        <v>39.813333333333333</v>
      </c>
      <c r="V1085">
        <v>0</v>
      </c>
      <c r="W1085">
        <v>0</v>
      </c>
      <c r="X1085">
        <v>3</v>
      </c>
      <c r="Y1085" s="6">
        <v>46082</v>
      </c>
    </row>
    <row r="1086" spans="1:26" x14ac:dyDescent="0.3">
      <c r="A1086" t="s">
        <v>1191</v>
      </c>
      <c r="B1086" s="5">
        <v>46137</v>
      </c>
      <c r="C1086" s="5">
        <v>46137</v>
      </c>
      <c r="D1086" s="5">
        <v>46140</v>
      </c>
      <c r="E1086" s="5">
        <v>46142</v>
      </c>
      <c r="F1086" t="s">
        <v>33</v>
      </c>
      <c r="G1086" t="s">
        <v>59</v>
      </c>
      <c r="H1086" t="s">
        <v>24</v>
      </c>
      <c r="I1086" t="s">
        <v>43</v>
      </c>
      <c r="J1086">
        <v>480.8</v>
      </c>
      <c r="K1086">
        <v>2285.4</v>
      </c>
      <c r="L1086">
        <v>7631000</v>
      </c>
      <c r="M1086" t="b">
        <v>0</v>
      </c>
      <c r="N1086" t="b">
        <v>0</v>
      </c>
      <c r="O1086">
        <v>5000</v>
      </c>
      <c r="P1086" t="b">
        <v>0</v>
      </c>
      <c r="Q1086" t="b">
        <v>0</v>
      </c>
      <c r="R1086" t="b">
        <v>0</v>
      </c>
      <c r="S1086" t="s">
        <v>101</v>
      </c>
      <c r="T1086" t="s">
        <v>1648</v>
      </c>
      <c r="U1086">
        <v>45.708000000000013</v>
      </c>
      <c r="V1086">
        <v>0</v>
      </c>
      <c r="W1086">
        <v>0</v>
      </c>
      <c r="X1086">
        <v>5</v>
      </c>
      <c r="Y1086" s="6">
        <v>46113</v>
      </c>
      <c r="Z1086">
        <v>2</v>
      </c>
    </row>
    <row r="1087" spans="1:26" x14ac:dyDescent="0.3">
      <c r="A1087" t="s">
        <v>1192</v>
      </c>
      <c r="B1087" s="5">
        <v>46187</v>
      </c>
      <c r="C1087" s="5">
        <v>46188</v>
      </c>
      <c r="D1087" s="5">
        <v>46189</v>
      </c>
      <c r="E1087" s="5">
        <v>46188</v>
      </c>
      <c r="F1087" t="s">
        <v>34</v>
      </c>
      <c r="G1087" t="s">
        <v>61</v>
      </c>
      <c r="H1087" t="s">
        <v>22</v>
      </c>
      <c r="I1087" t="s">
        <v>45</v>
      </c>
      <c r="J1087">
        <v>19.399999999999999</v>
      </c>
      <c r="K1087">
        <v>536.70000000000005</v>
      </c>
      <c r="L1087">
        <v>752000</v>
      </c>
      <c r="M1087" t="b">
        <v>0</v>
      </c>
      <c r="N1087" t="b">
        <v>0</v>
      </c>
      <c r="O1087">
        <v>1000</v>
      </c>
      <c r="P1087" t="b">
        <v>0</v>
      </c>
      <c r="Q1087" t="b">
        <v>0</v>
      </c>
      <c r="R1087" t="b">
        <v>0</v>
      </c>
      <c r="S1087" t="s">
        <v>96</v>
      </c>
      <c r="T1087" t="s">
        <v>1638</v>
      </c>
      <c r="U1087">
        <v>53.670000000000009</v>
      </c>
      <c r="V1087">
        <v>0</v>
      </c>
      <c r="W1087">
        <v>0</v>
      </c>
      <c r="X1087">
        <v>0</v>
      </c>
      <c r="Y1087" s="6">
        <v>46174</v>
      </c>
    </row>
    <row r="1088" spans="1:26" x14ac:dyDescent="0.3">
      <c r="A1088" t="s">
        <v>1193</v>
      </c>
      <c r="B1088" s="5">
        <v>46040</v>
      </c>
      <c r="C1088" s="5">
        <v>46041</v>
      </c>
      <c r="D1088" s="5">
        <v>46044</v>
      </c>
      <c r="E1088" s="5">
        <v>46044</v>
      </c>
      <c r="F1088" t="s">
        <v>34</v>
      </c>
      <c r="G1088" t="s">
        <v>59</v>
      </c>
      <c r="H1088" t="s">
        <v>24</v>
      </c>
      <c r="I1088" t="s">
        <v>44</v>
      </c>
      <c r="J1088">
        <v>358.3</v>
      </c>
      <c r="K1088">
        <v>913.1</v>
      </c>
      <c r="L1088">
        <v>4096000</v>
      </c>
      <c r="M1088" t="b">
        <v>0</v>
      </c>
      <c r="N1088" t="b">
        <v>0</v>
      </c>
      <c r="O1088">
        <v>1500</v>
      </c>
      <c r="P1088" t="b">
        <v>0</v>
      </c>
      <c r="Q1088" t="b">
        <v>0</v>
      </c>
      <c r="R1088" t="b">
        <v>0</v>
      </c>
      <c r="S1088" t="s">
        <v>96</v>
      </c>
      <c r="T1088" t="s">
        <v>1616</v>
      </c>
      <c r="U1088">
        <v>60.873333333333328</v>
      </c>
      <c r="V1088">
        <v>0</v>
      </c>
      <c r="W1088">
        <v>0</v>
      </c>
      <c r="X1088">
        <v>3</v>
      </c>
      <c r="Y1088" s="6">
        <v>46023</v>
      </c>
    </row>
    <row r="1089" spans="1:26" x14ac:dyDescent="0.3">
      <c r="A1089" t="s">
        <v>1194</v>
      </c>
      <c r="B1089" s="5">
        <v>46029</v>
      </c>
      <c r="C1089" s="5">
        <v>46030</v>
      </c>
      <c r="D1089" s="5">
        <v>46031</v>
      </c>
      <c r="E1089" s="5">
        <v>46031</v>
      </c>
      <c r="F1089" t="s">
        <v>34</v>
      </c>
      <c r="G1089" t="s">
        <v>61</v>
      </c>
      <c r="H1089" t="s">
        <v>22</v>
      </c>
      <c r="I1089" t="s">
        <v>43</v>
      </c>
      <c r="J1089">
        <v>22</v>
      </c>
      <c r="K1089">
        <v>1974.6</v>
      </c>
      <c r="L1089">
        <v>2006000</v>
      </c>
      <c r="M1089" t="b">
        <v>0</v>
      </c>
      <c r="N1089" t="b">
        <v>0</v>
      </c>
      <c r="O1089">
        <v>5000</v>
      </c>
      <c r="P1089" t="b">
        <v>0</v>
      </c>
      <c r="Q1089" t="b">
        <v>0</v>
      </c>
      <c r="R1089" t="b">
        <v>0</v>
      </c>
      <c r="S1089" t="s">
        <v>96</v>
      </c>
      <c r="T1089" t="s">
        <v>1638</v>
      </c>
      <c r="U1089">
        <v>39.491999999999997</v>
      </c>
      <c r="V1089">
        <v>0</v>
      </c>
      <c r="W1089">
        <v>0</v>
      </c>
      <c r="X1089">
        <v>1</v>
      </c>
      <c r="Y1089" s="6">
        <v>46023</v>
      </c>
    </row>
    <row r="1090" spans="1:26" x14ac:dyDescent="0.3">
      <c r="A1090" t="s">
        <v>1195</v>
      </c>
      <c r="B1090" s="5">
        <v>46170</v>
      </c>
      <c r="C1090" s="5">
        <v>46171</v>
      </c>
      <c r="D1090" s="5">
        <v>46173</v>
      </c>
      <c r="E1090" s="5"/>
      <c r="F1090" t="s">
        <v>31</v>
      </c>
      <c r="G1090" t="s">
        <v>55</v>
      </c>
      <c r="H1090" t="s">
        <v>21</v>
      </c>
      <c r="I1090" t="s">
        <v>43</v>
      </c>
      <c r="J1090">
        <v>19.2</v>
      </c>
      <c r="K1090">
        <v>3593.4</v>
      </c>
      <c r="L1090">
        <v>2330000</v>
      </c>
      <c r="M1090" t="b">
        <v>0</v>
      </c>
      <c r="N1090" t="b">
        <v>0</v>
      </c>
      <c r="O1090">
        <v>5000</v>
      </c>
      <c r="P1090" t="b">
        <v>0</v>
      </c>
      <c r="Q1090" t="b">
        <v>0</v>
      </c>
      <c r="R1090" t="b">
        <v>0</v>
      </c>
      <c r="S1090" t="s">
        <v>203</v>
      </c>
      <c r="T1090" t="s">
        <v>1629</v>
      </c>
      <c r="U1090">
        <v>71.867999999999995</v>
      </c>
      <c r="V1090">
        <v>0</v>
      </c>
      <c r="W1090">
        <v>0</v>
      </c>
      <c r="Y1090" s="6">
        <v>46143</v>
      </c>
    </row>
    <row r="1091" spans="1:26" x14ac:dyDescent="0.3">
      <c r="A1091" t="s">
        <v>1196</v>
      </c>
      <c r="B1091" s="5">
        <v>46202</v>
      </c>
      <c r="C1091" s="5">
        <v>46202</v>
      </c>
      <c r="D1091" s="5">
        <v>46205</v>
      </c>
      <c r="E1091" s="5">
        <v>46205</v>
      </c>
      <c r="F1091" t="s">
        <v>33</v>
      </c>
      <c r="G1091" t="s">
        <v>62</v>
      </c>
      <c r="H1091" t="s">
        <v>20</v>
      </c>
      <c r="I1091" t="s">
        <v>43</v>
      </c>
      <c r="J1091">
        <v>159.80000000000001</v>
      </c>
      <c r="K1091">
        <v>2534.1999999999998</v>
      </c>
      <c r="L1091">
        <v>3583000</v>
      </c>
      <c r="M1091" t="b">
        <v>0</v>
      </c>
      <c r="N1091" t="b">
        <v>0</v>
      </c>
      <c r="O1091">
        <v>5000</v>
      </c>
      <c r="P1091" t="b">
        <v>0</v>
      </c>
      <c r="Q1091" t="b">
        <v>0</v>
      </c>
      <c r="R1091" t="b">
        <v>0</v>
      </c>
      <c r="S1091" t="s">
        <v>96</v>
      </c>
      <c r="T1091" t="s">
        <v>1657</v>
      </c>
      <c r="U1091">
        <v>50.683999999999997</v>
      </c>
      <c r="V1091">
        <v>0</v>
      </c>
      <c r="W1091">
        <v>0</v>
      </c>
      <c r="X1091">
        <v>3</v>
      </c>
      <c r="Y1091" s="6">
        <v>46174</v>
      </c>
    </row>
    <row r="1092" spans="1:26" x14ac:dyDescent="0.3">
      <c r="A1092" t="s">
        <v>1197</v>
      </c>
      <c r="B1092" s="5">
        <v>46067</v>
      </c>
      <c r="C1092" s="5">
        <v>46067</v>
      </c>
      <c r="D1092" s="5">
        <v>46070</v>
      </c>
      <c r="E1092" s="5">
        <v>46070</v>
      </c>
      <c r="F1092" t="s">
        <v>31</v>
      </c>
      <c r="G1092" t="s">
        <v>63</v>
      </c>
      <c r="H1092" t="s">
        <v>24</v>
      </c>
      <c r="I1092" t="s">
        <v>45</v>
      </c>
      <c r="J1092">
        <v>312.89999999999998</v>
      </c>
      <c r="K1092">
        <v>411.3</v>
      </c>
      <c r="L1092">
        <v>3301000</v>
      </c>
      <c r="M1092" t="b">
        <v>0</v>
      </c>
      <c r="N1092" t="b">
        <v>0</v>
      </c>
      <c r="O1092">
        <v>1000</v>
      </c>
      <c r="P1092" t="b">
        <v>0</v>
      </c>
      <c r="Q1092" t="b">
        <v>0</v>
      </c>
      <c r="R1092" t="b">
        <v>0</v>
      </c>
      <c r="S1092" t="s">
        <v>96</v>
      </c>
      <c r="T1092" t="s">
        <v>1640</v>
      </c>
      <c r="U1092">
        <v>41.13</v>
      </c>
      <c r="V1092">
        <v>0</v>
      </c>
      <c r="W1092">
        <v>0</v>
      </c>
      <c r="X1092">
        <v>3</v>
      </c>
      <c r="Y1092" s="6">
        <v>46054</v>
      </c>
    </row>
    <row r="1093" spans="1:26" x14ac:dyDescent="0.3">
      <c r="A1093" t="s">
        <v>1198</v>
      </c>
      <c r="B1093" s="5">
        <v>46043</v>
      </c>
      <c r="C1093" s="5">
        <v>46044</v>
      </c>
      <c r="D1093" s="5">
        <v>46047</v>
      </c>
      <c r="E1093" s="5">
        <v>46048</v>
      </c>
      <c r="F1093" t="s">
        <v>34</v>
      </c>
      <c r="G1093" t="s">
        <v>58</v>
      </c>
      <c r="H1093" t="s">
        <v>23</v>
      </c>
      <c r="I1093" t="s">
        <v>43</v>
      </c>
      <c r="J1093">
        <v>143.6</v>
      </c>
      <c r="K1093">
        <v>1777.5</v>
      </c>
      <c r="L1093">
        <v>3423000</v>
      </c>
      <c r="M1093" t="b">
        <v>0</v>
      </c>
      <c r="N1093" t="b">
        <v>0</v>
      </c>
      <c r="O1093">
        <v>5000</v>
      </c>
      <c r="P1093" t="b">
        <v>0</v>
      </c>
      <c r="Q1093" t="b">
        <v>0</v>
      </c>
      <c r="R1093" t="b">
        <v>0</v>
      </c>
      <c r="S1093" t="s">
        <v>101</v>
      </c>
      <c r="T1093" t="s">
        <v>1637</v>
      </c>
      <c r="U1093">
        <v>35.549999999999997</v>
      </c>
      <c r="V1093">
        <v>0</v>
      </c>
      <c r="W1093">
        <v>0</v>
      </c>
      <c r="X1093">
        <v>4</v>
      </c>
      <c r="Y1093" s="6">
        <v>46023</v>
      </c>
      <c r="Z1093">
        <v>1</v>
      </c>
    </row>
    <row r="1094" spans="1:26" x14ac:dyDescent="0.3">
      <c r="A1094" t="s">
        <v>1199</v>
      </c>
      <c r="B1094" s="5">
        <v>46161</v>
      </c>
      <c r="C1094" s="5">
        <v>46161</v>
      </c>
      <c r="D1094" s="5">
        <v>46164</v>
      </c>
      <c r="E1094" s="5">
        <v>46164</v>
      </c>
      <c r="F1094" t="s">
        <v>32</v>
      </c>
      <c r="G1094" t="s">
        <v>58</v>
      </c>
      <c r="H1094" t="s">
        <v>24</v>
      </c>
      <c r="I1094" t="s">
        <v>43</v>
      </c>
      <c r="J1094">
        <v>317.3</v>
      </c>
      <c r="K1094">
        <v>2817.4</v>
      </c>
      <c r="L1094">
        <v>6197000</v>
      </c>
      <c r="M1094" t="b">
        <v>0</v>
      </c>
      <c r="N1094" t="b">
        <v>0</v>
      </c>
      <c r="O1094">
        <v>5000</v>
      </c>
      <c r="P1094" t="b">
        <v>0</v>
      </c>
      <c r="Q1094" t="b">
        <v>0</v>
      </c>
      <c r="R1094" t="b">
        <v>0</v>
      </c>
      <c r="S1094" t="s">
        <v>96</v>
      </c>
      <c r="T1094" t="s">
        <v>1656</v>
      </c>
      <c r="U1094">
        <v>56.347999999999999</v>
      </c>
      <c r="V1094">
        <v>0</v>
      </c>
      <c r="W1094">
        <v>0</v>
      </c>
      <c r="X1094">
        <v>3</v>
      </c>
      <c r="Y1094" s="6">
        <v>46143</v>
      </c>
    </row>
    <row r="1095" spans="1:26" x14ac:dyDescent="0.3">
      <c r="A1095" t="s">
        <v>1200</v>
      </c>
      <c r="B1095" s="5">
        <v>46147</v>
      </c>
      <c r="C1095" s="5">
        <v>46148</v>
      </c>
      <c r="D1095" s="5">
        <v>46151</v>
      </c>
      <c r="E1095" s="5">
        <v>46150</v>
      </c>
      <c r="F1095" t="s">
        <v>34</v>
      </c>
      <c r="G1095" t="s">
        <v>63</v>
      </c>
      <c r="H1095" t="s">
        <v>23</v>
      </c>
      <c r="I1095" t="s">
        <v>42</v>
      </c>
      <c r="J1095">
        <v>336.5</v>
      </c>
      <c r="K1095">
        <v>10480.1</v>
      </c>
      <c r="L1095">
        <v>8797000</v>
      </c>
      <c r="M1095" t="b">
        <v>0</v>
      </c>
      <c r="N1095" t="b">
        <v>0</v>
      </c>
      <c r="O1095">
        <v>16000</v>
      </c>
      <c r="P1095" t="b">
        <v>0</v>
      </c>
      <c r="Q1095" t="b">
        <v>0</v>
      </c>
      <c r="R1095" t="b">
        <v>0</v>
      </c>
      <c r="S1095" t="s">
        <v>96</v>
      </c>
      <c r="T1095" t="s">
        <v>1613</v>
      </c>
      <c r="U1095">
        <v>65.500624999999999</v>
      </c>
      <c r="V1095">
        <v>0</v>
      </c>
      <c r="W1095">
        <v>0</v>
      </c>
      <c r="X1095">
        <v>2</v>
      </c>
      <c r="Y1095" s="6">
        <v>46143</v>
      </c>
    </row>
    <row r="1096" spans="1:26" x14ac:dyDescent="0.3">
      <c r="A1096" t="s">
        <v>1201</v>
      </c>
      <c r="B1096" s="5">
        <v>46162</v>
      </c>
      <c r="C1096" s="5">
        <v>46163</v>
      </c>
      <c r="D1096" s="5">
        <v>46164</v>
      </c>
      <c r="E1096" s="5">
        <v>46164</v>
      </c>
      <c r="F1096" t="s">
        <v>34</v>
      </c>
      <c r="G1096" t="s">
        <v>61</v>
      </c>
      <c r="H1096" t="s">
        <v>20</v>
      </c>
      <c r="I1096" t="s">
        <v>43</v>
      </c>
      <c r="J1096">
        <v>23</v>
      </c>
      <c r="K1096">
        <v>4471.3</v>
      </c>
      <c r="L1096">
        <v>2659000</v>
      </c>
      <c r="M1096" t="b">
        <v>0</v>
      </c>
      <c r="N1096" t="b">
        <v>0</v>
      </c>
      <c r="O1096">
        <v>5000</v>
      </c>
      <c r="P1096" t="b">
        <v>0</v>
      </c>
      <c r="Q1096" t="b">
        <v>0</v>
      </c>
      <c r="R1096" t="b">
        <v>0</v>
      </c>
      <c r="S1096" t="s">
        <v>96</v>
      </c>
      <c r="T1096" t="s">
        <v>1638</v>
      </c>
      <c r="U1096">
        <v>89.426000000000002</v>
      </c>
      <c r="V1096">
        <v>0</v>
      </c>
      <c r="W1096">
        <v>0</v>
      </c>
      <c r="X1096">
        <v>1</v>
      </c>
      <c r="Y1096" s="6">
        <v>46143</v>
      </c>
    </row>
    <row r="1097" spans="1:26" x14ac:dyDescent="0.3">
      <c r="A1097" t="s">
        <v>1202</v>
      </c>
      <c r="B1097" s="5">
        <v>46133</v>
      </c>
      <c r="C1097" s="5">
        <v>46135</v>
      </c>
      <c r="D1097" s="5">
        <v>46137</v>
      </c>
      <c r="E1097" s="5">
        <v>46137</v>
      </c>
      <c r="F1097" t="s">
        <v>34</v>
      </c>
      <c r="G1097" t="s">
        <v>52</v>
      </c>
      <c r="H1097" t="s">
        <v>20</v>
      </c>
      <c r="I1097" t="s">
        <v>45</v>
      </c>
      <c r="J1097">
        <v>267.89999999999998</v>
      </c>
      <c r="K1097">
        <v>207.3</v>
      </c>
      <c r="L1097">
        <v>2720000</v>
      </c>
      <c r="M1097" t="b">
        <v>0</v>
      </c>
      <c r="N1097" t="b">
        <v>0</v>
      </c>
      <c r="O1097">
        <v>1000</v>
      </c>
      <c r="P1097" t="b">
        <v>0</v>
      </c>
      <c r="Q1097" t="b">
        <v>0</v>
      </c>
      <c r="R1097" t="b">
        <v>0</v>
      </c>
      <c r="S1097" t="s">
        <v>96</v>
      </c>
      <c r="T1097" t="s">
        <v>1623</v>
      </c>
      <c r="U1097">
        <v>20.73</v>
      </c>
      <c r="V1097">
        <v>0</v>
      </c>
      <c r="W1097">
        <v>0</v>
      </c>
      <c r="X1097">
        <v>2</v>
      </c>
      <c r="Y1097" s="6">
        <v>46113</v>
      </c>
    </row>
    <row r="1098" spans="1:26" x14ac:dyDescent="0.3">
      <c r="A1098" t="s">
        <v>1203</v>
      </c>
      <c r="B1098" s="5">
        <v>46119</v>
      </c>
      <c r="C1098" s="5">
        <v>46119</v>
      </c>
      <c r="D1098" s="5">
        <v>46121</v>
      </c>
      <c r="E1098" s="5">
        <v>46121</v>
      </c>
      <c r="F1098" t="s">
        <v>32</v>
      </c>
      <c r="G1098" t="s">
        <v>53</v>
      </c>
      <c r="H1098" t="s">
        <v>24</v>
      </c>
      <c r="I1098" t="s">
        <v>43</v>
      </c>
      <c r="J1098">
        <v>267.39999999999998</v>
      </c>
      <c r="K1098">
        <v>1326.8</v>
      </c>
      <c r="L1098">
        <v>4492000</v>
      </c>
      <c r="M1098" t="b">
        <v>0</v>
      </c>
      <c r="N1098" t="b">
        <v>0</v>
      </c>
      <c r="O1098">
        <v>5000</v>
      </c>
      <c r="P1098" t="b">
        <v>0</v>
      </c>
      <c r="Q1098" t="b">
        <v>0</v>
      </c>
      <c r="R1098" t="b">
        <v>0</v>
      </c>
      <c r="S1098" t="s">
        <v>96</v>
      </c>
      <c r="T1098" t="s">
        <v>1612</v>
      </c>
      <c r="U1098">
        <v>26.536000000000001</v>
      </c>
      <c r="V1098">
        <v>0</v>
      </c>
      <c r="W1098">
        <v>0</v>
      </c>
      <c r="X1098">
        <v>2</v>
      </c>
      <c r="Y1098" s="6">
        <v>46113</v>
      </c>
    </row>
    <row r="1099" spans="1:26" x14ac:dyDescent="0.3">
      <c r="A1099" t="s">
        <v>1204</v>
      </c>
      <c r="B1099" s="5">
        <v>46193</v>
      </c>
      <c r="C1099" s="5">
        <v>46194</v>
      </c>
      <c r="D1099" s="5">
        <v>46197</v>
      </c>
      <c r="E1099" s="5">
        <v>46199</v>
      </c>
      <c r="F1099" t="s">
        <v>34</v>
      </c>
      <c r="G1099" t="s">
        <v>63</v>
      </c>
      <c r="H1099" t="s">
        <v>23</v>
      </c>
      <c r="I1099" t="s">
        <v>45</v>
      </c>
      <c r="J1099">
        <v>346.9</v>
      </c>
      <c r="K1099">
        <v>263.39999999999998</v>
      </c>
      <c r="L1099">
        <v>3745000</v>
      </c>
      <c r="M1099" t="b">
        <v>0</v>
      </c>
      <c r="N1099" t="b">
        <v>0</v>
      </c>
      <c r="O1099">
        <v>1000</v>
      </c>
      <c r="P1099" t="b">
        <v>0</v>
      </c>
      <c r="Q1099" t="b">
        <v>0</v>
      </c>
      <c r="R1099" t="b">
        <v>0</v>
      </c>
      <c r="S1099" t="s">
        <v>101</v>
      </c>
      <c r="T1099" t="s">
        <v>1613</v>
      </c>
      <c r="U1099">
        <v>26.34</v>
      </c>
      <c r="V1099">
        <v>0</v>
      </c>
      <c r="W1099">
        <v>0</v>
      </c>
      <c r="X1099">
        <v>5</v>
      </c>
      <c r="Y1099" s="6">
        <v>46174</v>
      </c>
      <c r="Z1099">
        <v>2</v>
      </c>
    </row>
    <row r="1100" spans="1:26" x14ac:dyDescent="0.3">
      <c r="A1100" t="s">
        <v>1205</v>
      </c>
      <c r="B1100" s="5">
        <v>46047</v>
      </c>
      <c r="C1100" s="5">
        <v>46049</v>
      </c>
      <c r="D1100" s="5">
        <v>46052</v>
      </c>
      <c r="E1100" s="5">
        <v>46052</v>
      </c>
      <c r="F1100" t="s">
        <v>31</v>
      </c>
      <c r="G1100" t="s">
        <v>60</v>
      </c>
      <c r="H1100" t="s">
        <v>20</v>
      </c>
      <c r="I1100" t="s">
        <v>43</v>
      </c>
      <c r="J1100">
        <v>572.79999999999995</v>
      </c>
      <c r="K1100">
        <v>1615.5</v>
      </c>
      <c r="M1100" t="b">
        <v>0</v>
      </c>
      <c r="N1100" t="b">
        <v>1</v>
      </c>
      <c r="O1100">
        <v>5000</v>
      </c>
      <c r="P1100" t="b">
        <v>0</v>
      </c>
      <c r="Q1100" t="b">
        <v>0</v>
      </c>
      <c r="R1100" t="b">
        <v>1</v>
      </c>
      <c r="S1100" t="s">
        <v>96</v>
      </c>
      <c r="T1100" t="s">
        <v>1652</v>
      </c>
      <c r="U1100">
        <v>32.31</v>
      </c>
      <c r="V1100">
        <v>0</v>
      </c>
      <c r="W1100">
        <v>1</v>
      </c>
      <c r="X1100">
        <v>3</v>
      </c>
      <c r="Y1100" s="6">
        <v>46023</v>
      </c>
    </row>
    <row r="1101" spans="1:26" x14ac:dyDescent="0.3">
      <c r="A1101" t="s">
        <v>1206</v>
      </c>
      <c r="B1101" s="5">
        <v>46171</v>
      </c>
      <c r="C1101" s="5">
        <v>46172</v>
      </c>
      <c r="D1101" s="5">
        <v>46174</v>
      </c>
      <c r="E1101" s="5">
        <v>46174</v>
      </c>
      <c r="F1101" t="s">
        <v>34</v>
      </c>
      <c r="G1101" t="s">
        <v>57</v>
      </c>
      <c r="H1101" t="s">
        <v>21</v>
      </c>
      <c r="I1101" t="s">
        <v>43</v>
      </c>
      <c r="J1101">
        <v>157.1</v>
      </c>
      <c r="K1101">
        <v>506.9</v>
      </c>
      <c r="L1101">
        <v>2601000</v>
      </c>
      <c r="M1101" t="b">
        <v>0</v>
      </c>
      <c r="N1101" t="b">
        <v>0</v>
      </c>
      <c r="O1101">
        <v>5000</v>
      </c>
      <c r="P1101" t="b">
        <v>0</v>
      </c>
      <c r="Q1101" t="b">
        <v>0</v>
      </c>
      <c r="R1101" t="b">
        <v>0</v>
      </c>
      <c r="S1101" t="s">
        <v>96</v>
      </c>
      <c r="T1101" t="s">
        <v>1620</v>
      </c>
      <c r="U1101">
        <v>10.138</v>
      </c>
      <c r="V1101">
        <v>0</v>
      </c>
      <c r="W1101">
        <v>0</v>
      </c>
      <c r="X1101">
        <v>2</v>
      </c>
      <c r="Y1101" s="6">
        <v>46143</v>
      </c>
    </row>
    <row r="1102" spans="1:26" x14ac:dyDescent="0.3">
      <c r="A1102" t="s">
        <v>1207</v>
      </c>
      <c r="B1102" s="5">
        <v>46103</v>
      </c>
      <c r="C1102" s="5">
        <v>46104</v>
      </c>
      <c r="D1102" s="5">
        <v>46107</v>
      </c>
      <c r="E1102" s="5">
        <v>46107</v>
      </c>
      <c r="F1102" t="s">
        <v>32</v>
      </c>
      <c r="G1102" t="s">
        <v>52</v>
      </c>
      <c r="H1102" t="s">
        <v>20</v>
      </c>
      <c r="I1102" t="s">
        <v>45</v>
      </c>
      <c r="J1102">
        <v>328.6</v>
      </c>
      <c r="K1102">
        <v>402.7</v>
      </c>
      <c r="L1102">
        <v>3200000</v>
      </c>
      <c r="M1102" t="b">
        <v>0</v>
      </c>
      <c r="N1102" t="b">
        <v>0</v>
      </c>
      <c r="O1102">
        <v>1000</v>
      </c>
      <c r="P1102" t="b">
        <v>0</v>
      </c>
      <c r="Q1102" t="b">
        <v>0</v>
      </c>
      <c r="R1102" t="b">
        <v>0</v>
      </c>
      <c r="S1102" t="s">
        <v>96</v>
      </c>
      <c r="T1102" t="s">
        <v>1611</v>
      </c>
      <c r="U1102">
        <v>40.270000000000003</v>
      </c>
      <c r="V1102">
        <v>0</v>
      </c>
      <c r="W1102">
        <v>0</v>
      </c>
      <c r="X1102">
        <v>3</v>
      </c>
      <c r="Y1102" s="6">
        <v>46082</v>
      </c>
    </row>
    <row r="1103" spans="1:26" x14ac:dyDescent="0.3">
      <c r="A1103" t="s">
        <v>1208</v>
      </c>
      <c r="B1103" s="5">
        <v>46065</v>
      </c>
      <c r="C1103" s="5">
        <v>46066</v>
      </c>
      <c r="D1103" s="5">
        <v>46068</v>
      </c>
      <c r="E1103" s="5">
        <v>46069</v>
      </c>
      <c r="F1103" t="s">
        <v>31</v>
      </c>
      <c r="G1103" t="s">
        <v>52</v>
      </c>
      <c r="H1103" t="s">
        <v>24</v>
      </c>
      <c r="I1103" t="s">
        <v>42</v>
      </c>
      <c r="J1103">
        <v>279.89999999999998</v>
      </c>
      <c r="K1103">
        <v>7027.3</v>
      </c>
      <c r="L1103">
        <v>7701000</v>
      </c>
      <c r="M1103" t="b">
        <v>0</v>
      </c>
      <c r="N1103" t="b">
        <v>0</v>
      </c>
      <c r="O1103">
        <v>16000</v>
      </c>
      <c r="P1103" t="b">
        <v>0</v>
      </c>
      <c r="Q1103" t="b">
        <v>0</v>
      </c>
      <c r="R1103" t="b">
        <v>0</v>
      </c>
      <c r="S1103" t="s">
        <v>101</v>
      </c>
      <c r="T1103" t="s">
        <v>1618</v>
      </c>
      <c r="U1103">
        <v>43.920625000000001</v>
      </c>
      <c r="V1103">
        <v>0</v>
      </c>
      <c r="W1103">
        <v>0</v>
      </c>
      <c r="X1103">
        <v>3</v>
      </c>
      <c r="Y1103" s="6">
        <v>46054</v>
      </c>
      <c r="Z1103">
        <v>1</v>
      </c>
    </row>
    <row r="1104" spans="1:26" x14ac:dyDescent="0.3">
      <c r="A1104" t="s">
        <v>1209</v>
      </c>
      <c r="B1104" s="5">
        <v>46122</v>
      </c>
      <c r="C1104" s="5">
        <v>46123</v>
      </c>
      <c r="D1104" s="5">
        <v>46126</v>
      </c>
      <c r="E1104" s="5">
        <v>46127</v>
      </c>
      <c r="F1104" t="s">
        <v>34</v>
      </c>
      <c r="G1104" t="s">
        <v>53</v>
      </c>
      <c r="H1104" t="s">
        <v>22</v>
      </c>
      <c r="I1104" t="s">
        <v>44</v>
      </c>
      <c r="J1104">
        <v>331.3</v>
      </c>
      <c r="K1104">
        <v>1356.4</v>
      </c>
      <c r="L1104">
        <v>4540000</v>
      </c>
      <c r="M1104" t="b">
        <v>0</v>
      </c>
      <c r="N1104" t="b">
        <v>0</v>
      </c>
      <c r="O1104">
        <v>1500</v>
      </c>
      <c r="P1104" t="b">
        <v>0</v>
      </c>
      <c r="Q1104" t="b">
        <v>0</v>
      </c>
      <c r="R1104" t="b">
        <v>0</v>
      </c>
      <c r="S1104" t="s">
        <v>101</v>
      </c>
      <c r="T1104" t="s">
        <v>1636</v>
      </c>
      <c r="U1104">
        <v>90.426666666666677</v>
      </c>
      <c r="V1104">
        <v>0</v>
      </c>
      <c r="W1104">
        <v>0</v>
      </c>
      <c r="X1104">
        <v>4</v>
      </c>
      <c r="Y1104" s="6">
        <v>46113</v>
      </c>
      <c r="Z1104">
        <v>1</v>
      </c>
    </row>
    <row r="1105" spans="1:26" x14ac:dyDescent="0.3">
      <c r="A1105" t="s">
        <v>1210</v>
      </c>
      <c r="B1105" s="5">
        <v>46120</v>
      </c>
      <c r="C1105" s="5">
        <v>46121</v>
      </c>
      <c r="D1105" s="5">
        <v>46122</v>
      </c>
      <c r="E1105" s="5">
        <v>46122</v>
      </c>
      <c r="F1105" t="s">
        <v>33</v>
      </c>
      <c r="G1105" t="s">
        <v>60</v>
      </c>
      <c r="H1105" t="s">
        <v>23</v>
      </c>
      <c r="I1105" t="s">
        <v>42</v>
      </c>
      <c r="J1105">
        <v>30.5</v>
      </c>
      <c r="K1105">
        <v>10072.9</v>
      </c>
      <c r="L1105">
        <v>4195000</v>
      </c>
      <c r="M1105" t="b">
        <v>0</v>
      </c>
      <c r="N1105" t="b">
        <v>0</v>
      </c>
      <c r="O1105">
        <v>16000</v>
      </c>
      <c r="P1105" t="b">
        <v>0</v>
      </c>
      <c r="Q1105" t="b">
        <v>0</v>
      </c>
      <c r="R1105" t="b">
        <v>0</v>
      </c>
      <c r="S1105" t="s">
        <v>96</v>
      </c>
      <c r="T1105" t="s">
        <v>1650</v>
      </c>
      <c r="U1105">
        <v>62.955624999999991</v>
      </c>
      <c r="V1105">
        <v>0</v>
      </c>
      <c r="W1105">
        <v>0</v>
      </c>
      <c r="X1105">
        <v>1</v>
      </c>
      <c r="Y1105" s="6">
        <v>46113</v>
      </c>
    </row>
    <row r="1106" spans="1:26" x14ac:dyDescent="0.3">
      <c r="A1106" t="s">
        <v>1211</v>
      </c>
      <c r="B1106" s="5">
        <v>46152</v>
      </c>
      <c r="C1106" s="5">
        <v>46153</v>
      </c>
      <c r="D1106" s="5">
        <v>46156</v>
      </c>
      <c r="E1106" s="5">
        <v>46156</v>
      </c>
      <c r="F1106" t="s">
        <v>34</v>
      </c>
      <c r="G1106" t="s">
        <v>54</v>
      </c>
      <c r="H1106" t="s">
        <v>21</v>
      </c>
      <c r="I1106" t="s">
        <v>43</v>
      </c>
      <c r="J1106">
        <v>417.5</v>
      </c>
      <c r="K1106">
        <v>3430</v>
      </c>
      <c r="L1106">
        <v>7118000</v>
      </c>
      <c r="M1106" t="b">
        <v>0</v>
      </c>
      <c r="N1106" t="b">
        <v>0</v>
      </c>
      <c r="O1106">
        <v>5000</v>
      </c>
      <c r="P1106" t="b">
        <v>0</v>
      </c>
      <c r="Q1106" t="b">
        <v>0</v>
      </c>
      <c r="R1106" t="b">
        <v>0</v>
      </c>
      <c r="S1106" t="s">
        <v>96</v>
      </c>
      <c r="T1106" t="s">
        <v>1635</v>
      </c>
      <c r="U1106">
        <v>68.600000000000009</v>
      </c>
      <c r="V1106">
        <v>0</v>
      </c>
      <c r="W1106">
        <v>0</v>
      </c>
      <c r="X1106">
        <v>3</v>
      </c>
      <c r="Y1106" s="6">
        <v>46143</v>
      </c>
    </row>
    <row r="1107" spans="1:26" x14ac:dyDescent="0.3">
      <c r="A1107" t="s">
        <v>1212</v>
      </c>
      <c r="B1107" s="5">
        <v>46101</v>
      </c>
      <c r="C1107" s="5">
        <v>46102</v>
      </c>
      <c r="D1107" s="5">
        <v>46105</v>
      </c>
      <c r="E1107" s="5">
        <v>46101</v>
      </c>
      <c r="F1107" t="s">
        <v>31</v>
      </c>
      <c r="G1107" t="s">
        <v>59</v>
      </c>
      <c r="H1107" t="s">
        <v>23</v>
      </c>
      <c r="I1107" t="s">
        <v>44</v>
      </c>
      <c r="J1107">
        <v>306.7</v>
      </c>
      <c r="K1107">
        <v>319.2</v>
      </c>
      <c r="L1107">
        <v>3298000</v>
      </c>
      <c r="M1107" t="b">
        <v>1</v>
      </c>
      <c r="N1107" t="b">
        <v>0</v>
      </c>
      <c r="O1107">
        <v>1500</v>
      </c>
      <c r="P1107" t="b">
        <v>0</v>
      </c>
      <c r="Q1107" t="b">
        <v>0</v>
      </c>
      <c r="R1107" t="b">
        <v>1</v>
      </c>
      <c r="S1107" t="s">
        <v>260</v>
      </c>
      <c r="T1107" t="s">
        <v>1628</v>
      </c>
      <c r="U1107">
        <v>21.28</v>
      </c>
      <c r="V1107">
        <v>0</v>
      </c>
      <c r="W1107">
        <v>1</v>
      </c>
      <c r="Y1107" s="6">
        <v>46082</v>
      </c>
    </row>
    <row r="1108" spans="1:26" x14ac:dyDescent="0.3">
      <c r="A1108" t="s">
        <v>1213</v>
      </c>
      <c r="B1108" s="5">
        <v>46183</v>
      </c>
      <c r="C1108" s="5">
        <v>46184</v>
      </c>
      <c r="D1108" s="5">
        <v>46187</v>
      </c>
      <c r="E1108" s="5">
        <v>46187</v>
      </c>
      <c r="F1108" t="s">
        <v>31</v>
      </c>
      <c r="G1108" t="s">
        <v>54</v>
      </c>
      <c r="H1108" t="s">
        <v>22</v>
      </c>
      <c r="I1108" t="s">
        <v>44</v>
      </c>
      <c r="J1108">
        <v>450.3</v>
      </c>
      <c r="K1108">
        <v>1022.7</v>
      </c>
      <c r="L1108">
        <v>4947000</v>
      </c>
      <c r="M1108" t="b">
        <v>0</v>
      </c>
      <c r="N1108" t="b">
        <v>0</v>
      </c>
      <c r="O1108">
        <v>1500</v>
      </c>
      <c r="P1108" t="b">
        <v>0</v>
      </c>
      <c r="Q1108" t="b">
        <v>0</v>
      </c>
      <c r="R1108" t="b">
        <v>0</v>
      </c>
      <c r="S1108" t="s">
        <v>96</v>
      </c>
      <c r="T1108" t="s">
        <v>1631</v>
      </c>
      <c r="U1108">
        <v>68.180000000000007</v>
      </c>
      <c r="V1108">
        <v>0</v>
      </c>
      <c r="W1108">
        <v>0</v>
      </c>
      <c r="X1108">
        <v>3</v>
      </c>
      <c r="Y1108" s="6">
        <v>46174</v>
      </c>
    </row>
    <row r="1109" spans="1:26" x14ac:dyDescent="0.3">
      <c r="A1109" t="s">
        <v>1214</v>
      </c>
      <c r="B1109" s="5">
        <v>46095</v>
      </c>
      <c r="C1109" s="5">
        <v>46096</v>
      </c>
      <c r="D1109" s="5">
        <v>46100</v>
      </c>
      <c r="E1109" s="5">
        <v>46102</v>
      </c>
      <c r="F1109" t="s">
        <v>32</v>
      </c>
      <c r="G1109" t="s">
        <v>56</v>
      </c>
      <c r="H1109" t="s">
        <v>24</v>
      </c>
      <c r="I1109" t="s">
        <v>43</v>
      </c>
      <c r="J1109">
        <v>1128.9000000000001</v>
      </c>
      <c r="K1109">
        <v>3203.9</v>
      </c>
      <c r="L1109">
        <v>17938000</v>
      </c>
      <c r="M1109" t="b">
        <v>0</v>
      </c>
      <c r="N1109" t="b">
        <v>0</v>
      </c>
      <c r="O1109">
        <v>5000</v>
      </c>
      <c r="P1109" t="b">
        <v>0</v>
      </c>
      <c r="Q1109" t="b">
        <v>0</v>
      </c>
      <c r="R1109" t="b">
        <v>0</v>
      </c>
      <c r="S1109" t="s">
        <v>101</v>
      </c>
      <c r="T1109" t="s">
        <v>1658</v>
      </c>
      <c r="U1109">
        <v>64.078000000000003</v>
      </c>
      <c r="V1109">
        <v>0</v>
      </c>
      <c r="W1109">
        <v>0</v>
      </c>
      <c r="X1109">
        <v>6</v>
      </c>
      <c r="Y1109" s="6">
        <v>46082</v>
      </c>
      <c r="Z1109">
        <v>2</v>
      </c>
    </row>
    <row r="1110" spans="1:26" x14ac:dyDescent="0.3">
      <c r="A1110" t="s">
        <v>1215</v>
      </c>
      <c r="B1110" s="5">
        <v>46190</v>
      </c>
      <c r="C1110" s="5">
        <v>46191</v>
      </c>
      <c r="D1110" s="5">
        <v>46194</v>
      </c>
      <c r="E1110" s="5">
        <v>46194</v>
      </c>
      <c r="F1110" t="s">
        <v>32</v>
      </c>
      <c r="G1110" t="s">
        <v>54</v>
      </c>
      <c r="H1110" t="s">
        <v>21</v>
      </c>
      <c r="I1110" t="s">
        <v>44</v>
      </c>
      <c r="J1110">
        <v>507.7</v>
      </c>
      <c r="K1110">
        <v>606</v>
      </c>
      <c r="L1110">
        <v>5669000</v>
      </c>
      <c r="M1110" t="b">
        <v>0</v>
      </c>
      <c r="N1110" t="b">
        <v>0</v>
      </c>
      <c r="O1110">
        <v>1500</v>
      </c>
      <c r="P1110" t="b">
        <v>0</v>
      </c>
      <c r="Q1110" t="b">
        <v>0</v>
      </c>
      <c r="R1110" t="b">
        <v>0</v>
      </c>
      <c r="S1110" t="s">
        <v>96</v>
      </c>
      <c r="T1110" t="s">
        <v>1655</v>
      </c>
      <c r="U1110">
        <v>40.400000000000013</v>
      </c>
      <c r="V1110">
        <v>0</v>
      </c>
      <c r="W1110">
        <v>0</v>
      </c>
      <c r="X1110">
        <v>3</v>
      </c>
      <c r="Y1110" s="6">
        <v>46174</v>
      </c>
    </row>
    <row r="1111" spans="1:26" x14ac:dyDescent="0.3">
      <c r="A1111" t="s">
        <v>1216</v>
      </c>
      <c r="B1111" s="5">
        <v>46169</v>
      </c>
      <c r="C1111" s="5">
        <v>46170</v>
      </c>
      <c r="D1111" s="5">
        <v>46173</v>
      </c>
      <c r="E1111" s="5">
        <v>46174</v>
      </c>
      <c r="F1111" t="s">
        <v>34</v>
      </c>
      <c r="G1111" t="s">
        <v>59</v>
      </c>
      <c r="H1111" t="s">
        <v>24</v>
      </c>
      <c r="I1111" t="s">
        <v>42</v>
      </c>
      <c r="J1111">
        <v>325.8</v>
      </c>
      <c r="K1111">
        <v>10120.1</v>
      </c>
      <c r="L1111">
        <v>8735000</v>
      </c>
      <c r="M1111" t="b">
        <v>0</v>
      </c>
      <c r="N1111" t="b">
        <v>0</v>
      </c>
      <c r="O1111">
        <v>16000</v>
      </c>
      <c r="P1111" t="b">
        <v>0</v>
      </c>
      <c r="Q1111" t="b">
        <v>0</v>
      </c>
      <c r="R1111" t="b">
        <v>0</v>
      </c>
      <c r="S1111" t="s">
        <v>101</v>
      </c>
      <c r="T1111" t="s">
        <v>1616</v>
      </c>
      <c r="U1111">
        <v>63.250625000000007</v>
      </c>
      <c r="V1111">
        <v>0</v>
      </c>
      <c r="W1111">
        <v>0</v>
      </c>
      <c r="X1111">
        <v>4</v>
      </c>
      <c r="Y1111" s="6">
        <v>46143</v>
      </c>
      <c r="Z1111">
        <v>1</v>
      </c>
    </row>
    <row r="1112" spans="1:26" x14ac:dyDescent="0.3">
      <c r="A1112" t="s">
        <v>1217</v>
      </c>
      <c r="B1112" s="5">
        <v>46192</v>
      </c>
      <c r="C1112" s="5">
        <v>46193</v>
      </c>
      <c r="D1112" s="5">
        <v>46196</v>
      </c>
      <c r="E1112" s="5">
        <v>46196</v>
      </c>
      <c r="F1112" t="s">
        <v>32</v>
      </c>
      <c r="G1112" t="s">
        <v>60</v>
      </c>
      <c r="H1112" t="s">
        <v>23</v>
      </c>
      <c r="I1112" t="s">
        <v>45</v>
      </c>
      <c r="J1112">
        <v>472.2</v>
      </c>
      <c r="K1112">
        <v>330.3</v>
      </c>
      <c r="L1112">
        <v>4113000</v>
      </c>
      <c r="M1112" t="b">
        <v>0</v>
      </c>
      <c r="N1112" t="b">
        <v>0</v>
      </c>
      <c r="O1112">
        <v>1000</v>
      </c>
      <c r="P1112" t="b">
        <v>0</v>
      </c>
      <c r="Q1112" t="b">
        <v>0</v>
      </c>
      <c r="R1112" t="b">
        <v>0</v>
      </c>
      <c r="S1112" t="s">
        <v>96</v>
      </c>
      <c r="T1112" t="s">
        <v>1647</v>
      </c>
      <c r="U1112">
        <v>33.03</v>
      </c>
      <c r="V1112">
        <v>0</v>
      </c>
      <c r="W1112">
        <v>0</v>
      </c>
      <c r="X1112">
        <v>3</v>
      </c>
      <c r="Y1112" s="6">
        <v>46174</v>
      </c>
    </row>
    <row r="1113" spans="1:26" x14ac:dyDescent="0.3">
      <c r="A1113" t="s">
        <v>1218</v>
      </c>
      <c r="B1113" s="5">
        <v>46111</v>
      </c>
      <c r="C1113" s="5">
        <v>46111</v>
      </c>
      <c r="D1113" s="5">
        <v>46112</v>
      </c>
      <c r="E1113" s="5">
        <v>46114</v>
      </c>
      <c r="F1113" t="s">
        <v>34</v>
      </c>
      <c r="G1113" t="s">
        <v>61</v>
      </c>
      <c r="H1113" t="s">
        <v>22</v>
      </c>
      <c r="I1113" t="s">
        <v>45</v>
      </c>
      <c r="J1113">
        <v>21.6</v>
      </c>
      <c r="K1113">
        <v>790.3</v>
      </c>
      <c r="L1113">
        <v>942000</v>
      </c>
      <c r="M1113" t="b">
        <v>0</v>
      </c>
      <c r="N1113" t="b">
        <v>0</v>
      </c>
      <c r="O1113">
        <v>1000</v>
      </c>
      <c r="P1113" t="b">
        <v>0</v>
      </c>
      <c r="Q1113" t="b">
        <v>0</v>
      </c>
      <c r="R1113" t="b">
        <v>0</v>
      </c>
      <c r="S1113" t="s">
        <v>101</v>
      </c>
      <c r="T1113" t="s">
        <v>1638</v>
      </c>
      <c r="U1113">
        <v>79.03</v>
      </c>
      <c r="V1113">
        <v>0</v>
      </c>
      <c r="W1113">
        <v>0</v>
      </c>
      <c r="X1113">
        <v>3</v>
      </c>
      <c r="Y1113" s="6">
        <v>46082</v>
      </c>
      <c r="Z1113">
        <v>2</v>
      </c>
    </row>
    <row r="1114" spans="1:26" x14ac:dyDescent="0.3">
      <c r="A1114" t="s">
        <v>1219</v>
      </c>
      <c r="B1114" s="5">
        <v>46124</v>
      </c>
      <c r="C1114" s="5">
        <v>46125</v>
      </c>
      <c r="D1114" s="5">
        <v>46127</v>
      </c>
      <c r="E1114" s="5">
        <v>46127</v>
      </c>
      <c r="F1114" t="s">
        <v>34</v>
      </c>
      <c r="G1114" t="s">
        <v>58</v>
      </c>
      <c r="H1114" t="s">
        <v>20</v>
      </c>
      <c r="I1114" t="s">
        <v>44</v>
      </c>
      <c r="J1114">
        <v>153.6</v>
      </c>
      <c r="K1114">
        <v>467.6</v>
      </c>
      <c r="L1114">
        <v>2221000</v>
      </c>
      <c r="M1114" t="b">
        <v>0</v>
      </c>
      <c r="N1114" t="b">
        <v>0</v>
      </c>
      <c r="O1114">
        <v>1500</v>
      </c>
      <c r="P1114" t="b">
        <v>0</v>
      </c>
      <c r="Q1114" t="b">
        <v>0</v>
      </c>
      <c r="R1114" t="b">
        <v>0</v>
      </c>
      <c r="S1114" t="s">
        <v>96</v>
      </c>
      <c r="T1114" t="s">
        <v>1637</v>
      </c>
      <c r="U1114">
        <v>31.173333333333339</v>
      </c>
      <c r="V1114">
        <v>0</v>
      </c>
      <c r="W1114">
        <v>0</v>
      </c>
      <c r="X1114">
        <v>2</v>
      </c>
      <c r="Y1114" s="6">
        <v>46113</v>
      </c>
    </row>
    <row r="1115" spans="1:26" x14ac:dyDescent="0.3">
      <c r="A1115" t="s">
        <v>1220</v>
      </c>
      <c r="B1115" s="5">
        <v>46053</v>
      </c>
      <c r="C1115" s="5">
        <v>46054</v>
      </c>
      <c r="D1115" s="5">
        <v>46056</v>
      </c>
      <c r="E1115" s="5">
        <v>46058</v>
      </c>
      <c r="F1115" t="s">
        <v>33</v>
      </c>
      <c r="G1115" t="s">
        <v>62</v>
      </c>
      <c r="H1115" t="s">
        <v>22</v>
      </c>
      <c r="I1115" t="s">
        <v>45</v>
      </c>
      <c r="J1115">
        <v>151.4</v>
      </c>
      <c r="K1115">
        <v>876.8</v>
      </c>
      <c r="L1115">
        <v>2249000</v>
      </c>
      <c r="M1115" t="b">
        <v>0</v>
      </c>
      <c r="N1115" t="b">
        <v>0</v>
      </c>
      <c r="O1115">
        <v>1000</v>
      </c>
      <c r="P1115" t="b">
        <v>0</v>
      </c>
      <c r="Q1115" t="b">
        <v>0</v>
      </c>
      <c r="R1115" t="b">
        <v>0</v>
      </c>
      <c r="S1115" t="s">
        <v>101</v>
      </c>
      <c r="T1115" t="s">
        <v>1657</v>
      </c>
      <c r="U1115">
        <v>87.679999999999993</v>
      </c>
      <c r="V1115">
        <v>0</v>
      </c>
      <c r="W1115">
        <v>0</v>
      </c>
      <c r="X1115">
        <v>4</v>
      </c>
      <c r="Y1115" s="6">
        <v>46054</v>
      </c>
      <c r="Z1115">
        <v>2</v>
      </c>
    </row>
    <row r="1116" spans="1:26" x14ac:dyDescent="0.3">
      <c r="A1116" t="s">
        <v>1221</v>
      </c>
      <c r="B1116" s="5">
        <v>46058</v>
      </c>
      <c r="C1116" s="5">
        <v>46059</v>
      </c>
      <c r="D1116" s="5">
        <v>46063</v>
      </c>
      <c r="E1116" s="5">
        <v>46058</v>
      </c>
      <c r="F1116" t="s">
        <v>31</v>
      </c>
      <c r="G1116" t="s">
        <v>56</v>
      </c>
      <c r="H1116" t="s">
        <v>20</v>
      </c>
      <c r="I1116" t="s">
        <v>44</v>
      </c>
      <c r="J1116">
        <v>860.8</v>
      </c>
      <c r="K1116">
        <v>156.9</v>
      </c>
      <c r="L1116">
        <v>8894000</v>
      </c>
      <c r="M1116" t="b">
        <v>1</v>
      </c>
      <c r="N1116" t="b">
        <v>0</v>
      </c>
      <c r="O1116">
        <v>1500</v>
      </c>
      <c r="P1116" t="b">
        <v>0</v>
      </c>
      <c r="Q1116" t="b">
        <v>0</v>
      </c>
      <c r="R1116" t="b">
        <v>1</v>
      </c>
      <c r="S1116" t="s">
        <v>260</v>
      </c>
      <c r="T1116" t="s">
        <v>1614</v>
      </c>
      <c r="U1116">
        <v>10.46</v>
      </c>
      <c r="V1116">
        <v>0</v>
      </c>
      <c r="W1116">
        <v>1</v>
      </c>
      <c r="Y1116" s="6">
        <v>46054</v>
      </c>
    </row>
    <row r="1117" spans="1:26" x14ac:dyDescent="0.3">
      <c r="A1117" t="s">
        <v>1222</v>
      </c>
      <c r="B1117" s="5">
        <v>46096</v>
      </c>
      <c r="C1117" s="5">
        <v>46097</v>
      </c>
      <c r="D1117" s="5">
        <v>46098</v>
      </c>
      <c r="E1117" s="5">
        <v>46098</v>
      </c>
      <c r="F1117" t="s">
        <v>31</v>
      </c>
      <c r="G1117" t="s">
        <v>55</v>
      </c>
      <c r="H1117" t="s">
        <v>21</v>
      </c>
      <c r="I1117" t="s">
        <v>42</v>
      </c>
      <c r="J1117">
        <v>18.100000000000001</v>
      </c>
      <c r="K1117">
        <v>6852.7</v>
      </c>
      <c r="L1117">
        <v>3370000</v>
      </c>
      <c r="M1117" t="b">
        <v>0</v>
      </c>
      <c r="N1117" t="b">
        <v>0</v>
      </c>
      <c r="O1117">
        <v>16000</v>
      </c>
      <c r="P1117" t="b">
        <v>0</v>
      </c>
      <c r="Q1117" t="b">
        <v>0</v>
      </c>
      <c r="R1117" t="b">
        <v>0</v>
      </c>
      <c r="S1117" t="s">
        <v>96</v>
      </c>
      <c r="T1117" t="s">
        <v>1629</v>
      </c>
      <c r="U1117">
        <v>42.829374999999999</v>
      </c>
      <c r="V1117">
        <v>0</v>
      </c>
      <c r="W1117">
        <v>0</v>
      </c>
      <c r="X1117">
        <v>1</v>
      </c>
      <c r="Y1117" s="6">
        <v>46082</v>
      </c>
    </row>
    <row r="1118" spans="1:26" x14ac:dyDescent="0.3">
      <c r="A1118" t="s">
        <v>1223</v>
      </c>
      <c r="B1118" s="5">
        <v>46121</v>
      </c>
      <c r="C1118" s="5">
        <v>46122</v>
      </c>
      <c r="D1118" s="5">
        <v>46124</v>
      </c>
      <c r="E1118" s="5">
        <v>46124</v>
      </c>
      <c r="F1118" t="s">
        <v>34</v>
      </c>
      <c r="G1118" t="s">
        <v>61</v>
      </c>
      <c r="H1118" t="s">
        <v>20</v>
      </c>
      <c r="I1118" t="s">
        <v>43</v>
      </c>
      <c r="J1118">
        <v>19.899999999999999</v>
      </c>
      <c r="K1118">
        <v>2588.4</v>
      </c>
      <c r="L1118">
        <v>2014000</v>
      </c>
      <c r="M1118" t="b">
        <v>0</v>
      </c>
      <c r="N1118" t="b">
        <v>0</v>
      </c>
      <c r="O1118">
        <v>5000</v>
      </c>
      <c r="P1118" t="b">
        <v>0</v>
      </c>
      <c r="Q1118" t="b">
        <v>0</v>
      </c>
      <c r="R1118" t="b">
        <v>0</v>
      </c>
      <c r="S1118" t="s">
        <v>96</v>
      </c>
      <c r="T1118" t="s">
        <v>1638</v>
      </c>
      <c r="U1118">
        <v>51.768000000000001</v>
      </c>
      <c r="V1118">
        <v>0</v>
      </c>
      <c r="W1118">
        <v>0</v>
      </c>
      <c r="X1118">
        <v>2</v>
      </c>
      <c r="Y1118" s="6">
        <v>46113</v>
      </c>
    </row>
    <row r="1119" spans="1:26" x14ac:dyDescent="0.3">
      <c r="A1119" t="s">
        <v>1224</v>
      </c>
      <c r="B1119" s="5">
        <v>46024</v>
      </c>
      <c r="C1119" s="5">
        <v>46024</v>
      </c>
      <c r="D1119" s="5">
        <v>46026</v>
      </c>
      <c r="E1119" s="5">
        <v>46026</v>
      </c>
      <c r="F1119" t="s">
        <v>32</v>
      </c>
      <c r="G1119" t="s">
        <v>59</v>
      </c>
      <c r="H1119" t="s">
        <v>21</v>
      </c>
      <c r="I1119" t="s">
        <v>43</v>
      </c>
      <c r="J1119">
        <v>161</v>
      </c>
      <c r="K1119">
        <v>1747.3</v>
      </c>
      <c r="L1119">
        <v>3516000</v>
      </c>
      <c r="M1119" t="b">
        <v>0</v>
      </c>
      <c r="N1119" t="b">
        <v>0</v>
      </c>
      <c r="O1119">
        <v>5000</v>
      </c>
      <c r="P1119" t="b">
        <v>0</v>
      </c>
      <c r="Q1119" t="b">
        <v>0</v>
      </c>
      <c r="R1119" t="b">
        <v>0</v>
      </c>
      <c r="S1119" t="s">
        <v>96</v>
      </c>
      <c r="T1119" t="s">
        <v>1619</v>
      </c>
      <c r="U1119">
        <v>34.945999999999998</v>
      </c>
      <c r="V1119">
        <v>0</v>
      </c>
      <c r="W1119">
        <v>0</v>
      </c>
      <c r="X1119">
        <v>2</v>
      </c>
      <c r="Y1119" s="6">
        <v>46023</v>
      </c>
    </row>
    <row r="1120" spans="1:26" x14ac:dyDescent="0.3">
      <c r="A1120" t="s">
        <v>1225</v>
      </c>
      <c r="B1120" s="5">
        <v>46073</v>
      </c>
      <c r="C1120" s="5">
        <v>46074</v>
      </c>
      <c r="D1120" s="5">
        <v>46076</v>
      </c>
      <c r="E1120" s="5">
        <v>46076</v>
      </c>
      <c r="F1120" t="s">
        <v>32</v>
      </c>
      <c r="G1120" t="s">
        <v>61</v>
      </c>
      <c r="H1120" t="s">
        <v>22</v>
      </c>
      <c r="I1120" t="s">
        <v>43</v>
      </c>
      <c r="J1120">
        <v>157.6</v>
      </c>
      <c r="K1120">
        <v>3963.3</v>
      </c>
      <c r="L1120">
        <v>4270000</v>
      </c>
      <c r="M1120" t="b">
        <v>0</v>
      </c>
      <c r="N1120" t="b">
        <v>0</v>
      </c>
      <c r="O1120">
        <v>5000</v>
      </c>
      <c r="P1120" t="b">
        <v>0</v>
      </c>
      <c r="Q1120" t="b">
        <v>0</v>
      </c>
      <c r="R1120" t="b">
        <v>0</v>
      </c>
      <c r="S1120" t="s">
        <v>96</v>
      </c>
      <c r="T1120" t="s">
        <v>1653</v>
      </c>
      <c r="U1120">
        <v>79.266000000000005</v>
      </c>
      <c r="V1120">
        <v>0</v>
      </c>
      <c r="W1120">
        <v>0</v>
      </c>
      <c r="X1120">
        <v>2</v>
      </c>
      <c r="Y1120" s="6">
        <v>46054</v>
      </c>
    </row>
    <row r="1121" spans="1:26" x14ac:dyDescent="0.3">
      <c r="A1121" t="s">
        <v>1226</v>
      </c>
      <c r="B1121" s="5">
        <v>46033</v>
      </c>
      <c r="C1121" s="5">
        <v>46033</v>
      </c>
      <c r="D1121" s="5">
        <v>46035</v>
      </c>
      <c r="E1121" s="5">
        <v>46038</v>
      </c>
      <c r="F1121" t="s">
        <v>34</v>
      </c>
      <c r="G1121" t="s">
        <v>52</v>
      </c>
      <c r="H1121" t="s">
        <v>24</v>
      </c>
      <c r="I1121" t="s">
        <v>43</v>
      </c>
      <c r="J1121">
        <v>264.2</v>
      </c>
      <c r="K1121">
        <v>2356.4</v>
      </c>
      <c r="L1121">
        <v>4906000</v>
      </c>
      <c r="M1121" t="b">
        <v>0</v>
      </c>
      <c r="N1121" t="b">
        <v>0</v>
      </c>
      <c r="O1121">
        <v>5000</v>
      </c>
      <c r="P1121" t="b">
        <v>0</v>
      </c>
      <c r="Q1121" t="b">
        <v>0</v>
      </c>
      <c r="R1121" t="b">
        <v>0</v>
      </c>
      <c r="S1121" t="s">
        <v>101</v>
      </c>
      <c r="T1121" t="s">
        <v>1623</v>
      </c>
      <c r="U1121">
        <v>47.128</v>
      </c>
      <c r="V1121">
        <v>0</v>
      </c>
      <c r="W1121">
        <v>0</v>
      </c>
      <c r="X1121">
        <v>5</v>
      </c>
      <c r="Y1121" s="6">
        <v>46023</v>
      </c>
      <c r="Z1121">
        <v>3</v>
      </c>
    </row>
    <row r="1122" spans="1:26" x14ac:dyDescent="0.3">
      <c r="A1122" t="s">
        <v>1227</v>
      </c>
      <c r="B1122" s="5">
        <v>46024</v>
      </c>
      <c r="C1122" s="5">
        <v>46025</v>
      </c>
      <c r="D1122" s="5">
        <v>46026</v>
      </c>
      <c r="E1122" s="5">
        <v>46026</v>
      </c>
      <c r="F1122" t="s">
        <v>32</v>
      </c>
      <c r="G1122" t="s">
        <v>57</v>
      </c>
      <c r="H1122" t="s">
        <v>24</v>
      </c>
      <c r="I1122" t="s">
        <v>44</v>
      </c>
      <c r="J1122">
        <v>24.3</v>
      </c>
      <c r="K1122">
        <v>860.8</v>
      </c>
      <c r="L1122">
        <v>1071000</v>
      </c>
      <c r="M1122" t="b">
        <v>0</v>
      </c>
      <c r="N1122" t="b">
        <v>0</v>
      </c>
      <c r="O1122">
        <v>1500</v>
      </c>
      <c r="P1122" t="b">
        <v>0</v>
      </c>
      <c r="Q1122" t="b">
        <v>0</v>
      </c>
      <c r="R1122" t="b">
        <v>0</v>
      </c>
      <c r="S1122" t="s">
        <v>96</v>
      </c>
      <c r="T1122" t="s">
        <v>1630</v>
      </c>
      <c r="U1122">
        <v>57.386666666666663</v>
      </c>
      <c r="V1122">
        <v>0</v>
      </c>
      <c r="W1122">
        <v>0</v>
      </c>
      <c r="X1122">
        <v>1</v>
      </c>
      <c r="Y1122" s="6">
        <v>46023</v>
      </c>
    </row>
    <row r="1123" spans="1:26" x14ac:dyDescent="0.3">
      <c r="A1123" t="s">
        <v>1228</v>
      </c>
      <c r="B1123" s="5">
        <v>46160</v>
      </c>
      <c r="C1123" s="5">
        <v>46162</v>
      </c>
      <c r="D1123" s="5">
        <v>46163</v>
      </c>
      <c r="E1123" s="5">
        <v>46163</v>
      </c>
      <c r="F1123" t="s">
        <v>34</v>
      </c>
      <c r="G1123" t="s">
        <v>55</v>
      </c>
      <c r="H1123" t="s">
        <v>21</v>
      </c>
      <c r="I1123" t="s">
        <v>43</v>
      </c>
      <c r="J1123">
        <v>57.9</v>
      </c>
      <c r="K1123">
        <v>1777.7</v>
      </c>
      <c r="L1123">
        <v>2251000</v>
      </c>
      <c r="M1123" t="b">
        <v>0</v>
      </c>
      <c r="N1123" t="b">
        <v>0</v>
      </c>
      <c r="O1123">
        <v>5000</v>
      </c>
      <c r="P1123" t="b">
        <v>0</v>
      </c>
      <c r="Q1123" t="b">
        <v>0</v>
      </c>
      <c r="R1123" t="b">
        <v>0</v>
      </c>
      <c r="S1123" t="s">
        <v>96</v>
      </c>
      <c r="T1123" t="s">
        <v>1639</v>
      </c>
      <c r="U1123">
        <v>35.554000000000002</v>
      </c>
      <c r="V1123">
        <v>0</v>
      </c>
      <c r="W1123">
        <v>0</v>
      </c>
      <c r="X1123">
        <v>1</v>
      </c>
      <c r="Y1123" s="6">
        <v>46143</v>
      </c>
    </row>
    <row r="1124" spans="1:26" x14ac:dyDescent="0.3">
      <c r="A1124" t="s">
        <v>1229</v>
      </c>
      <c r="B1124" s="5">
        <v>46128</v>
      </c>
      <c r="C1124" s="5">
        <v>46129</v>
      </c>
      <c r="D1124" s="5">
        <v>46132</v>
      </c>
      <c r="E1124" s="5">
        <v>46133</v>
      </c>
      <c r="F1124" t="s">
        <v>34</v>
      </c>
      <c r="G1124" t="s">
        <v>58</v>
      </c>
      <c r="H1124" t="s">
        <v>24</v>
      </c>
      <c r="I1124" t="s">
        <v>44</v>
      </c>
      <c r="J1124">
        <v>154.5</v>
      </c>
      <c r="K1124">
        <v>233.1</v>
      </c>
      <c r="L1124">
        <v>1960000</v>
      </c>
      <c r="M1124" t="b">
        <v>0</v>
      </c>
      <c r="N1124" t="b">
        <v>0</v>
      </c>
      <c r="O1124">
        <v>1500</v>
      </c>
      <c r="P1124" t="b">
        <v>0</v>
      </c>
      <c r="Q1124" t="b">
        <v>0</v>
      </c>
      <c r="R1124" t="b">
        <v>0</v>
      </c>
      <c r="S1124" t="s">
        <v>101</v>
      </c>
      <c r="T1124" t="s">
        <v>1637</v>
      </c>
      <c r="U1124">
        <v>15.54</v>
      </c>
      <c r="V1124">
        <v>0</v>
      </c>
      <c r="W1124">
        <v>0</v>
      </c>
      <c r="X1124">
        <v>4</v>
      </c>
      <c r="Y1124" s="6">
        <v>46113</v>
      </c>
      <c r="Z1124">
        <v>1</v>
      </c>
    </row>
    <row r="1125" spans="1:26" x14ac:dyDescent="0.3">
      <c r="A1125" t="s">
        <v>1230</v>
      </c>
      <c r="B1125" s="5">
        <v>46153</v>
      </c>
      <c r="C1125" s="5">
        <v>46155</v>
      </c>
      <c r="D1125" s="5">
        <v>46157</v>
      </c>
      <c r="E1125" s="5">
        <v>46157</v>
      </c>
      <c r="F1125" t="s">
        <v>31</v>
      </c>
      <c r="G1125" t="s">
        <v>59</v>
      </c>
      <c r="H1125" t="s">
        <v>20</v>
      </c>
      <c r="I1125" t="s">
        <v>45</v>
      </c>
      <c r="J1125">
        <v>296.8</v>
      </c>
      <c r="K1125">
        <v>122.8</v>
      </c>
      <c r="L1125">
        <v>2820000</v>
      </c>
      <c r="M1125" t="b">
        <v>0</v>
      </c>
      <c r="N1125" t="b">
        <v>0</v>
      </c>
      <c r="O1125">
        <v>1000</v>
      </c>
      <c r="P1125" t="b">
        <v>0</v>
      </c>
      <c r="Q1125" t="b">
        <v>0</v>
      </c>
      <c r="R1125" t="b">
        <v>0</v>
      </c>
      <c r="S1125" t="s">
        <v>96</v>
      </c>
      <c r="T1125" t="s">
        <v>1628</v>
      </c>
      <c r="U1125">
        <v>12.28</v>
      </c>
      <c r="V1125">
        <v>0</v>
      </c>
      <c r="W1125">
        <v>0</v>
      </c>
      <c r="X1125">
        <v>2</v>
      </c>
      <c r="Y1125" s="6">
        <v>46143</v>
      </c>
    </row>
    <row r="1126" spans="1:26" x14ac:dyDescent="0.3">
      <c r="A1126" t="s">
        <v>1231</v>
      </c>
      <c r="B1126" s="5">
        <v>46048</v>
      </c>
      <c r="C1126" s="5">
        <v>46049</v>
      </c>
      <c r="D1126" s="5">
        <v>46053</v>
      </c>
      <c r="E1126" s="5">
        <v>46053</v>
      </c>
      <c r="F1126" t="s">
        <v>31</v>
      </c>
      <c r="G1126" t="s">
        <v>56</v>
      </c>
      <c r="H1126" t="s">
        <v>21</v>
      </c>
      <c r="I1126" t="s">
        <v>44</v>
      </c>
      <c r="J1126">
        <v>852.4</v>
      </c>
      <c r="K1126">
        <v>774.6</v>
      </c>
      <c r="L1126">
        <v>8147000</v>
      </c>
      <c r="M1126" t="b">
        <v>0</v>
      </c>
      <c r="N1126" t="b">
        <v>0</v>
      </c>
      <c r="O1126">
        <v>1500</v>
      </c>
      <c r="P1126" t="b">
        <v>0</v>
      </c>
      <c r="Q1126" t="b">
        <v>0</v>
      </c>
      <c r="R1126" t="b">
        <v>0</v>
      </c>
      <c r="S1126" t="s">
        <v>96</v>
      </c>
      <c r="T1126" t="s">
        <v>1614</v>
      </c>
      <c r="U1126">
        <v>51.64</v>
      </c>
      <c r="V1126">
        <v>0</v>
      </c>
      <c r="W1126">
        <v>0</v>
      </c>
      <c r="X1126">
        <v>4</v>
      </c>
      <c r="Y1126" s="6">
        <v>46023</v>
      </c>
    </row>
    <row r="1127" spans="1:26" x14ac:dyDescent="0.3">
      <c r="A1127" t="s">
        <v>1232</v>
      </c>
      <c r="B1127" s="5">
        <v>46111</v>
      </c>
      <c r="C1127" s="5">
        <v>46112</v>
      </c>
      <c r="D1127" s="5">
        <v>46113</v>
      </c>
      <c r="E1127" s="5">
        <v>46116</v>
      </c>
      <c r="F1127" t="s">
        <v>34</v>
      </c>
      <c r="G1127" t="s">
        <v>55</v>
      </c>
      <c r="H1127" t="s">
        <v>24</v>
      </c>
      <c r="I1127" t="s">
        <v>42</v>
      </c>
      <c r="J1127">
        <v>58.8</v>
      </c>
      <c r="K1127">
        <v>14706.1</v>
      </c>
      <c r="L1127">
        <v>6896000</v>
      </c>
      <c r="M1127" t="b">
        <v>0</v>
      </c>
      <c r="N1127" t="b">
        <v>0</v>
      </c>
      <c r="O1127">
        <v>16000</v>
      </c>
      <c r="P1127" t="b">
        <v>0</v>
      </c>
      <c r="Q1127" t="b">
        <v>0</v>
      </c>
      <c r="R1127" t="b">
        <v>0</v>
      </c>
      <c r="S1127" t="s">
        <v>101</v>
      </c>
      <c r="T1127" t="s">
        <v>1639</v>
      </c>
      <c r="U1127">
        <v>91.913124999999994</v>
      </c>
      <c r="V1127">
        <v>0</v>
      </c>
      <c r="W1127">
        <v>0</v>
      </c>
      <c r="X1127">
        <v>4</v>
      </c>
      <c r="Y1127" s="6">
        <v>46082</v>
      </c>
      <c r="Z1127">
        <v>3</v>
      </c>
    </row>
    <row r="1128" spans="1:26" x14ac:dyDescent="0.3">
      <c r="A1128" t="s">
        <v>1233</v>
      </c>
      <c r="B1128" s="5">
        <v>46156</v>
      </c>
      <c r="C1128" s="5">
        <v>46157</v>
      </c>
      <c r="D1128" s="5">
        <v>46160</v>
      </c>
      <c r="E1128" s="5">
        <v>46160</v>
      </c>
      <c r="F1128" t="s">
        <v>34</v>
      </c>
      <c r="G1128" t="s">
        <v>63</v>
      </c>
      <c r="H1128" t="s">
        <v>21</v>
      </c>
      <c r="I1128" t="s">
        <v>45</v>
      </c>
      <c r="J1128">
        <v>308</v>
      </c>
      <c r="K1128">
        <v>716.9</v>
      </c>
      <c r="L1128">
        <v>3362000</v>
      </c>
      <c r="M1128" t="b">
        <v>0</v>
      </c>
      <c r="N1128" t="b">
        <v>0</v>
      </c>
      <c r="O1128">
        <v>1000</v>
      </c>
      <c r="P1128" t="b">
        <v>0</v>
      </c>
      <c r="Q1128" t="b">
        <v>0</v>
      </c>
      <c r="R1128" t="b">
        <v>0</v>
      </c>
      <c r="S1128" t="s">
        <v>96</v>
      </c>
      <c r="T1128" t="s">
        <v>1613</v>
      </c>
      <c r="U1128">
        <v>71.69</v>
      </c>
      <c r="V1128">
        <v>0</v>
      </c>
      <c r="W1128">
        <v>0</v>
      </c>
      <c r="X1128">
        <v>3</v>
      </c>
      <c r="Y1128" s="6">
        <v>46143</v>
      </c>
    </row>
    <row r="1129" spans="1:26" x14ac:dyDescent="0.3">
      <c r="A1129" t="s">
        <v>1234</v>
      </c>
      <c r="B1129" s="5">
        <v>46098</v>
      </c>
      <c r="C1129" s="5">
        <v>46099</v>
      </c>
      <c r="D1129" s="5">
        <v>46103</v>
      </c>
      <c r="E1129" s="5">
        <v>46103</v>
      </c>
      <c r="F1129" t="s">
        <v>34</v>
      </c>
      <c r="G1129" t="s">
        <v>56</v>
      </c>
      <c r="H1129" t="s">
        <v>22</v>
      </c>
      <c r="I1129" t="s">
        <v>43</v>
      </c>
      <c r="J1129">
        <v>944.1</v>
      </c>
      <c r="K1129">
        <v>4037</v>
      </c>
      <c r="L1129">
        <v>15635000</v>
      </c>
      <c r="M1129" t="b">
        <v>0</v>
      </c>
      <c r="N1129" t="b">
        <v>0</v>
      </c>
      <c r="O1129">
        <v>5000</v>
      </c>
      <c r="P1129" t="b">
        <v>0</v>
      </c>
      <c r="Q1129" t="b">
        <v>0</v>
      </c>
      <c r="R1129" t="b">
        <v>0</v>
      </c>
      <c r="S1129" t="s">
        <v>96</v>
      </c>
      <c r="T1129" t="s">
        <v>1646</v>
      </c>
      <c r="U1129">
        <v>80.739999999999995</v>
      </c>
      <c r="V1129">
        <v>0</v>
      </c>
      <c r="W1129">
        <v>0</v>
      </c>
      <c r="X1129">
        <v>4</v>
      </c>
      <c r="Y1129" s="6">
        <v>46082</v>
      </c>
    </row>
    <row r="1130" spans="1:26" x14ac:dyDescent="0.3">
      <c r="A1130" t="s">
        <v>1235</v>
      </c>
      <c r="B1130" s="5">
        <v>46168</v>
      </c>
      <c r="C1130" s="5">
        <v>46168</v>
      </c>
      <c r="D1130" s="5">
        <v>46172</v>
      </c>
      <c r="E1130" s="5">
        <v>46172</v>
      </c>
      <c r="F1130" t="s">
        <v>32</v>
      </c>
      <c r="G1130" t="s">
        <v>52</v>
      </c>
      <c r="H1130" t="s">
        <v>20</v>
      </c>
      <c r="I1130" t="s">
        <v>45</v>
      </c>
      <c r="J1130">
        <v>329.9</v>
      </c>
      <c r="K1130">
        <v>602</v>
      </c>
      <c r="L1130">
        <v>3757000</v>
      </c>
      <c r="M1130" t="b">
        <v>0</v>
      </c>
      <c r="N1130" t="b">
        <v>0</v>
      </c>
      <c r="O1130">
        <v>1000</v>
      </c>
      <c r="P1130" t="b">
        <v>0</v>
      </c>
      <c r="Q1130" t="b">
        <v>0</v>
      </c>
      <c r="R1130" t="b">
        <v>0</v>
      </c>
      <c r="S1130" t="s">
        <v>96</v>
      </c>
      <c r="T1130" t="s">
        <v>1611</v>
      </c>
      <c r="U1130">
        <v>60.2</v>
      </c>
      <c r="V1130">
        <v>0</v>
      </c>
      <c r="W1130">
        <v>0</v>
      </c>
      <c r="X1130">
        <v>4</v>
      </c>
      <c r="Y1130" s="6">
        <v>46143</v>
      </c>
    </row>
    <row r="1131" spans="1:26" x14ac:dyDescent="0.3">
      <c r="A1131" t="s">
        <v>1236</v>
      </c>
      <c r="B1131" s="5">
        <v>46079</v>
      </c>
      <c r="C1131" s="5">
        <v>46079</v>
      </c>
      <c r="D1131" s="5">
        <v>46083</v>
      </c>
      <c r="E1131" s="5">
        <v>46083</v>
      </c>
      <c r="F1131" t="s">
        <v>32</v>
      </c>
      <c r="G1131" t="s">
        <v>62</v>
      </c>
      <c r="H1131" t="s">
        <v>22</v>
      </c>
      <c r="I1131" t="s">
        <v>43</v>
      </c>
      <c r="J1131">
        <v>619.20000000000005</v>
      </c>
      <c r="K1131">
        <v>1957.9</v>
      </c>
      <c r="L1131">
        <v>7622000</v>
      </c>
      <c r="M1131" t="b">
        <v>0</v>
      </c>
      <c r="N1131" t="b">
        <v>0</v>
      </c>
      <c r="O1131">
        <v>5000</v>
      </c>
      <c r="P1131" t="b">
        <v>0</v>
      </c>
      <c r="Q1131" t="b">
        <v>0</v>
      </c>
      <c r="R1131" t="b">
        <v>0</v>
      </c>
      <c r="S1131" t="s">
        <v>96</v>
      </c>
      <c r="T1131" t="s">
        <v>1641</v>
      </c>
      <c r="U1131">
        <v>39.158000000000001</v>
      </c>
      <c r="V1131">
        <v>0</v>
      </c>
      <c r="W1131">
        <v>0</v>
      </c>
      <c r="X1131">
        <v>4</v>
      </c>
      <c r="Y1131" s="6">
        <v>46054</v>
      </c>
    </row>
    <row r="1132" spans="1:26" x14ac:dyDescent="0.3">
      <c r="A1132" t="s">
        <v>1237</v>
      </c>
      <c r="B1132" s="5">
        <v>46158</v>
      </c>
      <c r="C1132" s="5">
        <v>46159</v>
      </c>
      <c r="D1132" s="5">
        <v>46162</v>
      </c>
      <c r="E1132" s="5">
        <v>46162</v>
      </c>
      <c r="F1132" t="s">
        <v>31</v>
      </c>
      <c r="G1132" t="s">
        <v>54</v>
      </c>
      <c r="H1132" t="s">
        <v>22</v>
      </c>
      <c r="I1132" t="s">
        <v>45</v>
      </c>
      <c r="J1132">
        <v>435.3</v>
      </c>
      <c r="K1132">
        <v>137.30000000000001</v>
      </c>
      <c r="L1132">
        <v>4485000</v>
      </c>
      <c r="M1132" t="b">
        <v>0</v>
      </c>
      <c r="N1132" t="b">
        <v>0</v>
      </c>
      <c r="O1132">
        <v>1000</v>
      </c>
      <c r="P1132" t="b">
        <v>0</v>
      </c>
      <c r="Q1132" t="b">
        <v>0</v>
      </c>
      <c r="R1132" t="b">
        <v>0</v>
      </c>
      <c r="S1132" t="s">
        <v>96</v>
      </c>
      <c r="T1132" t="s">
        <v>1631</v>
      </c>
      <c r="U1132">
        <v>13.73</v>
      </c>
      <c r="V1132">
        <v>0</v>
      </c>
      <c r="W1132">
        <v>0</v>
      </c>
      <c r="X1132">
        <v>3</v>
      </c>
      <c r="Y1132" s="6">
        <v>46143</v>
      </c>
    </row>
    <row r="1133" spans="1:26" x14ac:dyDescent="0.3">
      <c r="A1133" t="s">
        <v>1238</v>
      </c>
      <c r="B1133" s="5">
        <v>46081</v>
      </c>
      <c r="C1133" s="5">
        <v>46082</v>
      </c>
      <c r="D1133" s="5">
        <v>46086</v>
      </c>
      <c r="E1133" s="5">
        <v>46086</v>
      </c>
      <c r="F1133" t="s">
        <v>33</v>
      </c>
      <c r="G1133" t="s">
        <v>56</v>
      </c>
      <c r="H1133" t="s">
        <v>20</v>
      </c>
      <c r="I1133" t="s">
        <v>44</v>
      </c>
      <c r="J1133">
        <v>1414.8</v>
      </c>
      <c r="K1133">
        <v>353.2</v>
      </c>
      <c r="L1133">
        <v>14372000</v>
      </c>
      <c r="M1133" t="b">
        <v>0</v>
      </c>
      <c r="N1133" t="b">
        <v>0</v>
      </c>
      <c r="O1133">
        <v>1500</v>
      </c>
      <c r="P1133" t="b">
        <v>0</v>
      </c>
      <c r="Q1133" t="b">
        <v>0</v>
      </c>
      <c r="R1133" t="b">
        <v>0</v>
      </c>
      <c r="S1133" t="s">
        <v>96</v>
      </c>
      <c r="T1133" t="s">
        <v>1654</v>
      </c>
      <c r="U1133">
        <v>23.54666666666667</v>
      </c>
      <c r="V1133">
        <v>0</v>
      </c>
      <c r="W1133">
        <v>0</v>
      </c>
      <c r="X1133">
        <v>4</v>
      </c>
      <c r="Y1133" s="6">
        <v>46082</v>
      </c>
    </row>
    <row r="1134" spans="1:26" x14ac:dyDescent="0.3">
      <c r="A1134" t="s">
        <v>1239</v>
      </c>
      <c r="B1134" s="5">
        <v>46104</v>
      </c>
      <c r="C1134" s="5">
        <v>46104</v>
      </c>
      <c r="D1134" s="5">
        <v>46109</v>
      </c>
      <c r="E1134" s="5">
        <v>46109</v>
      </c>
      <c r="F1134" t="s">
        <v>33</v>
      </c>
      <c r="G1134" t="s">
        <v>56</v>
      </c>
      <c r="H1134" t="s">
        <v>24</v>
      </c>
      <c r="I1134" t="s">
        <v>45</v>
      </c>
      <c r="J1134">
        <v>1429.1</v>
      </c>
      <c r="K1134">
        <v>413.1</v>
      </c>
      <c r="L1134">
        <v>11089000</v>
      </c>
      <c r="M1134" t="b">
        <v>0</v>
      </c>
      <c r="N1134" t="b">
        <v>0</v>
      </c>
      <c r="O1134">
        <v>1000</v>
      </c>
      <c r="P1134" t="b">
        <v>0</v>
      </c>
      <c r="Q1134" t="b">
        <v>0</v>
      </c>
      <c r="R1134" t="b">
        <v>0</v>
      </c>
      <c r="S1134" t="s">
        <v>96</v>
      </c>
      <c r="T1134" t="s">
        <v>1654</v>
      </c>
      <c r="U1134">
        <v>41.31</v>
      </c>
      <c r="V1134">
        <v>0</v>
      </c>
      <c r="W1134">
        <v>0</v>
      </c>
      <c r="X1134">
        <v>5</v>
      </c>
      <c r="Y1134" s="6">
        <v>46082</v>
      </c>
    </row>
    <row r="1135" spans="1:26" x14ac:dyDescent="0.3">
      <c r="A1135" t="s">
        <v>1240</v>
      </c>
      <c r="B1135" s="5">
        <v>46053</v>
      </c>
      <c r="C1135" s="5">
        <v>46054</v>
      </c>
      <c r="D1135" s="5">
        <v>46056</v>
      </c>
      <c r="E1135" s="5">
        <v>46056</v>
      </c>
      <c r="F1135" t="s">
        <v>32</v>
      </c>
      <c r="G1135" t="s">
        <v>59</v>
      </c>
      <c r="H1135" t="s">
        <v>21</v>
      </c>
      <c r="I1135" t="s">
        <v>42</v>
      </c>
      <c r="J1135">
        <v>176.5</v>
      </c>
      <c r="K1135">
        <v>14528.8</v>
      </c>
      <c r="L1135">
        <v>8002000</v>
      </c>
      <c r="M1135" t="b">
        <v>0</v>
      </c>
      <c r="N1135" t="b">
        <v>0</v>
      </c>
      <c r="O1135">
        <v>16000</v>
      </c>
      <c r="P1135" t="b">
        <v>0</v>
      </c>
      <c r="Q1135" t="b">
        <v>0</v>
      </c>
      <c r="R1135" t="b">
        <v>0</v>
      </c>
      <c r="S1135" t="s">
        <v>96</v>
      </c>
      <c r="T1135" t="s">
        <v>1619</v>
      </c>
      <c r="U1135">
        <v>90.805000000000007</v>
      </c>
      <c r="V1135">
        <v>0</v>
      </c>
      <c r="W1135">
        <v>0</v>
      </c>
      <c r="X1135">
        <v>2</v>
      </c>
      <c r="Y1135" s="6">
        <v>46054</v>
      </c>
    </row>
    <row r="1136" spans="1:26" x14ac:dyDescent="0.3">
      <c r="A1136" t="s">
        <v>1241</v>
      </c>
      <c r="B1136" s="5">
        <v>46034</v>
      </c>
      <c r="C1136" s="5">
        <v>46035</v>
      </c>
      <c r="D1136" s="5">
        <v>46038</v>
      </c>
      <c r="E1136" s="5">
        <v>46038</v>
      </c>
      <c r="F1136" t="s">
        <v>34</v>
      </c>
      <c r="G1136" t="s">
        <v>63</v>
      </c>
      <c r="H1136" t="s">
        <v>21</v>
      </c>
      <c r="I1136" t="s">
        <v>43</v>
      </c>
      <c r="J1136">
        <v>342.6</v>
      </c>
      <c r="K1136">
        <v>598.70000000000005</v>
      </c>
      <c r="L1136">
        <v>4637000</v>
      </c>
      <c r="M1136" t="b">
        <v>0</v>
      </c>
      <c r="N1136" t="b">
        <v>0</v>
      </c>
      <c r="O1136">
        <v>5000</v>
      </c>
      <c r="P1136" t="b">
        <v>0</v>
      </c>
      <c r="Q1136" t="b">
        <v>0</v>
      </c>
      <c r="R1136" t="b">
        <v>0</v>
      </c>
      <c r="S1136" t="s">
        <v>96</v>
      </c>
      <c r="T1136" t="s">
        <v>1613</v>
      </c>
      <c r="U1136">
        <v>11.974</v>
      </c>
      <c r="V1136">
        <v>0</v>
      </c>
      <c r="W1136">
        <v>0</v>
      </c>
      <c r="X1136">
        <v>3</v>
      </c>
      <c r="Y1136" s="6">
        <v>46023</v>
      </c>
    </row>
    <row r="1137" spans="1:26" x14ac:dyDescent="0.3">
      <c r="A1137" t="s">
        <v>1242</v>
      </c>
      <c r="B1137" s="5">
        <v>46062</v>
      </c>
      <c r="C1137" s="5">
        <v>46063</v>
      </c>
      <c r="D1137" s="5">
        <v>46064</v>
      </c>
      <c r="E1137" s="5"/>
      <c r="F1137" t="s">
        <v>32</v>
      </c>
      <c r="G1137" t="s">
        <v>57</v>
      </c>
      <c r="H1137" t="s">
        <v>21</v>
      </c>
      <c r="I1137" t="s">
        <v>44</v>
      </c>
      <c r="J1137">
        <v>30.7</v>
      </c>
      <c r="K1137">
        <v>1345.8</v>
      </c>
      <c r="L1137">
        <v>1457000</v>
      </c>
      <c r="M1137" t="b">
        <v>0</v>
      </c>
      <c r="N1137" t="b">
        <v>0</v>
      </c>
      <c r="O1137">
        <v>1500</v>
      </c>
      <c r="P1137" t="b">
        <v>0</v>
      </c>
      <c r="Q1137" t="b">
        <v>0</v>
      </c>
      <c r="R1137" t="b">
        <v>0</v>
      </c>
      <c r="S1137" t="s">
        <v>203</v>
      </c>
      <c r="T1137" t="s">
        <v>1630</v>
      </c>
      <c r="U1137">
        <v>89.72</v>
      </c>
      <c r="V1137">
        <v>0</v>
      </c>
      <c r="W1137">
        <v>0</v>
      </c>
      <c r="Y1137" s="6">
        <v>46054</v>
      </c>
    </row>
    <row r="1138" spans="1:26" x14ac:dyDescent="0.3">
      <c r="A1138" t="s">
        <v>1243</v>
      </c>
      <c r="B1138" s="5">
        <v>46185</v>
      </c>
      <c r="C1138" s="5">
        <v>46186</v>
      </c>
      <c r="D1138" s="5">
        <v>46190</v>
      </c>
      <c r="E1138" s="5">
        <v>46191</v>
      </c>
      <c r="F1138" t="s">
        <v>34</v>
      </c>
      <c r="G1138" t="s">
        <v>62</v>
      </c>
      <c r="H1138" t="s">
        <v>23</v>
      </c>
      <c r="I1138" t="s">
        <v>45</v>
      </c>
      <c r="J1138">
        <v>607.5</v>
      </c>
      <c r="K1138">
        <v>169.6</v>
      </c>
      <c r="L1138">
        <v>5893000</v>
      </c>
      <c r="M1138" t="b">
        <v>0</v>
      </c>
      <c r="N1138" t="b">
        <v>0</v>
      </c>
      <c r="O1138">
        <v>1000</v>
      </c>
      <c r="P1138" t="b">
        <v>0</v>
      </c>
      <c r="Q1138" t="b">
        <v>0</v>
      </c>
      <c r="R1138" t="b">
        <v>0</v>
      </c>
      <c r="S1138" t="s">
        <v>101</v>
      </c>
      <c r="T1138" t="s">
        <v>1649</v>
      </c>
      <c r="U1138">
        <v>16.96</v>
      </c>
      <c r="V1138">
        <v>0</v>
      </c>
      <c r="W1138">
        <v>0</v>
      </c>
      <c r="X1138">
        <v>5</v>
      </c>
      <c r="Y1138" s="6">
        <v>46174</v>
      </c>
      <c r="Z1138">
        <v>1</v>
      </c>
    </row>
    <row r="1139" spans="1:26" x14ac:dyDescent="0.3">
      <c r="A1139" t="s">
        <v>1244</v>
      </c>
      <c r="B1139" s="5">
        <v>46056</v>
      </c>
      <c r="C1139" s="5">
        <v>46057</v>
      </c>
      <c r="D1139" s="5">
        <v>46058</v>
      </c>
      <c r="E1139" s="5">
        <v>46058</v>
      </c>
      <c r="F1139" t="s">
        <v>34</v>
      </c>
      <c r="G1139" t="s">
        <v>55</v>
      </c>
      <c r="H1139" t="s">
        <v>24</v>
      </c>
      <c r="I1139" t="s">
        <v>45</v>
      </c>
      <c r="J1139">
        <v>45.1</v>
      </c>
      <c r="K1139">
        <v>329.9</v>
      </c>
      <c r="L1139">
        <v>925000</v>
      </c>
      <c r="M1139" t="b">
        <v>0</v>
      </c>
      <c r="N1139" t="b">
        <v>0</v>
      </c>
      <c r="O1139">
        <v>1000</v>
      </c>
      <c r="P1139" t="b">
        <v>0</v>
      </c>
      <c r="Q1139" t="b">
        <v>0</v>
      </c>
      <c r="R1139" t="b">
        <v>0</v>
      </c>
      <c r="S1139" t="s">
        <v>96</v>
      </c>
      <c r="T1139" t="s">
        <v>1639</v>
      </c>
      <c r="U1139">
        <v>32.989999999999988</v>
      </c>
      <c r="V1139">
        <v>0</v>
      </c>
      <c r="W1139">
        <v>0</v>
      </c>
      <c r="X1139">
        <v>1</v>
      </c>
      <c r="Y1139" s="6">
        <v>46054</v>
      </c>
    </row>
    <row r="1140" spans="1:26" x14ac:dyDescent="0.3">
      <c r="A1140" t="s">
        <v>1245</v>
      </c>
      <c r="B1140" s="5">
        <v>46049</v>
      </c>
      <c r="C1140" s="5">
        <v>46051</v>
      </c>
      <c r="D1140" s="5">
        <v>46055</v>
      </c>
      <c r="E1140" s="5">
        <v>46055</v>
      </c>
      <c r="F1140" t="s">
        <v>32</v>
      </c>
      <c r="G1140" t="s">
        <v>60</v>
      </c>
      <c r="H1140" t="s">
        <v>22</v>
      </c>
      <c r="I1140" t="s">
        <v>43</v>
      </c>
      <c r="J1140">
        <v>469.5</v>
      </c>
      <c r="K1140">
        <v>1337.3</v>
      </c>
      <c r="L1140">
        <v>6405000</v>
      </c>
      <c r="M1140" t="b">
        <v>0</v>
      </c>
      <c r="N1140" t="b">
        <v>0</v>
      </c>
      <c r="O1140">
        <v>5000</v>
      </c>
      <c r="P1140" t="b">
        <v>0</v>
      </c>
      <c r="Q1140" t="b">
        <v>0</v>
      </c>
      <c r="R1140" t="b">
        <v>0</v>
      </c>
      <c r="S1140" t="s">
        <v>96</v>
      </c>
      <c r="T1140" t="s">
        <v>1647</v>
      </c>
      <c r="U1140">
        <v>26.745999999999999</v>
      </c>
      <c r="V1140">
        <v>0</v>
      </c>
      <c r="W1140">
        <v>0</v>
      </c>
      <c r="X1140">
        <v>4</v>
      </c>
      <c r="Y1140" s="6">
        <v>46023</v>
      </c>
    </row>
    <row r="1141" spans="1:26" x14ac:dyDescent="0.3">
      <c r="A1141" t="s">
        <v>1246</v>
      </c>
      <c r="B1141" s="5">
        <v>46180</v>
      </c>
      <c r="C1141" s="5">
        <v>46181</v>
      </c>
      <c r="D1141" s="5">
        <v>46183</v>
      </c>
      <c r="E1141" s="5">
        <v>46183</v>
      </c>
      <c r="F1141" t="s">
        <v>31</v>
      </c>
      <c r="G1141" t="s">
        <v>58</v>
      </c>
      <c r="H1141" t="s">
        <v>22</v>
      </c>
      <c r="I1141" t="s">
        <v>43</v>
      </c>
      <c r="J1141">
        <v>196.6</v>
      </c>
      <c r="K1141">
        <v>3273.8</v>
      </c>
      <c r="L1141">
        <v>4275000</v>
      </c>
      <c r="M1141" t="b">
        <v>0</v>
      </c>
      <c r="N1141" t="b">
        <v>0</v>
      </c>
      <c r="O1141">
        <v>5000</v>
      </c>
      <c r="P1141" t="b">
        <v>0</v>
      </c>
      <c r="Q1141" t="b">
        <v>0</v>
      </c>
      <c r="R1141" t="b">
        <v>0</v>
      </c>
      <c r="S1141" t="s">
        <v>96</v>
      </c>
      <c r="T1141" t="s">
        <v>1621</v>
      </c>
      <c r="U1141">
        <v>65.475999999999999</v>
      </c>
      <c r="V1141">
        <v>0</v>
      </c>
      <c r="W1141">
        <v>0</v>
      </c>
      <c r="X1141">
        <v>2</v>
      </c>
      <c r="Y1141" s="6">
        <v>46174</v>
      </c>
    </row>
    <row r="1142" spans="1:26" x14ac:dyDescent="0.3">
      <c r="A1142" t="s">
        <v>1247</v>
      </c>
      <c r="B1142" s="5">
        <v>46043</v>
      </c>
      <c r="C1142" s="5">
        <v>46044</v>
      </c>
      <c r="D1142" s="5">
        <v>46046</v>
      </c>
      <c r="E1142" s="5">
        <v>46046</v>
      </c>
      <c r="F1142" t="s">
        <v>31</v>
      </c>
      <c r="G1142" t="s">
        <v>58</v>
      </c>
      <c r="H1142" t="s">
        <v>24</v>
      </c>
      <c r="I1142" t="s">
        <v>42</v>
      </c>
      <c r="J1142">
        <v>181.4</v>
      </c>
      <c r="K1142">
        <v>8932.7999999999993</v>
      </c>
      <c r="L1142">
        <v>7494000</v>
      </c>
      <c r="M1142" t="b">
        <v>0</v>
      </c>
      <c r="N1142" t="b">
        <v>0</v>
      </c>
      <c r="O1142">
        <v>16000</v>
      </c>
      <c r="P1142" t="b">
        <v>0</v>
      </c>
      <c r="Q1142" t="b">
        <v>0</v>
      </c>
      <c r="R1142" t="b">
        <v>0</v>
      </c>
      <c r="S1142" t="s">
        <v>96</v>
      </c>
      <c r="T1142" t="s">
        <v>1621</v>
      </c>
      <c r="U1142">
        <v>55.829999999999991</v>
      </c>
      <c r="V1142">
        <v>0</v>
      </c>
      <c r="W1142">
        <v>0</v>
      </c>
      <c r="X1142">
        <v>2</v>
      </c>
      <c r="Y1142" s="6">
        <v>46023</v>
      </c>
    </row>
    <row r="1143" spans="1:26" x14ac:dyDescent="0.3">
      <c r="A1143" t="s">
        <v>1248</v>
      </c>
      <c r="B1143" s="5">
        <v>46046</v>
      </c>
      <c r="C1143" s="5">
        <v>46047</v>
      </c>
      <c r="D1143" s="5">
        <v>46049</v>
      </c>
      <c r="E1143" s="5">
        <v>46050</v>
      </c>
      <c r="F1143" t="s">
        <v>33</v>
      </c>
      <c r="G1143" t="s">
        <v>63</v>
      </c>
      <c r="H1143" t="s">
        <v>20</v>
      </c>
      <c r="I1143" t="s">
        <v>45</v>
      </c>
      <c r="J1143">
        <v>291.89999999999998</v>
      </c>
      <c r="K1143">
        <v>495.6</v>
      </c>
      <c r="L1143">
        <v>3368000</v>
      </c>
      <c r="M1143" t="b">
        <v>0</v>
      </c>
      <c r="N1143" t="b">
        <v>0</v>
      </c>
      <c r="O1143">
        <v>1000</v>
      </c>
      <c r="P1143" t="b">
        <v>0</v>
      </c>
      <c r="Q1143" t="b">
        <v>0</v>
      </c>
      <c r="R1143" t="b">
        <v>0</v>
      </c>
      <c r="S1143" t="s">
        <v>101</v>
      </c>
      <c r="T1143" t="s">
        <v>1625</v>
      </c>
      <c r="U1143">
        <v>49.56</v>
      </c>
      <c r="V1143">
        <v>0</v>
      </c>
      <c r="W1143">
        <v>0</v>
      </c>
      <c r="X1143">
        <v>3</v>
      </c>
      <c r="Y1143" s="6">
        <v>46023</v>
      </c>
      <c r="Z1143">
        <v>1</v>
      </c>
    </row>
    <row r="1144" spans="1:26" x14ac:dyDescent="0.3">
      <c r="A1144" t="s">
        <v>1249</v>
      </c>
      <c r="B1144" s="5">
        <v>46049</v>
      </c>
      <c r="C1144" s="5">
        <v>46050</v>
      </c>
      <c r="D1144" s="5">
        <v>46054</v>
      </c>
      <c r="E1144" s="5">
        <v>46055</v>
      </c>
      <c r="F1144" t="s">
        <v>34</v>
      </c>
      <c r="G1144" t="s">
        <v>62</v>
      </c>
      <c r="H1144" t="s">
        <v>24</v>
      </c>
      <c r="I1144" t="s">
        <v>42</v>
      </c>
      <c r="J1144">
        <v>753.8</v>
      </c>
      <c r="K1144">
        <v>3846</v>
      </c>
      <c r="L1144">
        <v>14222000</v>
      </c>
      <c r="M1144" t="b">
        <v>0</v>
      </c>
      <c r="N1144" t="b">
        <v>0</v>
      </c>
      <c r="O1144">
        <v>16000</v>
      </c>
      <c r="P1144" t="b">
        <v>0</v>
      </c>
      <c r="Q1144" t="b">
        <v>0</v>
      </c>
      <c r="R1144" t="b">
        <v>0</v>
      </c>
      <c r="S1144" t="s">
        <v>101</v>
      </c>
      <c r="T1144" t="s">
        <v>1649</v>
      </c>
      <c r="U1144">
        <v>24.037500000000001</v>
      </c>
      <c r="V1144">
        <v>0</v>
      </c>
      <c r="W1144">
        <v>0</v>
      </c>
      <c r="X1144">
        <v>5</v>
      </c>
      <c r="Y1144" s="6">
        <v>46023</v>
      </c>
      <c r="Z1144">
        <v>1</v>
      </c>
    </row>
    <row r="1145" spans="1:26" x14ac:dyDescent="0.3">
      <c r="A1145" t="s">
        <v>1250</v>
      </c>
      <c r="B1145" s="5">
        <v>46038</v>
      </c>
      <c r="C1145" s="5">
        <v>46039</v>
      </c>
      <c r="D1145" s="5">
        <v>46040</v>
      </c>
      <c r="E1145" s="5">
        <v>46040</v>
      </c>
      <c r="F1145" t="s">
        <v>32</v>
      </c>
      <c r="G1145" t="s">
        <v>57</v>
      </c>
      <c r="H1145" t="s">
        <v>20</v>
      </c>
      <c r="I1145" t="s">
        <v>42</v>
      </c>
      <c r="J1145">
        <v>16.2</v>
      </c>
      <c r="K1145">
        <v>5282.8</v>
      </c>
      <c r="L1145">
        <v>2627000</v>
      </c>
      <c r="M1145" t="b">
        <v>0</v>
      </c>
      <c r="N1145" t="b">
        <v>0</v>
      </c>
      <c r="O1145">
        <v>16000</v>
      </c>
      <c r="P1145" t="b">
        <v>0</v>
      </c>
      <c r="Q1145" t="b">
        <v>0</v>
      </c>
      <c r="R1145" t="b">
        <v>0</v>
      </c>
      <c r="S1145" t="s">
        <v>96</v>
      </c>
      <c r="T1145" t="s">
        <v>1630</v>
      </c>
      <c r="U1145">
        <v>33.017499999999998</v>
      </c>
      <c r="V1145">
        <v>0</v>
      </c>
      <c r="W1145">
        <v>0</v>
      </c>
      <c r="X1145">
        <v>1</v>
      </c>
      <c r="Y1145" s="6">
        <v>46023</v>
      </c>
    </row>
    <row r="1146" spans="1:26" x14ac:dyDescent="0.3">
      <c r="A1146" t="s">
        <v>1251</v>
      </c>
      <c r="B1146" s="5">
        <v>46138</v>
      </c>
      <c r="C1146" s="5">
        <v>46138</v>
      </c>
      <c r="D1146" s="5">
        <v>46141</v>
      </c>
      <c r="E1146" s="5">
        <v>46142</v>
      </c>
      <c r="F1146" t="s">
        <v>32</v>
      </c>
      <c r="G1146" t="s">
        <v>54</v>
      </c>
      <c r="H1146" t="s">
        <v>21</v>
      </c>
      <c r="I1146" t="s">
        <v>43</v>
      </c>
      <c r="J1146">
        <v>557.5</v>
      </c>
      <c r="K1146">
        <v>942.9</v>
      </c>
      <c r="L1146">
        <v>7128000</v>
      </c>
      <c r="M1146" t="b">
        <v>0</v>
      </c>
      <c r="N1146" t="b">
        <v>0</v>
      </c>
      <c r="O1146">
        <v>5000</v>
      </c>
      <c r="P1146" t="b">
        <v>0</v>
      </c>
      <c r="Q1146" t="b">
        <v>0</v>
      </c>
      <c r="R1146" t="b">
        <v>0</v>
      </c>
      <c r="S1146" t="s">
        <v>101</v>
      </c>
      <c r="T1146" t="s">
        <v>1655</v>
      </c>
      <c r="U1146">
        <v>18.858000000000001</v>
      </c>
      <c r="V1146">
        <v>0</v>
      </c>
      <c r="W1146">
        <v>0</v>
      </c>
      <c r="X1146">
        <v>4</v>
      </c>
      <c r="Y1146" s="6">
        <v>46113</v>
      </c>
      <c r="Z1146">
        <v>1</v>
      </c>
    </row>
    <row r="1147" spans="1:26" x14ac:dyDescent="0.3">
      <c r="A1147" t="s">
        <v>1252</v>
      </c>
      <c r="B1147" s="5">
        <v>46109</v>
      </c>
      <c r="C1147" s="5">
        <v>46110</v>
      </c>
      <c r="D1147" s="5">
        <v>46113</v>
      </c>
      <c r="E1147" s="5">
        <v>46113</v>
      </c>
      <c r="F1147" t="s">
        <v>34</v>
      </c>
      <c r="G1147" t="s">
        <v>63</v>
      </c>
      <c r="H1147" t="s">
        <v>21</v>
      </c>
      <c r="I1147" t="s">
        <v>42</v>
      </c>
      <c r="J1147">
        <v>327.7</v>
      </c>
      <c r="K1147">
        <v>5393</v>
      </c>
      <c r="L1147">
        <v>8447000</v>
      </c>
      <c r="M1147" t="b">
        <v>0</v>
      </c>
      <c r="N1147" t="b">
        <v>0</v>
      </c>
      <c r="O1147">
        <v>16000</v>
      </c>
      <c r="P1147" t="b">
        <v>0</v>
      </c>
      <c r="Q1147" t="b">
        <v>0</v>
      </c>
      <c r="R1147" t="b">
        <v>0</v>
      </c>
      <c r="S1147" t="s">
        <v>96</v>
      </c>
      <c r="T1147" t="s">
        <v>1613</v>
      </c>
      <c r="U1147">
        <v>33.706249999999997</v>
      </c>
      <c r="V1147">
        <v>0</v>
      </c>
      <c r="W1147">
        <v>0</v>
      </c>
      <c r="X1147">
        <v>3</v>
      </c>
      <c r="Y1147" s="6">
        <v>46082</v>
      </c>
    </row>
    <row r="1148" spans="1:26" x14ac:dyDescent="0.3">
      <c r="A1148" t="s">
        <v>1253</v>
      </c>
      <c r="B1148" s="5">
        <v>46132</v>
      </c>
      <c r="C1148" s="5">
        <v>46133</v>
      </c>
      <c r="D1148" s="5">
        <v>46135</v>
      </c>
      <c r="E1148" s="5">
        <v>46136</v>
      </c>
      <c r="F1148" t="s">
        <v>34</v>
      </c>
      <c r="G1148" t="s">
        <v>52</v>
      </c>
      <c r="H1148" t="s">
        <v>24</v>
      </c>
      <c r="I1148" t="s">
        <v>42</v>
      </c>
      <c r="J1148">
        <v>292.60000000000002</v>
      </c>
      <c r="K1148">
        <v>9353.2000000000007</v>
      </c>
      <c r="L1148">
        <v>9299000</v>
      </c>
      <c r="M1148" t="b">
        <v>0</v>
      </c>
      <c r="N1148" t="b">
        <v>0</v>
      </c>
      <c r="O1148">
        <v>16000</v>
      </c>
      <c r="P1148" t="b">
        <v>0</v>
      </c>
      <c r="Q1148" t="b">
        <v>0</v>
      </c>
      <c r="R1148" t="b">
        <v>0</v>
      </c>
      <c r="S1148" t="s">
        <v>101</v>
      </c>
      <c r="T1148" t="s">
        <v>1623</v>
      </c>
      <c r="U1148">
        <v>58.45750000000001</v>
      </c>
      <c r="V1148">
        <v>0</v>
      </c>
      <c r="W1148">
        <v>0</v>
      </c>
      <c r="X1148">
        <v>3</v>
      </c>
      <c r="Y1148" s="6">
        <v>46113</v>
      </c>
      <c r="Z1148">
        <v>1</v>
      </c>
    </row>
    <row r="1149" spans="1:26" x14ac:dyDescent="0.3">
      <c r="A1149" t="s">
        <v>1254</v>
      </c>
      <c r="B1149" s="5">
        <v>46101</v>
      </c>
      <c r="C1149" s="5">
        <v>46103</v>
      </c>
      <c r="D1149" s="5">
        <v>46107</v>
      </c>
      <c r="E1149" s="5">
        <v>46107</v>
      </c>
      <c r="F1149" t="s">
        <v>33</v>
      </c>
      <c r="G1149" t="s">
        <v>54</v>
      </c>
      <c r="H1149" t="s">
        <v>22</v>
      </c>
      <c r="I1149" t="s">
        <v>45</v>
      </c>
      <c r="J1149">
        <v>930.3</v>
      </c>
      <c r="K1149">
        <v>481</v>
      </c>
      <c r="L1149">
        <v>8895000</v>
      </c>
      <c r="M1149" t="b">
        <v>0</v>
      </c>
      <c r="N1149" t="b">
        <v>0</v>
      </c>
      <c r="O1149">
        <v>1000</v>
      </c>
      <c r="P1149" t="b">
        <v>0</v>
      </c>
      <c r="Q1149" t="b">
        <v>0</v>
      </c>
      <c r="R1149" t="b">
        <v>0</v>
      </c>
      <c r="S1149" t="s">
        <v>96</v>
      </c>
      <c r="T1149" t="s">
        <v>1642</v>
      </c>
      <c r="U1149">
        <v>48.1</v>
      </c>
      <c r="V1149">
        <v>0</v>
      </c>
      <c r="W1149">
        <v>0</v>
      </c>
      <c r="X1149">
        <v>4</v>
      </c>
      <c r="Y1149" s="6">
        <v>46082</v>
      </c>
    </row>
    <row r="1150" spans="1:26" x14ac:dyDescent="0.3">
      <c r="A1150" t="s">
        <v>1255</v>
      </c>
      <c r="B1150" s="5">
        <v>46096</v>
      </c>
      <c r="C1150" s="5">
        <v>46098</v>
      </c>
      <c r="D1150" s="5">
        <v>46101</v>
      </c>
      <c r="E1150" s="5">
        <v>46101</v>
      </c>
      <c r="F1150" t="s">
        <v>34</v>
      </c>
      <c r="G1150" t="s">
        <v>53</v>
      </c>
      <c r="H1150" t="s">
        <v>21</v>
      </c>
      <c r="I1150" t="s">
        <v>42</v>
      </c>
      <c r="J1150">
        <v>304.60000000000002</v>
      </c>
      <c r="K1150">
        <v>12097</v>
      </c>
      <c r="L1150">
        <v>10648000</v>
      </c>
      <c r="M1150" t="b">
        <v>0</v>
      </c>
      <c r="N1150" t="b">
        <v>0</v>
      </c>
      <c r="O1150">
        <v>16000</v>
      </c>
      <c r="P1150" t="b">
        <v>0</v>
      </c>
      <c r="Q1150" t="b">
        <v>0</v>
      </c>
      <c r="R1150" t="b">
        <v>0</v>
      </c>
      <c r="S1150" t="s">
        <v>96</v>
      </c>
      <c r="T1150" t="s">
        <v>1636</v>
      </c>
      <c r="U1150">
        <v>75.606250000000003</v>
      </c>
      <c r="V1150">
        <v>0</v>
      </c>
      <c r="W1150">
        <v>0</v>
      </c>
      <c r="X1150">
        <v>3</v>
      </c>
      <c r="Y1150" s="6">
        <v>46082</v>
      </c>
    </row>
    <row r="1151" spans="1:26" x14ac:dyDescent="0.3">
      <c r="A1151" t="s">
        <v>1256</v>
      </c>
      <c r="B1151" s="5">
        <v>46066</v>
      </c>
      <c r="C1151" s="5">
        <v>46067</v>
      </c>
      <c r="D1151" s="5">
        <v>46070</v>
      </c>
      <c r="E1151" s="5">
        <v>46070</v>
      </c>
      <c r="F1151" t="s">
        <v>34</v>
      </c>
      <c r="G1151" t="s">
        <v>59</v>
      </c>
      <c r="H1151" t="s">
        <v>20</v>
      </c>
      <c r="I1151" t="s">
        <v>42</v>
      </c>
      <c r="J1151">
        <v>335</v>
      </c>
      <c r="K1151">
        <v>3941.1</v>
      </c>
      <c r="L1151">
        <v>8067000</v>
      </c>
      <c r="M1151" t="b">
        <v>0</v>
      </c>
      <c r="N1151" t="b">
        <v>0</v>
      </c>
      <c r="O1151">
        <v>16000</v>
      </c>
      <c r="P1151" t="b">
        <v>0</v>
      </c>
      <c r="Q1151" t="b">
        <v>0</v>
      </c>
      <c r="R1151" t="b">
        <v>0</v>
      </c>
      <c r="S1151" t="s">
        <v>96</v>
      </c>
      <c r="T1151" t="s">
        <v>1616</v>
      </c>
      <c r="U1151">
        <v>24.631875000000001</v>
      </c>
      <c r="V1151">
        <v>0</v>
      </c>
      <c r="W1151">
        <v>0</v>
      </c>
      <c r="X1151">
        <v>3</v>
      </c>
      <c r="Y1151" s="6">
        <v>46054</v>
      </c>
    </row>
    <row r="1152" spans="1:26" x14ac:dyDescent="0.3">
      <c r="A1152" t="s">
        <v>1257</v>
      </c>
      <c r="B1152" s="5">
        <v>46065</v>
      </c>
      <c r="C1152" s="5">
        <v>46065</v>
      </c>
      <c r="D1152" s="5">
        <v>46068</v>
      </c>
      <c r="E1152" s="5">
        <v>46069</v>
      </c>
      <c r="F1152" t="s">
        <v>33</v>
      </c>
      <c r="G1152" t="s">
        <v>57</v>
      </c>
      <c r="H1152" t="s">
        <v>21</v>
      </c>
      <c r="I1152" t="s">
        <v>44</v>
      </c>
      <c r="J1152">
        <v>448.9</v>
      </c>
      <c r="K1152">
        <v>253</v>
      </c>
      <c r="L1152">
        <v>4799000</v>
      </c>
      <c r="M1152" t="b">
        <v>0</v>
      </c>
      <c r="N1152" t="b">
        <v>0</v>
      </c>
      <c r="O1152">
        <v>1500</v>
      </c>
      <c r="P1152" t="b">
        <v>0</v>
      </c>
      <c r="Q1152" t="b">
        <v>0</v>
      </c>
      <c r="R1152" t="b">
        <v>0</v>
      </c>
      <c r="S1152" t="s">
        <v>101</v>
      </c>
      <c r="T1152" t="s">
        <v>1624</v>
      </c>
      <c r="U1152">
        <v>16.866666666666671</v>
      </c>
      <c r="V1152">
        <v>0</v>
      </c>
      <c r="W1152">
        <v>0</v>
      </c>
      <c r="X1152">
        <v>4</v>
      </c>
      <c r="Y1152" s="6">
        <v>46054</v>
      </c>
      <c r="Z1152">
        <v>1</v>
      </c>
    </row>
    <row r="1153" spans="1:26" x14ac:dyDescent="0.3">
      <c r="A1153" t="s">
        <v>1258</v>
      </c>
      <c r="B1153" s="5">
        <v>46167</v>
      </c>
      <c r="C1153" s="5">
        <v>46168</v>
      </c>
      <c r="D1153" s="5">
        <v>46172</v>
      </c>
      <c r="E1153" s="5">
        <v>46171</v>
      </c>
      <c r="F1153" t="s">
        <v>33</v>
      </c>
      <c r="G1153" t="s">
        <v>57</v>
      </c>
      <c r="H1153" t="s">
        <v>22</v>
      </c>
      <c r="I1153" t="s">
        <v>43</v>
      </c>
      <c r="J1153">
        <v>470.3</v>
      </c>
      <c r="K1153">
        <v>2475.1999999999998</v>
      </c>
      <c r="L1153">
        <v>8708000</v>
      </c>
      <c r="M1153" t="b">
        <v>0</v>
      </c>
      <c r="N1153" t="b">
        <v>0</v>
      </c>
      <c r="O1153">
        <v>5000</v>
      </c>
      <c r="P1153" t="b">
        <v>0</v>
      </c>
      <c r="Q1153" t="b">
        <v>0</v>
      </c>
      <c r="R1153" t="b">
        <v>0</v>
      </c>
      <c r="S1153" t="s">
        <v>96</v>
      </c>
      <c r="T1153" t="s">
        <v>1624</v>
      </c>
      <c r="U1153">
        <v>49.503999999999998</v>
      </c>
      <c r="V1153">
        <v>0</v>
      </c>
      <c r="W1153">
        <v>0</v>
      </c>
      <c r="X1153">
        <v>3</v>
      </c>
      <c r="Y1153" s="6">
        <v>46143</v>
      </c>
    </row>
    <row r="1154" spans="1:26" x14ac:dyDescent="0.3">
      <c r="A1154" t="s">
        <v>1259</v>
      </c>
      <c r="B1154" s="5">
        <v>46126</v>
      </c>
      <c r="C1154" s="5">
        <v>46127</v>
      </c>
      <c r="D1154" s="5">
        <v>46130</v>
      </c>
      <c r="E1154" s="5">
        <v>46130</v>
      </c>
      <c r="F1154" t="s">
        <v>32</v>
      </c>
      <c r="G1154" t="s">
        <v>52</v>
      </c>
      <c r="H1154" t="s">
        <v>23</v>
      </c>
      <c r="I1154" t="s">
        <v>42</v>
      </c>
      <c r="J1154">
        <v>339.4</v>
      </c>
      <c r="K1154">
        <v>11710.3</v>
      </c>
      <c r="L1154">
        <v>11661000</v>
      </c>
      <c r="M1154" t="b">
        <v>0</v>
      </c>
      <c r="N1154" t="b">
        <v>0</v>
      </c>
      <c r="O1154">
        <v>16000</v>
      </c>
      <c r="P1154" t="b">
        <v>0</v>
      </c>
      <c r="Q1154" t="b">
        <v>0</v>
      </c>
      <c r="R1154" t="b">
        <v>0</v>
      </c>
      <c r="S1154" t="s">
        <v>96</v>
      </c>
      <c r="T1154" t="s">
        <v>1611</v>
      </c>
      <c r="U1154">
        <v>73.189374999999998</v>
      </c>
      <c r="V1154">
        <v>0</v>
      </c>
      <c r="W1154">
        <v>0</v>
      </c>
      <c r="X1154">
        <v>3</v>
      </c>
      <c r="Y1154" s="6">
        <v>46113</v>
      </c>
    </row>
    <row r="1155" spans="1:26" x14ac:dyDescent="0.3">
      <c r="A1155" t="s">
        <v>1260</v>
      </c>
      <c r="B1155" s="5">
        <v>46144</v>
      </c>
      <c r="C1155" s="5">
        <v>46144</v>
      </c>
      <c r="D1155" s="5">
        <v>46147</v>
      </c>
      <c r="E1155" s="5">
        <v>46148</v>
      </c>
      <c r="F1155" t="s">
        <v>34</v>
      </c>
      <c r="G1155" t="s">
        <v>54</v>
      </c>
      <c r="H1155" t="s">
        <v>22</v>
      </c>
      <c r="I1155" t="s">
        <v>42</v>
      </c>
      <c r="J1155">
        <v>453.4</v>
      </c>
      <c r="K1155">
        <v>4848.6000000000004</v>
      </c>
      <c r="L1155">
        <v>10960000</v>
      </c>
      <c r="M1155" t="b">
        <v>0</v>
      </c>
      <c r="N1155" t="b">
        <v>0</v>
      </c>
      <c r="O1155">
        <v>16000</v>
      </c>
      <c r="P1155" t="b">
        <v>0</v>
      </c>
      <c r="Q1155" t="b">
        <v>0</v>
      </c>
      <c r="R1155" t="b">
        <v>0</v>
      </c>
      <c r="S1155" t="s">
        <v>101</v>
      </c>
      <c r="T1155" t="s">
        <v>1635</v>
      </c>
      <c r="U1155">
        <v>30.303750000000001</v>
      </c>
      <c r="V1155">
        <v>0</v>
      </c>
      <c r="W1155">
        <v>0</v>
      </c>
      <c r="X1155">
        <v>4</v>
      </c>
      <c r="Y1155" s="6">
        <v>46143</v>
      </c>
      <c r="Z1155">
        <v>1</v>
      </c>
    </row>
    <row r="1156" spans="1:26" x14ac:dyDescent="0.3">
      <c r="A1156" t="s">
        <v>1261</v>
      </c>
      <c r="B1156" s="5">
        <v>46046</v>
      </c>
      <c r="C1156" s="5">
        <v>46047</v>
      </c>
      <c r="D1156" s="5">
        <v>46051</v>
      </c>
      <c r="E1156" s="5">
        <v>46051</v>
      </c>
      <c r="F1156" t="s">
        <v>34</v>
      </c>
      <c r="G1156" t="s">
        <v>59</v>
      </c>
      <c r="H1156" t="s">
        <v>20</v>
      </c>
      <c r="I1156" t="s">
        <v>45</v>
      </c>
      <c r="J1156">
        <v>315.7</v>
      </c>
      <c r="K1156">
        <v>467.8</v>
      </c>
      <c r="L1156">
        <v>3435000</v>
      </c>
      <c r="M1156" t="b">
        <v>0</v>
      </c>
      <c r="N1156" t="b">
        <v>0</v>
      </c>
      <c r="O1156">
        <v>1000</v>
      </c>
      <c r="P1156" t="b">
        <v>0</v>
      </c>
      <c r="Q1156" t="b">
        <v>0</v>
      </c>
      <c r="R1156" t="b">
        <v>0</v>
      </c>
      <c r="S1156" t="s">
        <v>96</v>
      </c>
      <c r="T1156" t="s">
        <v>1616</v>
      </c>
      <c r="U1156">
        <v>46.78</v>
      </c>
      <c r="V1156">
        <v>0</v>
      </c>
      <c r="W1156">
        <v>0</v>
      </c>
      <c r="X1156">
        <v>4</v>
      </c>
      <c r="Y1156" s="6">
        <v>46023</v>
      </c>
    </row>
    <row r="1157" spans="1:26" x14ac:dyDescent="0.3">
      <c r="A1157" t="s">
        <v>1262</v>
      </c>
      <c r="B1157" s="5">
        <v>46161</v>
      </c>
      <c r="C1157" s="5">
        <v>46163</v>
      </c>
      <c r="D1157" s="5">
        <v>46166</v>
      </c>
      <c r="E1157" s="5">
        <v>46167</v>
      </c>
      <c r="F1157" t="s">
        <v>33</v>
      </c>
      <c r="G1157" t="s">
        <v>53</v>
      </c>
      <c r="H1157" t="s">
        <v>20</v>
      </c>
      <c r="I1157" t="s">
        <v>42</v>
      </c>
      <c r="J1157">
        <v>562</v>
      </c>
      <c r="K1157">
        <v>3477.2</v>
      </c>
      <c r="L1157">
        <v>11678000</v>
      </c>
      <c r="M1157" t="b">
        <v>0</v>
      </c>
      <c r="N1157" t="b">
        <v>0</v>
      </c>
      <c r="O1157">
        <v>16000</v>
      </c>
      <c r="P1157" t="b">
        <v>0</v>
      </c>
      <c r="Q1157" t="b">
        <v>0</v>
      </c>
      <c r="R1157" t="b">
        <v>0</v>
      </c>
      <c r="S1157" t="s">
        <v>101</v>
      </c>
      <c r="T1157" t="s">
        <v>1632</v>
      </c>
      <c r="U1157">
        <v>21.732500000000002</v>
      </c>
      <c r="V1157">
        <v>0</v>
      </c>
      <c r="W1157">
        <v>0</v>
      </c>
      <c r="X1157">
        <v>4</v>
      </c>
      <c r="Y1157" s="6">
        <v>46143</v>
      </c>
      <c r="Z1157">
        <v>1</v>
      </c>
    </row>
    <row r="1158" spans="1:26" x14ac:dyDescent="0.3">
      <c r="A1158" t="s">
        <v>1263</v>
      </c>
      <c r="B1158" s="5">
        <v>46077</v>
      </c>
      <c r="C1158" s="5">
        <v>46079</v>
      </c>
      <c r="D1158" s="5">
        <v>46083</v>
      </c>
      <c r="E1158" s="5">
        <v>46083</v>
      </c>
      <c r="F1158" t="s">
        <v>33</v>
      </c>
      <c r="G1158" t="s">
        <v>58</v>
      </c>
      <c r="H1158" t="s">
        <v>23</v>
      </c>
      <c r="I1158" t="s">
        <v>43</v>
      </c>
      <c r="J1158">
        <v>751.3</v>
      </c>
      <c r="K1158">
        <v>930.6</v>
      </c>
      <c r="L1158">
        <v>10625000</v>
      </c>
      <c r="M1158" t="b">
        <v>0</v>
      </c>
      <c r="N1158" t="b">
        <v>0</v>
      </c>
      <c r="O1158">
        <v>5000</v>
      </c>
      <c r="P1158" t="b">
        <v>0</v>
      </c>
      <c r="Q1158" t="b">
        <v>0</v>
      </c>
      <c r="R1158" t="b">
        <v>0</v>
      </c>
      <c r="S1158" t="s">
        <v>96</v>
      </c>
      <c r="T1158" t="s">
        <v>1651</v>
      </c>
      <c r="U1158">
        <v>18.611999999999998</v>
      </c>
      <c r="V1158">
        <v>0</v>
      </c>
      <c r="W1158">
        <v>0</v>
      </c>
      <c r="X1158">
        <v>4</v>
      </c>
      <c r="Y1158" s="6">
        <v>46054</v>
      </c>
    </row>
    <row r="1159" spans="1:26" x14ac:dyDescent="0.3">
      <c r="A1159" t="s">
        <v>1264</v>
      </c>
      <c r="B1159" s="5">
        <v>46129</v>
      </c>
      <c r="C1159" s="5">
        <v>46130</v>
      </c>
      <c r="D1159" s="5">
        <v>46133</v>
      </c>
      <c r="E1159" s="5">
        <v>46133</v>
      </c>
      <c r="F1159" t="s">
        <v>33</v>
      </c>
      <c r="G1159" t="s">
        <v>57</v>
      </c>
      <c r="H1159" t="s">
        <v>20</v>
      </c>
      <c r="I1159" t="s">
        <v>43</v>
      </c>
      <c r="J1159">
        <v>452.7</v>
      </c>
      <c r="K1159">
        <v>2320.3000000000002</v>
      </c>
      <c r="L1159">
        <v>7551000</v>
      </c>
      <c r="M1159" t="b">
        <v>0</v>
      </c>
      <c r="N1159" t="b">
        <v>0</v>
      </c>
      <c r="O1159">
        <v>5000</v>
      </c>
      <c r="P1159" t="b">
        <v>0</v>
      </c>
      <c r="Q1159" t="b">
        <v>0</v>
      </c>
      <c r="R1159" t="b">
        <v>0</v>
      </c>
      <c r="S1159" t="s">
        <v>96</v>
      </c>
      <c r="T1159" t="s">
        <v>1624</v>
      </c>
      <c r="U1159">
        <v>46.406000000000013</v>
      </c>
      <c r="V1159">
        <v>0</v>
      </c>
      <c r="W1159">
        <v>0</v>
      </c>
      <c r="X1159">
        <v>3</v>
      </c>
      <c r="Y1159" s="6">
        <v>46113</v>
      </c>
    </row>
    <row r="1160" spans="1:26" x14ac:dyDescent="0.3">
      <c r="A1160" t="s">
        <v>1265</v>
      </c>
      <c r="B1160" s="5">
        <v>46033</v>
      </c>
      <c r="C1160" s="5">
        <v>46033</v>
      </c>
      <c r="D1160" s="5">
        <v>46034</v>
      </c>
      <c r="E1160" s="5">
        <v>46034</v>
      </c>
      <c r="F1160" t="s">
        <v>34</v>
      </c>
      <c r="G1160" t="s">
        <v>61</v>
      </c>
      <c r="H1160" t="s">
        <v>20</v>
      </c>
      <c r="I1160" t="s">
        <v>44</v>
      </c>
      <c r="J1160">
        <v>33.700000000000003</v>
      </c>
      <c r="K1160">
        <v>786.1</v>
      </c>
      <c r="L1160">
        <v>1073000</v>
      </c>
      <c r="M1160" t="b">
        <v>0</v>
      </c>
      <c r="N1160" t="b">
        <v>0</v>
      </c>
      <c r="O1160">
        <v>1500</v>
      </c>
      <c r="P1160" t="b">
        <v>0</v>
      </c>
      <c r="Q1160" t="b">
        <v>0</v>
      </c>
      <c r="R1160" t="b">
        <v>0</v>
      </c>
      <c r="S1160" t="s">
        <v>96</v>
      </c>
      <c r="T1160" t="s">
        <v>1638</v>
      </c>
      <c r="U1160">
        <v>52.406666666666673</v>
      </c>
      <c r="V1160">
        <v>0</v>
      </c>
      <c r="W1160">
        <v>0</v>
      </c>
      <c r="X1160">
        <v>1</v>
      </c>
      <c r="Y1160" s="6">
        <v>46023</v>
      </c>
    </row>
    <row r="1161" spans="1:26" x14ac:dyDescent="0.3">
      <c r="A1161" t="s">
        <v>1266</v>
      </c>
      <c r="B1161" s="5">
        <v>46146</v>
      </c>
      <c r="C1161" s="5">
        <v>46148</v>
      </c>
      <c r="D1161" s="5">
        <v>46152</v>
      </c>
      <c r="E1161" s="5">
        <v>46152</v>
      </c>
      <c r="F1161" t="s">
        <v>34</v>
      </c>
      <c r="G1161" t="s">
        <v>56</v>
      </c>
      <c r="H1161" t="s">
        <v>23</v>
      </c>
      <c r="I1161" t="s">
        <v>43</v>
      </c>
      <c r="J1161">
        <v>879.2</v>
      </c>
      <c r="K1161">
        <v>1941.9</v>
      </c>
      <c r="L1161">
        <v>11188000</v>
      </c>
      <c r="M1161" t="b">
        <v>0</v>
      </c>
      <c r="N1161" t="b">
        <v>0</v>
      </c>
      <c r="O1161">
        <v>5000</v>
      </c>
      <c r="P1161" t="b">
        <v>0</v>
      </c>
      <c r="Q1161" t="b">
        <v>0</v>
      </c>
      <c r="R1161" t="b">
        <v>0</v>
      </c>
      <c r="S1161" t="s">
        <v>96</v>
      </c>
      <c r="T1161" t="s">
        <v>1646</v>
      </c>
      <c r="U1161">
        <v>38.838000000000001</v>
      </c>
      <c r="V1161">
        <v>0</v>
      </c>
      <c r="W1161">
        <v>0</v>
      </c>
      <c r="X1161">
        <v>4</v>
      </c>
      <c r="Y1161" s="6">
        <v>46143</v>
      </c>
    </row>
    <row r="1162" spans="1:26" x14ac:dyDescent="0.3">
      <c r="A1162" t="s">
        <v>1267</v>
      </c>
      <c r="B1162" s="5">
        <v>46120</v>
      </c>
      <c r="C1162" s="5">
        <v>46119</v>
      </c>
      <c r="D1162" s="5">
        <v>46125</v>
      </c>
      <c r="E1162" s="5">
        <v>46125</v>
      </c>
      <c r="F1162" t="s">
        <v>32</v>
      </c>
      <c r="G1162" t="s">
        <v>62</v>
      </c>
      <c r="H1162" t="s">
        <v>22</v>
      </c>
      <c r="I1162" t="s">
        <v>43</v>
      </c>
      <c r="J1162">
        <v>603.70000000000005</v>
      </c>
      <c r="K1162">
        <v>3757</v>
      </c>
      <c r="L1162">
        <v>11169000</v>
      </c>
      <c r="M1162" t="b">
        <v>1</v>
      </c>
      <c r="N1162" t="b">
        <v>0</v>
      </c>
      <c r="O1162">
        <v>5000</v>
      </c>
      <c r="P1162" t="b">
        <v>0</v>
      </c>
      <c r="Q1162" t="b">
        <v>0</v>
      </c>
      <c r="R1162" t="b">
        <v>1</v>
      </c>
      <c r="S1162" t="s">
        <v>260</v>
      </c>
      <c r="T1162" t="s">
        <v>1641</v>
      </c>
      <c r="U1162">
        <v>75.14</v>
      </c>
      <c r="V1162">
        <v>0</v>
      </c>
      <c r="W1162">
        <v>1</v>
      </c>
      <c r="Y1162" s="6">
        <v>46113</v>
      </c>
    </row>
    <row r="1163" spans="1:26" x14ac:dyDescent="0.3">
      <c r="A1163" t="s">
        <v>1268</v>
      </c>
      <c r="B1163" s="5">
        <v>46058</v>
      </c>
      <c r="C1163" s="5">
        <v>46059</v>
      </c>
      <c r="D1163" s="5">
        <v>46061</v>
      </c>
      <c r="E1163" s="5">
        <v>46061</v>
      </c>
      <c r="F1163" t="s">
        <v>32</v>
      </c>
      <c r="G1163" t="s">
        <v>53</v>
      </c>
      <c r="H1163" t="s">
        <v>22</v>
      </c>
      <c r="I1163" t="s">
        <v>44</v>
      </c>
      <c r="J1163">
        <v>299.5</v>
      </c>
      <c r="K1163">
        <v>893.6</v>
      </c>
      <c r="L1163">
        <v>3398000</v>
      </c>
      <c r="M1163" t="b">
        <v>0</v>
      </c>
      <c r="N1163" t="b">
        <v>0</v>
      </c>
      <c r="O1163">
        <v>1500</v>
      </c>
      <c r="P1163" t="b">
        <v>0</v>
      </c>
      <c r="Q1163" t="b">
        <v>0</v>
      </c>
      <c r="R1163" t="b">
        <v>0</v>
      </c>
      <c r="S1163" t="s">
        <v>96</v>
      </c>
      <c r="T1163" t="s">
        <v>1612</v>
      </c>
      <c r="U1163">
        <v>59.573333333333331</v>
      </c>
      <c r="V1163">
        <v>0</v>
      </c>
      <c r="W1163">
        <v>0</v>
      </c>
      <c r="X1163">
        <v>2</v>
      </c>
      <c r="Y1163" s="6">
        <v>46054</v>
      </c>
    </row>
    <row r="1164" spans="1:26" x14ac:dyDescent="0.3">
      <c r="A1164" t="s">
        <v>1269</v>
      </c>
      <c r="B1164" s="5">
        <v>46032</v>
      </c>
      <c r="C1164" s="5">
        <v>46032</v>
      </c>
      <c r="D1164" s="5">
        <v>46036</v>
      </c>
      <c r="E1164" s="5">
        <v>46035</v>
      </c>
      <c r="F1164" t="s">
        <v>34</v>
      </c>
      <c r="G1164" t="s">
        <v>60</v>
      </c>
      <c r="H1164" t="s">
        <v>23</v>
      </c>
      <c r="I1164" t="s">
        <v>45</v>
      </c>
      <c r="J1164">
        <v>637.1</v>
      </c>
      <c r="K1164">
        <v>480.6</v>
      </c>
      <c r="L1164">
        <v>6093000</v>
      </c>
      <c r="M1164" t="b">
        <v>0</v>
      </c>
      <c r="N1164" t="b">
        <v>0</v>
      </c>
      <c r="O1164">
        <v>1000</v>
      </c>
      <c r="P1164" t="b">
        <v>0</v>
      </c>
      <c r="Q1164" t="b">
        <v>0</v>
      </c>
      <c r="R1164" t="b">
        <v>0</v>
      </c>
      <c r="S1164" t="s">
        <v>96</v>
      </c>
      <c r="T1164" t="s">
        <v>1644</v>
      </c>
      <c r="U1164">
        <v>48.06</v>
      </c>
      <c r="V1164">
        <v>0</v>
      </c>
      <c r="W1164">
        <v>0</v>
      </c>
      <c r="X1164">
        <v>3</v>
      </c>
      <c r="Y1164" s="6">
        <v>46023</v>
      </c>
    </row>
    <row r="1165" spans="1:26" x14ac:dyDescent="0.3">
      <c r="A1165" t="s">
        <v>1270</v>
      </c>
      <c r="B1165" s="5">
        <v>46097</v>
      </c>
      <c r="C1165" s="5">
        <v>46098</v>
      </c>
      <c r="D1165" s="5">
        <v>46100</v>
      </c>
      <c r="E1165" s="5">
        <v>46101</v>
      </c>
      <c r="F1165" t="s">
        <v>34</v>
      </c>
      <c r="G1165" t="s">
        <v>57</v>
      </c>
      <c r="H1165" t="s">
        <v>21</v>
      </c>
      <c r="I1165" t="s">
        <v>45</v>
      </c>
      <c r="J1165">
        <v>164.2</v>
      </c>
      <c r="K1165">
        <v>270.7</v>
      </c>
      <c r="L1165">
        <v>1792000</v>
      </c>
      <c r="M1165" t="b">
        <v>0</v>
      </c>
      <c r="N1165" t="b">
        <v>0</v>
      </c>
      <c r="O1165">
        <v>1000</v>
      </c>
      <c r="P1165" t="b">
        <v>0</v>
      </c>
      <c r="Q1165" t="b">
        <v>0</v>
      </c>
      <c r="R1165" t="b">
        <v>0</v>
      </c>
      <c r="S1165" t="s">
        <v>101</v>
      </c>
      <c r="T1165" t="s">
        <v>1620</v>
      </c>
      <c r="U1165">
        <v>27.07</v>
      </c>
      <c r="V1165">
        <v>0</v>
      </c>
      <c r="W1165">
        <v>0</v>
      </c>
      <c r="X1165">
        <v>3</v>
      </c>
      <c r="Y1165" s="6">
        <v>46082</v>
      </c>
      <c r="Z1165">
        <v>1</v>
      </c>
    </row>
    <row r="1166" spans="1:26" x14ac:dyDescent="0.3">
      <c r="A1166" t="s">
        <v>1271</v>
      </c>
      <c r="B1166" s="5">
        <v>46081</v>
      </c>
      <c r="C1166" s="5">
        <v>46082</v>
      </c>
      <c r="D1166" s="5">
        <v>46086</v>
      </c>
      <c r="E1166" s="5"/>
      <c r="F1166" t="s">
        <v>33</v>
      </c>
      <c r="G1166" t="s">
        <v>61</v>
      </c>
      <c r="H1166" t="s">
        <v>22</v>
      </c>
      <c r="I1166" t="s">
        <v>43</v>
      </c>
      <c r="J1166">
        <v>628</v>
      </c>
      <c r="K1166">
        <v>2630.5</v>
      </c>
      <c r="L1166">
        <v>9598000</v>
      </c>
      <c r="M1166" t="b">
        <v>0</v>
      </c>
      <c r="N1166" t="b">
        <v>0</v>
      </c>
      <c r="O1166">
        <v>5000</v>
      </c>
      <c r="P1166" t="b">
        <v>0</v>
      </c>
      <c r="Q1166" t="b">
        <v>0</v>
      </c>
      <c r="R1166" t="b">
        <v>0</v>
      </c>
      <c r="S1166" t="s">
        <v>203</v>
      </c>
      <c r="T1166" t="s">
        <v>1643</v>
      </c>
      <c r="U1166">
        <v>52.61</v>
      </c>
      <c r="V1166">
        <v>0</v>
      </c>
      <c r="W1166">
        <v>0</v>
      </c>
      <c r="Y1166" s="6">
        <v>46082</v>
      </c>
    </row>
    <row r="1167" spans="1:26" x14ac:dyDescent="0.3">
      <c r="A1167" t="s">
        <v>1272</v>
      </c>
      <c r="B1167" s="5">
        <v>46192</v>
      </c>
      <c r="C1167" s="5">
        <v>46193</v>
      </c>
      <c r="D1167" s="5">
        <v>46195</v>
      </c>
      <c r="E1167" s="5">
        <v>46195</v>
      </c>
      <c r="F1167" t="s">
        <v>32</v>
      </c>
      <c r="G1167" t="s">
        <v>53</v>
      </c>
      <c r="H1167" t="s">
        <v>20</v>
      </c>
      <c r="I1167" t="s">
        <v>44</v>
      </c>
      <c r="J1167">
        <v>241.3</v>
      </c>
      <c r="K1167">
        <v>179</v>
      </c>
      <c r="L1167">
        <v>2844000</v>
      </c>
      <c r="M1167" t="b">
        <v>0</v>
      </c>
      <c r="N1167" t="b">
        <v>0</v>
      </c>
      <c r="O1167">
        <v>1500</v>
      </c>
      <c r="P1167" t="b">
        <v>0</v>
      </c>
      <c r="Q1167" t="b">
        <v>0</v>
      </c>
      <c r="R1167" t="b">
        <v>0</v>
      </c>
      <c r="S1167" t="s">
        <v>96</v>
      </c>
      <c r="T1167" t="s">
        <v>1612</v>
      </c>
      <c r="U1167">
        <v>11.93333333333333</v>
      </c>
      <c r="V1167">
        <v>0</v>
      </c>
      <c r="W1167">
        <v>0</v>
      </c>
      <c r="X1167">
        <v>2</v>
      </c>
      <c r="Y1167" s="6">
        <v>46174</v>
      </c>
    </row>
    <row r="1168" spans="1:26" x14ac:dyDescent="0.3">
      <c r="A1168" t="s">
        <v>1273</v>
      </c>
      <c r="B1168" s="5">
        <v>46172</v>
      </c>
      <c r="C1168" s="5">
        <v>46173</v>
      </c>
      <c r="D1168" s="5">
        <v>46177</v>
      </c>
      <c r="E1168" s="5">
        <v>46178</v>
      </c>
      <c r="F1168" t="s">
        <v>34</v>
      </c>
      <c r="G1168" t="s">
        <v>62</v>
      </c>
      <c r="H1168" t="s">
        <v>22</v>
      </c>
      <c r="I1168" t="s">
        <v>44</v>
      </c>
      <c r="J1168">
        <v>736</v>
      </c>
      <c r="K1168">
        <v>291.10000000000002</v>
      </c>
      <c r="L1168">
        <v>6896000</v>
      </c>
      <c r="M1168" t="b">
        <v>0</v>
      </c>
      <c r="N1168" t="b">
        <v>0</v>
      </c>
      <c r="O1168">
        <v>1500</v>
      </c>
      <c r="P1168" t="b">
        <v>0</v>
      </c>
      <c r="Q1168" t="b">
        <v>0</v>
      </c>
      <c r="R1168" t="b">
        <v>0</v>
      </c>
      <c r="S1168" t="s">
        <v>101</v>
      </c>
      <c r="T1168" t="s">
        <v>1649</v>
      </c>
      <c r="U1168">
        <v>19.40666666666667</v>
      </c>
      <c r="V1168">
        <v>0</v>
      </c>
      <c r="W1168">
        <v>0</v>
      </c>
      <c r="X1168">
        <v>5</v>
      </c>
      <c r="Y1168" s="6">
        <v>46143</v>
      </c>
      <c r="Z1168">
        <v>1</v>
      </c>
    </row>
    <row r="1169" spans="1:26" x14ac:dyDescent="0.3">
      <c r="A1169" t="s">
        <v>1274</v>
      </c>
      <c r="B1169" s="5">
        <v>46044</v>
      </c>
      <c r="C1169" s="5">
        <v>46045</v>
      </c>
      <c r="D1169" s="5">
        <v>46049</v>
      </c>
      <c r="E1169" s="5">
        <v>46049</v>
      </c>
      <c r="F1169" t="s">
        <v>31</v>
      </c>
      <c r="G1169" t="s">
        <v>60</v>
      </c>
      <c r="H1169" t="s">
        <v>23</v>
      </c>
      <c r="I1169" t="s">
        <v>42</v>
      </c>
      <c r="J1169">
        <v>617.29999999999995</v>
      </c>
      <c r="K1169">
        <v>10378.200000000001</v>
      </c>
      <c r="L1169">
        <v>15104000</v>
      </c>
      <c r="M1169" t="b">
        <v>0</v>
      </c>
      <c r="N1169" t="b">
        <v>0</v>
      </c>
      <c r="O1169">
        <v>16000</v>
      </c>
      <c r="P1169" t="b">
        <v>0</v>
      </c>
      <c r="Q1169" t="b">
        <v>0</v>
      </c>
      <c r="R1169" t="b">
        <v>0</v>
      </c>
      <c r="S1169" t="s">
        <v>96</v>
      </c>
      <c r="T1169" t="s">
        <v>1652</v>
      </c>
      <c r="U1169">
        <v>64.86375000000001</v>
      </c>
      <c r="V1169">
        <v>0</v>
      </c>
      <c r="W1169">
        <v>0</v>
      </c>
      <c r="X1169">
        <v>4</v>
      </c>
      <c r="Y1169" s="6">
        <v>46023</v>
      </c>
    </row>
    <row r="1170" spans="1:26" x14ac:dyDescent="0.3">
      <c r="A1170" t="s">
        <v>1275</v>
      </c>
      <c r="B1170" s="5">
        <v>46186</v>
      </c>
      <c r="C1170" s="5">
        <v>46187</v>
      </c>
      <c r="D1170" s="5">
        <v>46189</v>
      </c>
      <c r="E1170" s="5">
        <v>46189</v>
      </c>
      <c r="F1170" t="s">
        <v>34</v>
      </c>
      <c r="G1170" t="s">
        <v>57</v>
      </c>
      <c r="H1170" t="s">
        <v>24</v>
      </c>
      <c r="I1170" t="s">
        <v>42</v>
      </c>
      <c r="J1170">
        <v>154.1</v>
      </c>
      <c r="K1170">
        <v>7188.6</v>
      </c>
      <c r="L1170">
        <v>6372000</v>
      </c>
      <c r="M1170" t="b">
        <v>0</v>
      </c>
      <c r="N1170" t="b">
        <v>0</v>
      </c>
      <c r="O1170">
        <v>16000</v>
      </c>
      <c r="P1170" t="b">
        <v>0</v>
      </c>
      <c r="Q1170" t="b">
        <v>0</v>
      </c>
      <c r="R1170" t="b">
        <v>0</v>
      </c>
      <c r="S1170" t="s">
        <v>96</v>
      </c>
      <c r="T1170" t="s">
        <v>1620</v>
      </c>
      <c r="U1170">
        <v>44.928750000000001</v>
      </c>
      <c r="V1170">
        <v>0</v>
      </c>
      <c r="W1170">
        <v>0</v>
      </c>
      <c r="X1170">
        <v>2</v>
      </c>
      <c r="Y1170" s="6">
        <v>46174</v>
      </c>
    </row>
    <row r="1171" spans="1:26" x14ac:dyDescent="0.3">
      <c r="A1171" t="s">
        <v>1276</v>
      </c>
      <c r="B1171" s="5">
        <v>46038</v>
      </c>
      <c r="C1171" s="5">
        <v>46039</v>
      </c>
      <c r="D1171" s="5">
        <v>46043</v>
      </c>
      <c r="E1171" s="5">
        <v>46044</v>
      </c>
      <c r="F1171" t="s">
        <v>34</v>
      </c>
      <c r="G1171" t="s">
        <v>59</v>
      </c>
      <c r="H1171" t="s">
        <v>22</v>
      </c>
      <c r="I1171" t="s">
        <v>43</v>
      </c>
      <c r="J1171">
        <v>327</v>
      </c>
      <c r="K1171">
        <v>3726.5</v>
      </c>
      <c r="L1171">
        <v>6578000</v>
      </c>
      <c r="M1171" t="b">
        <v>0</v>
      </c>
      <c r="N1171" t="b">
        <v>0</v>
      </c>
      <c r="O1171">
        <v>5000</v>
      </c>
      <c r="P1171" t="b">
        <v>0</v>
      </c>
      <c r="Q1171" t="b">
        <v>0</v>
      </c>
      <c r="R1171" t="b">
        <v>0</v>
      </c>
      <c r="S1171" t="s">
        <v>101</v>
      </c>
      <c r="T1171" t="s">
        <v>1616</v>
      </c>
      <c r="U1171">
        <v>74.53</v>
      </c>
      <c r="V1171">
        <v>0</v>
      </c>
      <c r="W1171">
        <v>0</v>
      </c>
      <c r="X1171">
        <v>5</v>
      </c>
      <c r="Y1171" s="6">
        <v>46023</v>
      </c>
      <c r="Z1171">
        <v>1</v>
      </c>
    </row>
    <row r="1172" spans="1:26" x14ac:dyDescent="0.3">
      <c r="A1172" t="s">
        <v>1277</v>
      </c>
      <c r="B1172" s="5">
        <v>46045</v>
      </c>
      <c r="C1172" s="5">
        <v>46046</v>
      </c>
      <c r="D1172" s="5">
        <v>46050</v>
      </c>
      <c r="E1172" s="5">
        <v>46050</v>
      </c>
      <c r="F1172" t="s">
        <v>33</v>
      </c>
      <c r="G1172" t="s">
        <v>56</v>
      </c>
      <c r="H1172" t="s">
        <v>24</v>
      </c>
      <c r="I1172" t="s">
        <v>45</v>
      </c>
      <c r="J1172">
        <v>1503.4</v>
      </c>
      <c r="K1172">
        <v>743.6</v>
      </c>
      <c r="L1172">
        <v>12860000</v>
      </c>
      <c r="M1172" t="b">
        <v>0</v>
      </c>
      <c r="N1172" t="b">
        <v>0</v>
      </c>
      <c r="O1172">
        <v>1000</v>
      </c>
      <c r="P1172" t="b">
        <v>0</v>
      </c>
      <c r="Q1172" t="b">
        <v>0</v>
      </c>
      <c r="R1172" t="b">
        <v>0</v>
      </c>
      <c r="S1172" t="s">
        <v>96</v>
      </c>
      <c r="T1172" t="s">
        <v>1654</v>
      </c>
      <c r="U1172">
        <v>74.36</v>
      </c>
      <c r="V1172">
        <v>0</v>
      </c>
      <c r="W1172">
        <v>0</v>
      </c>
      <c r="X1172">
        <v>4</v>
      </c>
      <c r="Y1172" s="6">
        <v>46023</v>
      </c>
    </row>
    <row r="1173" spans="1:26" x14ac:dyDescent="0.3">
      <c r="A1173" t="s">
        <v>1278</v>
      </c>
      <c r="B1173" s="5">
        <v>46035</v>
      </c>
      <c r="C1173" s="5">
        <v>46035</v>
      </c>
      <c r="D1173" s="5">
        <v>46037</v>
      </c>
      <c r="E1173" s="5">
        <v>46037</v>
      </c>
      <c r="F1173" t="s">
        <v>34</v>
      </c>
      <c r="G1173" t="s">
        <v>52</v>
      </c>
      <c r="H1173" t="s">
        <v>24</v>
      </c>
      <c r="I1173" t="s">
        <v>43</v>
      </c>
      <c r="J1173">
        <v>269</v>
      </c>
      <c r="K1173">
        <v>1550.3</v>
      </c>
      <c r="L1173">
        <v>4716000</v>
      </c>
      <c r="M1173" t="b">
        <v>0</v>
      </c>
      <c r="N1173" t="b">
        <v>0</v>
      </c>
      <c r="O1173">
        <v>5000</v>
      </c>
      <c r="P1173" t="b">
        <v>0</v>
      </c>
      <c r="Q1173" t="b">
        <v>0</v>
      </c>
      <c r="R1173" t="b">
        <v>0</v>
      </c>
      <c r="S1173" t="s">
        <v>96</v>
      </c>
      <c r="T1173" t="s">
        <v>1623</v>
      </c>
      <c r="U1173">
        <v>31.006</v>
      </c>
      <c r="V1173">
        <v>0</v>
      </c>
      <c r="W1173">
        <v>0</v>
      </c>
      <c r="X1173">
        <v>2</v>
      </c>
      <c r="Y1173" s="6">
        <v>46023</v>
      </c>
    </row>
    <row r="1174" spans="1:26" x14ac:dyDescent="0.3">
      <c r="A1174" t="s">
        <v>1279</v>
      </c>
      <c r="B1174" s="5">
        <v>46024</v>
      </c>
      <c r="C1174" s="5">
        <v>46026</v>
      </c>
      <c r="D1174" s="5">
        <v>46030</v>
      </c>
      <c r="E1174" s="5">
        <v>46030</v>
      </c>
      <c r="F1174" t="s">
        <v>33</v>
      </c>
      <c r="G1174" t="s">
        <v>58</v>
      </c>
      <c r="H1174" t="s">
        <v>22</v>
      </c>
      <c r="I1174" t="s">
        <v>42</v>
      </c>
      <c r="J1174">
        <v>655.5</v>
      </c>
      <c r="K1174">
        <v>7660.9</v>
      </c>
      <c r="L1174">
        <v>14768000</v>
      </c>
      <c r="M1174" t="b">
        <v>0</v>
      </c>
      <c r="N1174" t="b">
        <v>0</v>
      </c>
      <c r="O1174">
        <v>16000</v>
      </c>
      <c r="P1174" t="b">
        <v>0</v>
      </c>
      <c r="Q1174" t="b">
        <v>0</v>
      </c>
      <c r="R1174" t="b">
        <v>0</v>
      </c>
      <c r="S1174" t="s">
        <v>96</v>
      </c>
      <c r="T1174" t="s">
        <v>1651</v>
      </c>
      <c r="U1174">
        <v>47.880625000000002</v>
      </c>
      <c r="V1174">
        <v>0</v>
      </c>
      <c r="W1174">
        <v>0</v>
      </c>
      <c r="X1174">
        <v>4</v>
      </c>
      <c r="Y1174" s="6">
        <v>46023</v>
      </c>
    </row>
    <row r="1175" spans="1:26" x14ac:dyDescent="0.3">
      <c r="A1175" t="s">
        <v>1280</v>
      </c>
      <c r="B1175" s="5">
        <v>46176</v>
      </c>
      <c r="C1175" s="5">
        <v>46177</v>
      </c>
      <c r="D1175" s="5">
        <v>46179</v>
      </c>
      <c r="E1175" s="5">
        <v>46180</v>
      </c>
      <c r="F1175" t="s">
        <v>32</v>
      </c>
      <c r="G1175" t="s">
        <v>53</v>
      </c>
      <c r="H1175" t="s">
        <v>22</v>
      </c>
      <c r="I1175" t="s">
        <v>45</v>
      </c>
      <c r="J1175">
        <v>268.10000000000002</v>
      </c>
      <c r="K1175">
        <v>465.2</v>
      </c>
      <c r="L1175">
        <v>2786000</v>
      </c>
      <c r="M1175" t="b">
        <v>0</v>
      </c>
      <c r="N1175" t="b">
        <v>0</v>
      </c>
      <c r="O1175">
        <v>1000</v>
      </c>
      <c r="P1175" t="b">
        <v>0</v>
      </c>
      <c r="Q1175" t="b">
        <v>0</v>
      </c>
      <c r="R1175" t="b">
        <v>0</v>
      </c>
      <c r="S1175" t="s">
        <v>101</v>
      </c>
      <c r="T1175" t="s">
        <v>1612</v>
      </c>
      <c r="U1175">
        <v>46.52</v>
      </c>
      <c r="V1175">
        <v>0</v>
      </c>
      <c r="W1175">
        <v>0</v>
      </c>
      <c r="X1175">
        <v>3</v>
      </c>
      <c r="Y1175" s="6">
        <v>46174</v>
      </c>
      <c r="Z1175">
        <v>1</v>
      </c>
    </row>
    <row r="1176" spans="1:26" x14ac:dyDescent="0.3">
      <c r="A1176" t="s">
        <v>1281</v>
      </c>
      <c r="B1176" s="5">
        <v>46123</v>
      </c>
      <c r="C1176" s="5">
        <v>46124</v>
      </c>
      <c r="D1176" s="5">
        <v>46127</v>
      </c>
      <c r="E1176" s="5">
        <v>46127</v>
      </c>
      <c r="F1176" t="s">
        <v>34</v>
      </c>
      <c r="G1176" t="s">
        <v>53</v>
      </c>
      <c r="H1176" t="s">
        <v>23</v>
      </c>
      <c r="I1176" t="s">
        <v>45</v>
      </c>
      <c r="J1176">
        <v>338.3</v>
      </c>
      <c r="K1176">
        <v>658.5</v>
      </c>
      <c r="L1176">
        <v>3327000</v>
      </c>
      <c r="M1176" t="b">
        <v>0</v>
      </c>
      <c r="N1176" t="b">
        <v>0</v>
      </c>
      <c r="O1176">
        <v>1000</v>
      </c>
      <c r="P1176" t="b">
        <v>0</v>
      </c>
      <c r="Q1176" t="b">
        <v>0</v>
      </c>
      <c r="R1176" t="b">
        <v>0</v>
      </c>
      <c r="S1176" t="s">
        <v>96</v>
      </c>
      <c r="T1176" t="s">
        <v>1636</v>
      </c>
      <c r="U1176">
        <v>65.849999999999994</v>
      </c>
      <c r="V1176">
        <v>0</v>
      </c>
      <c r="W1176">
        <v>0</v>
      </c>
      <c r="X1176">
        <v>3</v>
      </c>
      <c r="Y1176" s="6">
        <v>46113</v>
      </c>
    </row>
    <row r="1177" spans="1:26" x14ac:dyDescent="0.3">
      <c r="A1177" t="s">
        <v>1282</v>
      </c>
      <c r="B1177" s="5">
        <v>46137</v>
      </c>
      <c r="C1177" s="5">
        <v>46138</v>
      </c>
      <c r="D1177" s="5">
        <v>46142</v>
      </c>
      <c r="E1177" s="5">
        <v>46142</v>
      </c>
      <c r="F1177" t="s">
        <v>33</v>
      </c>
      <c r="G1177" t="s">
        <v>61</v>
      </c>
      <c r="H1177" t="s">
        <v>20</v>
      </c>
      <c r="I1177" t="s">
        <v>43</v>
      </c>
      <c r="J1177">
        <v>613.4</v>
      </c>
      <c r="K1177">
        <v>3134.8</v>
      </c>
      <c r="L1177">
        <v>9330000</v>
      </c>
      <c r="M1177" t="b">
        <v>0</v>
      </c>
      <c r="N1177" t="b">
        <v>0</v>
      </c>
      <c r="O1177">
        <v>5000</v>
      </c>
      <c r="P1177" t="b">
        <v>0</v>
      </c>
      <c r="Q1177" t="b">
        <v>0</v>
      </c>
      <c r="R1177" t="b">
        <v>0</v>
      </c>
      <c r="S1177" t="s">
        <v>96</v>
      </c>
      <c r="T1177" t="s">
        <v>1643</v>
      </c>
      <c r="U1177">
        <v>62.696000000000012</v>
      </c>
      <c r="V1177">
        <v>0</v>
      </c>
      <c r="W1177">
        <v>0</v>
      </c>
      <c r="X1177">
        <v>4</v>
      </c>
      <c r="Y1177" s="6">
        <v>46113</v>
      </c>
    </row>
    <row r="1178" spans="1:26" x14ac:dyDescent="0.3">
      <c r="A1178" t="s">
        <v>1283</v>
      </c>
      <c r="B1178" s="5">
        <v>46115</v>
      </c>
      <c r="C1178" s="5">
        <v>46115</v>
      </c>
      <c r="D1178" s="5">
        <v>46119</v>
      </c>
      <c r="E1178" s="5">
        <v>46119</v>
      </c>
      <c r="F1178" t="s">
        <v>34</v>
      </c>
      <c r="G1178" t="s">
        <v>60</v>
      </c>
      <c r="H1178" t="s">
        <v>20</v>
      </c>
      <c r="I1178" t="s">
        <v>44</v>
      </c>
      <c r="J1178">
        <v>601.5</v>
      </c>
      <c r="K1178">
        <v>234.4</v>
      </c>
      <c r="L1178">
        <v>6711000</v>
      </c>
      <c r="M1178" t="b">
        <v>0</v>
      </c>
      <c r="N1178" t="b">
        <v>0</v>
      </c>
      <c r="O1178">
        <v>1500</v>
      </c>
      <c r="P1178" t="b">
        <v>0</v>
      </c>
      <c r="Q1178" t="b">
        <v>0</v>
      </c>
      <c r="R1178" t="b">
        <v>0</v>
      </c>
      <c r="S1178" t="s">
        <v>96</v>
      </c>
      <c r="T1178" t="s">
        <v>1644</v>
      </c>
      <c r="U1178">
        <v>15.62666666666667</v>
      </c>
      <c r="V1178">
        <v>0</v>
      </c>
      <c r="W1178">
        <v>0</v>
      </c>
      <c r="X1178">
        <v>4</v>
      </c>
      <c r="Y1178" s="6">
        <v>46113</v>
      </c>
    </row>
    <row r="1179" spans="1:26" x14ac:dyDescent="0.3">
      <c r="A1179" t="s">
        <v>1284</v>
      </c>
      <c r="B1179" s="5">
        <v>46159</v>
      </c>
      <c r="C1179" s="5">
        <v>46159</v>
      </c>
      <c r="D1179" s="5">
        <v>46162</v>
      </c>
      <c r="E1179" s="5">
        <v>46163</v>
      </c>
      <c r="F1179" t="s">
        <v>31</v>
      </c>
      <c r="G1179" t="s">
        <v>60</v>
      </c>
      <c r="H1179" t="s">
        <v>24</v>
      </c>
      <c r="I1179" t="s">
        <v>44</v>
      </c>
      <c r="J1179">
        <v>594.5</v>
      </c>
      <c r="K1179">
        <v>405.8</v>
      </c>
      <c r="L1179">
        <v>6453000</v>
      </c>
      <c r="M1179" t="b">
        <v>0</v>
      </c>
      <c r="N1179" t="b">
        <v>0</v>
      </c>
      <c r="O1179">
        <v>1500</v>
      </c>
      <c r="P1179" t="b">
        <v>0</v>
      </c>
      <c r="Q1179" t="b">
        <v>0</v>
      </c>
      <c r="R1179" t="b">
        <v>0</v>
      </c>
      <c r="S1179" t="s">
        <v>101</v>
      </c>
      <c r="T1179" t="s">
        <v>1652</v>
      </c>
      <c r="U1179">
        <v>27.053333333333331</v>
      </c>
      <c r="V1179">
        <v>0</v>
      </c>
      <c r="W1179">
        <v>0</v>
      </c>
      <c r="X1179">
        <v>4</v>
      </c>
      <c r="Y1179" s="6">
        <v>46143</v>
      </c>
      <c r="Z1179">
        <v>1</v>
      </c>
    </row>
    <row r="1180" spans="1:26" x14ac:dyDescent="0.3">
      <c r="A1180" t="s">
        <v>1285</v>
      </c>
      <c r="B1180" s="5">
        <v>46100</v>
      </c>
      <c r="C1180" s="5">
        <v>46100</v>
      </c>
      <c r="D1180" s="5">
        <v>46101</v>
      </c>
      <c r="E1180" s="5">
        <v>46100</v>
      </c>
      <c r="F1180" t="s">
        <v>31</v>
      </c>
      <c r="G1180" t="s">
        <v>55</v>
      </c>
      <c r="H1180" t="s">
        <v>21</v>
      </c>
      <c r="I1180" t="s">
        <v>42</v>
      </c>
      <c r="J1180">
        <v>19.5</v>
      </c>
      <c r="K1180">
        <v>11766.9</v>
      </c>
      <c r="L1180">
        <v>4988000</v>
      </c>
      <c r="M1180" t="b">
        <v>0</v>
      </c>
      <c r="N1180" t="b">
        <v>0</v>
      </c>
      <c r="O1180">
        <v>16000</v>
      </c>
      <c r="P1180" t="b">
        <v>0</v>
      </c>
      <c r="Q1180" t="b">
        <v>0</v>
      </c>
      <c r="R1180" t="b">
        <v>0</v>
      </c>
      <c r="S1180" t="s">
        <v>96</v>
      </c>
      <c r="T1180" t="s">
        <v>1629</v>
      </c>
      <c r="U1180">
        <v>73.543125000000003</v>
      </c>
      <c r="V1180">
        <v>0</v>
      </c>
      <c r="W1180">
        <v>0</v>
      </c>
      <c r="X1180">
        <v>0</v>
      </c>
      <c r="Y1180" s="6">
        <v>46082</v>
      </c>
    </row>
    <row r="1181" spans="1:26" x14ac:dyDescent="0.3">
      <c r="A1181" t="s">
        <v>1286</v>
      </c>
      <c r="B1181" s="5">
        <v>46036</v>
      </c>
      <c r="C1181" s="5">
        <v>46037</v>
      </c>
      <c r="D1181" s="5">
        <v>46038</v>
      </c>
      <c r="E1181" s="5">
        <v>46039</v>
      </c>
      <c r="F1181" t="s">
        <v>34</v>
      </c>
      <c r="G1181" t="s">
        <v>61</v>
      </c>
      <c r="H1181" t="s">
        <v>24</v>
      </c>
      <c r="I1181" t="s">
        <v>44</v>
      </c>
      <c r="J1181">
        <v>35.299999999999997</v>
      </c>
      <c r="K1181">
        <v>863</v>
      </c>
      <c r="L1181">
        <v>1369000</v>
      </c>
      <c r="M1181" t="b">
        <v>0</v>
      </c>
      <c r="N1181" t="b">
        <v>0</v>
      </c>
      <c r="O1181">
        <v>1500</v>
      </c>
      <c r="P1181" t="b">
        <v>0</v>
      </c>
      <c r="Q1181" t="b">
        <v>0</v>
      </c>
      <c r="R1181" t="b">
        <v>0</v>
      </c>
      <c r="S1181" t="s">
        <v>101</v>
      </c>
      <c r="T1181" t="s">
        <v>1638</v>
      </c>
      <c r="U1181">
        <v>57.533333333333339</v>
      </c>
      <c r="V1181">
        <v>0</v>
      </c>
      <c r="W1181">
        <v>0</v>
      </c>
      <c r="X1181">
        <v>2</v>
      </c>
      <c r="Y1181" s="6">
        <v>46023</v>
      </c>
      <c r="Z1181">
        <v>1</v>
      </c>
    </row>
    <row r="1182" spans="1:26" x14ac:dyDescent="0.3">
      <c r="A1182" t="s">
        <v>1287</v>
      </c>
      <c r="B1182" s="5">
        <v>46042</v>
      </c>
      <c r="C1182" s="5">
        <v>46043</v>
      </c>
      <c r="D1182" s="5">
        <v>46046</v>
      </c>
      <c r="E1182" s="5">
        <v>46046</v>
      </c>
      <c r="F1182" t="s">
        <v>31</v>
      </c>
      <c r="G1182" t="s">
        <v>60</v>
      </c>
      <c r="H1182" t="s">
        <v>20</v>
      </c>
      <c r="I1182" t="s">
        <v>44</v>
      </c>
      <c r="J1182">
        <v>556.29999999999995</v>
      </c>
      <c r="K1182">
        <v>361.5</v>
      </c>
      <c r="L1182">
        <v>5685000</v>
      </c>
      <c r="M1182" t="b">
        <v>0</v>
      </c>
      <c r="N1182" t="b">
        <v>0</v>
      </c>
      <c r="O1182">
        <v>1500</v>
      </c>
      <c r="P1182" t="b">
        <v>0</v>
      </c>
      <c r="Q1182" t="b">
        <v>0</v>
      </c>
      <c r="R1182" t="b">
        <v>0</v>
      </c>
      <c r="S1182" t="s">
        <v>96</v>
      </c>
      <c r="T1182" t="s">
        <v>1652</v>
      </c>
      <c r="U1182">
        <v>24.1</v>
      </c>
      <c r="V1182">
        <v>0</v>
      </c>
      <c r="W1182">
        <v>0</v>
      </c>
      <c r="X1182">
        <v>3</v>
      </c>
      <c r="Y1182" s="6">
        <v>46023</v>
      </c>
    </row>
    <row r="1183" spans="1:26" x14ac:dyDescent="0.3">
      <c r="A1183" t="s">
        <v>1288</v>
      </c>
      <c r="B1183" s="5">
        <v>46043</v>
      </c>
      <c r="C1183" s="5">
        <v>46045</v>
      </c>
      <c r="D1183" s="5">
        <v>46048</v>
      </c>
      <c r="E1183" s="5">
        <v>46050</v>
      </c>
      <c r="F1183" t="s">
        <v>34</v>
      </c>
      <c r="G1183" t="s">
        <v>54</v>
      </c>
      <c r="H1183" t="s">
        <v>23</v>
      </c>
      <c r="I1183" t="s">
        <v>43</v>
      </c>
      <c r="J1183">
        <v>488.4</v>
      </c>
      <c r="K1183">
        <v>3644.6</v>
      </c>
      <c r="L1183">
        <v>6541000</v>
      </c>
      <c r="M1183" t="b">
        <v>0</v>
      </c>
      <c r="N1183" t="b">
        <v>0</v>
      </c>
      <c r="O1183">
        <v>5000</v>
      </c>
      <c r="P1183" t="b">
        <v>0</v>
      </c>
      <c r="Q1183" t="b">
        <v>0</v>
      </c>
      <c r="R1183" t="b">
        <v>0</v>
      </c>
      <c r="S1183" t="s">
        <v>101</v>
      </c>
      <c r="T1183" t="s">
        <v>1635</v>
      </c>
      <c r="U1183">
        <v>72.891999999999996</v>
      </c>
      <c r="V1183">
        <v>0</v>
      </c>
      <c r="W1183">
        <v>0</v>
      </c>
      <c r="X1183">
        <v>5</v>
      </c>
      <c r="Y1183" s="6">
        <v>46023</v>
      </c>
      <c r="Z1183">
        <v>2</v>
      </c>
    </row>
    <row r="1184" spans="1:26" x14ac:dyDescent="0.3">
      <c r="A1184" t="s">
        <v>1289</v>
      </c>
      <c r="B1184" s="5">
        <v>46104</v>
      </c>
      <c r="C1184" s="5">
        <v>46105</v>
      </c>
      <c r="D1184" s="5">
        <v>46107</v>
      </c>
      <c r="E1184" s="5">
        <v>46109</v>
      </c>
      <c r="F1184" t="s">
        <v>32</v>
      </c>
      <c r="G1184" t="s">
        <v>63</v>
      </c>
      <c r="H1184" t="s">
        <v>24</v>
      </c>
      <c r="I1184" t="s">
        <v>42</v>
      </c>
      <c r="J1184">
        <v>182.5</v>
      </c>
      <c r="K1184">
        <v>13827.7</v>
      </c>
      <c r="L1184">
        <v>8599000</v>
      </c>
      <c r="M1184" t="b">
        <v>0</v>
      </c>
      <c r="N1184" t="b">
        <v>0</v>
      </c>
      <c r="O1184">
        <v>16000</v>
      </c>
      <c r="P1184" t="b">
        <v>0</v>
      </c>
      <c r="Q1184" t="b">
        <v>0</v>
      </c>
      <c r="R1184" t="b">
        <v>0</v>
      </c>
      <c r="S1184" t="s">
        <v>101</v>
      </c>
      <c r="T1184" t="s">
        <v>1634</v>
      </c>
      <c r="U1184">
        <v>86.423124999999999</v>
      </c>
      <c r="V1184">
        <v>0</v>
      </c>
      <c r="W1184">
        <v>0</v>
      </c>
      <c r="X1184">
        <v>4</v>
      </c>
      <c r="Y1184" s="6">
        <v>46082</v>
      </c>
      <c r="Z1184">
        <v>2</v>
      </c>
    </row>
    <row r="1185" spans="1:26" x14ac:dyDescent="0.3">
      <c r="A1185" t="s">
        <v>1290</v>
      </c>
      <c r="B1185" s="5">
        <v>46097</v>
      </c>
      <c r="C1185" s="5">
        <v>46099</v>
      </c>
      <c r="D1185" s="5">
        <v>46100</v>
      </c>
      <c r="E1185" s="5">
        <v>46100</v>
      </c>
      <c r="F1185" t="s">
        <v>33</v>
      </c>
      <c r="G1185" t="s">
        <v>60</v>
      </c>
      <c r="H1185" t="s">
        <v>20</v>
      </c>
      <c r="I1185" t="s">
        <v>44</v>
      </c>
      <c r="J1185">
        <v>23.9</v>
      </c>
      <c r="K1185">
        <v>220.8</v>
      </c>
      <c r="L1185">
        <v>794000</v>
      </c>
      <c r="M1185" t="b">
        <v>0</v>
      </c>
      <c r="N1185" t="b">
        <v>0</v>
      </c>
      <c r="O1185">
        <v>1500</v>
      </c>
      <c r="P1185" t="b">
        <v>0</v>
      </c>
      <c r="Q1185" t="b">
        <v>0</v>
      </c>
      <c r="R1185" t="b">
        <v>0</v>
      </c>
      <c r="S1185" t="s">
        <v>96</v>
      </c>
      <c r="T1185" t="s">
        <v>1650</v>
      </c>
      <c r="U1185">
        <v>14.72</v>
      </c>
      <c r="V1185">
        <v>0</v>
      </c>
      <c r="W1185">
        <v>0</v>
      </c>
      <c r="X1185">
        <v>1</v>
      </c>
      <c r="Y1185" s="6">
        <v>46082</v>
      </c>
    </row>
    <row r="1186" spans="1:26" x14ac:dyDescent="0.3">
      <c r="A1186" t="s">
        <v>1291</v>
      </c>
      <c r="B1186" s="5">
        <v>46074</v>
      </c>
      <c r="C1186" s="5">
        <v>46075</v>
      </c>
      <c r="D1186" s="5">
        <v>46077</v>
      </c>
      <c r="E1186" s="5">
        <v>46079</v>
      </c>
      <c r="F1186" t="s">
        <v>34</v>
      </c>
      <c r="G1186" t="s">
        <v>58</v>
      </c>
      <c r="H1186" t="s">
        <v>24</v>
      </c>
      <c r="I1186" t="s">
        <v>43</v>
      </c>
      <c r="J1186">
        <v>152.19999999999999</v>
      </c>
      <c r="K1186">
        <v>2143</v>
      </c>
      <c r="L1186">
        <v>4038000</v>
      </c>
      <c r="M1186" t="b">
        <v>0</v>
      </c>
      <c r="N1186" t="b">
        <v>0</v>
      </c>
      <c r="O1186">
        <v>5000</v>
      </c>
      <c r="P1186" t="b">
        <v>0</v>
      </c>
      <c r="Q1186" t="b">
        <v>0</v>
      </c>
      <c r="R1186" t="b">
        <v>0</v>
      </c>
      <c r="S1186" t="s">
        <v>101</v>
      </c>
      <c r="T1186" t="s">
        <v>1637</v>
      </c>
      <c r="U1186">
        <v>42.86</v>
      </c>
      <c r="V1186">
        <v>0</v>
      </c>
      <c r="W1186">
        <v>0</v>
      </c>
      <c r="X1186">
        <v>4</v>
      </c>
      <c r="Y1186" s="6">
        <v>46054</v>
      </c>
      <c r="Z1186">
        <v>2</v>
      </c>
    </row>
    <row r="1187" spans="1:26" x14ac:dyDescent="0.3">
      <c r="A1187" t="s">
        <v>1292</v>
      </c>
      <c r="B1187" s="5">
        <v>46111</v>
      </c>
      <c r="C1187" s="5">
        <v>46112</v>
      </c>
      <c r="D1187" s="5">
        <v>46115</v>
      </c>
      <c r="E1187" s="5">
        <v>46115</v>
      </c>
      <c r="F1187" t="s">
        <v>34</v>
      </c>
      <c r="G1187" t="s">
        <v>54</v>
      </c>
      <c r="H1187" t="s">
        <v>21</v>
      </c>
      <c r="I1187" t="s">
        <v>42</v>
      </c>
      <c r="J1187">
        <v>457.6</v>
      </c>
      <c r="K1187">
        <v>11677.4</v>
      </c>
      <c r="L1187">
        <v>13005000</v>
      </c>
      <c r="M1187" t="b">
        <v>0</v>
      </c>
      <c r="N1187" t="b">
        <v>0</v>
      </c>
      <c r="O1187">
        <v>16000</v>
      </c>
      <c r="P1187" t="b">
        <v>0</v>
      </c>
      <c r="Q1187" t="b">
        <v>0</v>
      </c>
      <c r="R1187" t="b">
        <v>0</v>
      </c>
      <c r="S1187" t="s">
        <v>96</v>
      </c>
      <c r="T1187" t="s">
        <v>1635</v>
      </c>
      <c r="U1187">
        <v>72.983750000000001</v>
      </c>
      <c r="V1187">
        <v>0</v>
      </c>
      <c r="W1187">
        <v>0</v>
      </c>
      <c r="X1187">
        <v>3</v>
      </c>
      <c r="Y1187" s="6">
        <v>46082</v>
      </c>
    </row>
    <row r="1188" spans="1:26" x14ac:dyDescent="0.3">
      <c r="A1188" t="s">
        <v>1293</v>
      </c>
      <c r="B1188" s="5">
        <v>46105</v>
      </c>
      <c r="C1188" s="5">
        <v>46107</v>
      </c>
      <c r="D1188" s="5">
        <v>46111</v>
      </c>
      <c r="E1188" s="5">
        <v>46111</v>
      </c>
      <c r="F1188" t="s">
        <v>31</v>
      </c>
      <c r="G1188" t="s">
        <v>62</v>
      </c>
      <c r="H1188" t="s">
        <v>21</v>
      </c>
      <c r="I1188" t="s">
        <v>42</v>
      </c>
      <c r="J1188">
        <v>777.3</v>
      </c>
      <c r="K1188">
        <v>8722.6</v>
      </c>
      <c r="L1188">
        <v>17720000</v>
      </c>
      <c r="M1188" t="b">
        <v>0</v>
      </c>
      <c r="N1188" t="b">
        <v>0</v>
      </c>
      <c r="O1188">
        <v>16000</v>
      </c>
      <c r="P1188" t="b">
        <v>0</v>
      </c>
      <c r="Q1188" t="b">
        <v>0</v>
      </c>
      <c r="R1188" t="b">
        <v>0</v>
      </c>
      <c r="S1188" t="s">
        <v>96</v>
      </c>
      <c r="T1188" t="s">
        <v>1615</v>
      </c>
      <c r="U1188">
        <v>54.516249999999999</v>
      </c>
      <c r="V1188">
        <v>0</v>
      </c>
      <c r="W1188">
        <v>0</v>
      </c>
      <c r="X1188">
        <v>4</v>
      </c>
      <c r="Y1188" s="6">
        <v>46082</v>
      </c>
    </row>
    <row r="1189" spans="1:26" x14ac:dyDescent="0.3">
      <c r="A1189" t="s">
        <v>1294</v>
      </c>
      <c r="B1189" s="5">
        <v>46078</v>
      </c>
      <c r="C1189" s="5">
        <v>46080</v>
      </c>
      <c r="D1189" s="5">
        <v>46084</v>
      </c>
      <c r="E1189" s="5">
        <v>46083</v>
      </c>
      <c r="F1189" t="s">
        <v>31</v>
      </c>
      <c r="G1189" t="s">
        <v>62</v>
      </c>
      <c r="H1189" t="s">
        <v>21</v>
      </c>
      <c r="I1189" t="s">
        <v>45</v>
      </c>
      <c r="J1189">
        <v>752.7</v>
      </c>
      <c r="K1189">
        <v>635</v>
      </c>
      <c r="L1189">
        <v>6524000</v>
      </c>
      <c r="M1189" t="b">
        <v>0</v>
      </c>
      <c r="N1189" t="b">
        <v>0</v>
      </c>
      <c r="O1189">
        <v>1000</v>
      </c>
      <c r="P1189" t="b">
        <v>0</v>
      </c>
      <c r="Q1189" t="b">
        <v>0</v>
      </c>
      <c r="R1189" t="b">
        <v>0</v>
      </c>
      <c r="S1189" t="s">
        <v>96</v>
      </c>
      <c r="T1189" t="s">
        <v>1615</v>
      </c>
      <c r="U1189">
        <v>63.5</v>
      </c>
      <c r="V1189">
        <v>0</v>
      </c>
      <c r="W1189">
        <v>0</v>
      </c>
      <c r="X1189">
        <v>3</v>
      </c>
      <c r="Y1189" s="6">
        <v>46054</v>
      </c>
    </row>
    <row r="1190" spans="1:26" x14ac:dyDescent="0.3">
      <c r="A1190" t="s">
        <v>1295</v>
      </c>
      <c r="B1190" s="5">
        <v>46095</v>
      </c>
      <c r="C1190" s="5">
        <v>46096</v>
      </c>
      <c r="D1190" s="5">
        <v>46098</v>
      </c>
      <c r="E1190" s="5">
        <v>46098</v>
      </c>
      <c r="F1190" t="s">
        <v>34</v>
      </c>
      <c r="G1190" t="s">
        <v>52</v>
      </c>
      <c r="H1190" t="s">
        <v>23</v>
      </c>
      <c r="I1190" t="s">
        <v>42</v>
      </c>
      <c r="J1190">
        <v>265.8</v>
      </c>
      <c r="K1190">
        <v>2783.2</v>
      </c>
      <c r="L1190">
        <v>6775000</v>
      </c>
      <c r="M1190" t="b">
        <v>0</v>
      </c>
      <c r="N1190" t="b">
        <v>0</v>
      </c>
      <c r="O1190">
        <v>16000</v>
      </c>
      <c r="P1190" t="b">
        <v>0</v>
      </c>
      <c r="Q1190" t="b">
        <v>0</v>
      </c>
      <c r="R1190" t="b">
        <v>0</v>
      </c>
      <c r="S1190" t="s">
        <v>96</v>
      </c>
      <c r="T1190" t="s">
        <v>1623</v>
      </c>
      <c r="U1190">
        <v>17.395</v>
      </c>
      <c r="V1190">
        <v>0</v>
      </c>
      <c r="W1190">
        <v>0</v>
      </c>
      <c r="X1190">
        <v>2</v>
      </c>
      <c r="Y1190" s="6">
        <v>46082</v>
      </c>
    </row>
    <row r="1191" spans="1:26" x14ac:dyDescent="0.3">
      <c r="A1191" t="s">
        <v>1296</v>
      </c>
      <c r="B1191" s="5">
        <v>46190</v>
      </c>
      <c r="C1191" s="5">
        <v>46191</v>
      </c>
      <c r="D1191" s="5">
        <v>46192</v>
      </c>
      <c r="E1191" s="5">
        <v>46192</v>
      </c>
      <c r="F1191" t="s">
        <v>34</v>
      </c>
      <c r="G1191" t="s">
        <v>55</v>
      </c>
      <c r="H1191" t="s">
        <v>24</v>
      </c>
      <c r="I1191" t="s">
        <v>43</v>
      </c>
      <c r="J1191">
        <v>54.9</v>
      </c>
      <c r="K1191">
        <v>909.3</v>
      </c>
      <c r="L1191">
        <v>1950000</v>
      </c>
      <c r="M1191" t="b">
        <v>0</v>
      </c>
      <c r="N1191" t="b">
        <v>0</v>
      </c>
      <c r="O1191">
        <v>5000</v>
      </c>
      <c r="P1191" t="b">
        <v>0</v>
      </c>
      <c r="Q1191" t="b">
        <v>0</v>
      </c>
      <c r="R1191" t="b">
        <v>0</v>
      </c>
      <c r="S1191" t="s">
        <v>96</v>
      </c>
      <c r="T1191" t="s">
        <v>1639</v>
      </c>
      <c r="U1191">
        <v>18.186</v>
      </c>
      <c r="V1191">
        <v>0</v>
      </c>
      <c r="W1191">
        <v>0</v>
      </c>
      <c r="X1191">
        <v>1</v>
      </c>
      <c r="Y1191" s="6">
        <v>46174</v>
      </c>
    </row>
    <row r="1192" spans="1:26" x14ac:dyDescent="0.3">
      <c r="A1192" t="s">
        <v>1297</v>
      </c>
      <c r="B1192" s="5">
        <v>46105</v>
      </c>
      <c r="C1192" s="5">
        <v>46106</v>
      </c>
      <c r="D1192" s="5">
        <v>46110</v>
      </c>
      <c r="E1192" s="5">
        <v>46111</v>
      </c>
      <c r="F1192" t="s">
        <v>33</v>
      </c>
      <c r="G1192" t="s">
        <v>54</v>
      </c>
      <c r="H1192" t="s">
        <v>21</v>
      </c>
      <c r="I1192" t="s">
        <v>43</v>
      </c>
      <c r="J1192">
        <v>963</v>
      </c>
      <c r="K1192">
        <v>2920</v>
      </c>
      <c r="L1192">
        <v>14643000</v>
      </c>
      <c r="M1192" t="b">
        <v>0</v>
      </c>
      <c r="N1192" t="b">
        <v>0</v>
      </c>
      <c r="O1192">
        <v>5000</v>
      </c>
      <c r="P1192" t="b">
        <v>0</v>
      </c>
      <c r="Q1192" t="b">
        <v>0</v>
      </c>
      <c r="R1192" t="b">
        <v>0</v>
      </c>
      <c r="S1192" t="s">
        <v>101</v>
      </c>
      <c r="T1192" t="s">
        <v>1642</v>
      </c>
      <c r="U1192">
        <v>58.4</v>
      </c>
      <c r="V1192">
        <v>0</v>
      </c>
      <c r="W1192">
        <v>0</v>
      </c>
      <c r="X1192">
        <v>5</v>
      </c>
      <c r="Y1192" s="6">
        <v>46082</v>
      </c>
      <c r="Z1192">
        <v>1</v>
      </c>
    </row>
    <row r="1193" spans="1:26" x14ac:dyDescent="0.3">
      <c r="A1193" t="s">
        <v>1298</v>
      </c>
      <c r="B1193" s="5">
        <v>46054</v>
      </c>
      <c r="C1193" s="5">
        <v>46055</v>
      </c>
      <c r="D1193" s="5">
        <v>46059</v>
      </c>
      <c r="E1193" s="5">
        <v>46061</v>
      </c>
      <c r="F1193" t="s">
        <v>32</v>
      </c>
      <c r="G1193" t="s">
        <v>56</v>
      </c>
      <c r="H1193" t="s">
        <v>22</v>
      </c>
      <c r="I1193" t="s">
        <v>44</v>
      </c>
      <c r="J1193">
        <v>1131.2</v>
      </c>
      <c r="K1193">
        <v>1010.2</v>
      </c>
      <c r="L1193">
        <v>10763000</v>
      </c>
      <c r="M1193" t="b">
        <v>0</v>
      </c>
      <c r="N1193" t="b">
        <v>0</v>
      </c>
      <c r="O1193">
        <v>1500</v>
      </c>
      <c r="P1193" t="b">
        <v>0</v>
      </c>
      <c r="Q1193" t="b">
        <v>0</v>
      </c>
      <c r="R1193" t="b">
        <v>0</v>
      </c>
      <c r="S1193" t="s">
        <v>101</v>
      </c>
      <c r="T1193" t="s">
        <v>1658</v>
      </c>
      <c r="U1193">
        <v>67.346666666666664</v>
      </c>
      <c r="V1193">
        <v>0</v>
      </c>
      <c r="W1193">
        <v>0</v>
      </c>
      <c r="X1193">
        <v>6</v>
      </c>
      <c r="Y1193" s="6">
        <v>46054</v>
      </c>
      <c r="Z1193">
        <v>2</v>
      </c>
    </row>
    <row r="1194" spans="1:26" x14ac:dyDescent="0.3">
      <c r="A1194" t="s">
        <v>1299</v>
      </c>
      <c r="B1194" s="5">
        <v>46172</v>
      </c>
      <c r="C1194" s="5">
        <v>46173</v>
      </c>
      <c r="D1194" s="5">
        <v>46175</v>
      </c>
      <c r="E1194" s="5">
        <v>46175</v>
      </c>
      <c r="F1194" t="s">
        <v>31</v>
      </c>
      <c r="G1194" t="s">
        <v>57</v>
      </c>
      <c r="H1194" t="s">
        <v>21</v>
      </c>
      <c r="I1194" t="s">
        <v>43</v>
      </c>
      <c r="J1194">
        <v>130.30000000000001</v>
      </c>
      <c r="K1194">
        <v>1111.8</v>
      </c>
      <c r="L1194">
        <v>2801000</v>
      </c>
      <c r="M1194" t="b">
        <v>0</v>
      </c>
      <c r="N1194" t="b">
        <v>0</v>
      </c>
      <c r="O1194">
        <v>5000</v>
      </c>
      <c r="P1194" t="b">
        <v>0</v>
      </c>
      <c r="Q1194" t="b">
        <v>0</v>
      </c>
      <c r="R1194" t="b">
        <v>0</v>
      </c>
      <c r="S1194" t="s">
        <v>96</v>
      </c>
      <c r="T1194" t="s">
        <v>1617</v>
      </c>
      <c r="U1194">
        <v>22.236000000000001</v>
      </c>
      <c r="V1194">
        <v>0</v>
      </c>
      <c r="W1194">
        <v>0</v>
      </c>
      <c r="X1194">
        <v>2</v>
      </c>
      <c r="Y1194" s="6">
        <v>46143</v>
      </c>
    </row>
    <row r="1195" spans="1:26" x14ac:dyDescent="0.3">
      <c r="A1195" t="s">
        <v>1300</v>
      </c>
      <c r="B1195" s="5">
        <v>46051</v>
      </c>
      <c r="C1195" s="5">
        <v>46052</v>
      </c>
      <c r="D1195" s="5">
        <v>46056</v>
      </c>
      <c r="E1195" s="5">
        <v>46056</v>
      </c>
      <c r="F1195" t="s">
        <v>33</v>
      </c>
      <c r="G1195" t="s">
        <v>56</v>
      </c>
      <c r="H1195" t="s">
        <v>23</v>
      </c>
      <c r="I1195" t="s">
        <v>44</v>
      </c>
      <c r="J1195">
        <v>1594.2</v>
      </c>
      <c r="K1195">
        <v>582.4</v>
      </c>
      <c r="L1195">
        <v>14663000</v>
      </c>
      <c r="M1195" t="b">
        <v>0</v>
      </c>
      <c r="N1195" t="b">
        <v>0</v>
      </c>
      <c r="O1195">
        <v>1500</v>
      </c>
      <c r="P1195" t="b">
        <v>0</v>
      </c>
      <c r="Q1195" t="b">
        <v>0</v>
      </c>
      <c r="R1195" t="b">
        <v>0</v>
      </c>
      <c r="S1195" t="s">
        <v>96</v>
      </c>
      <c r="T1195" t="s">
        <v>1654</v>
      </c>
      <c r="U1195">
        <v>38.826666666666668</v>
      </c>
      <c r="V1195">
        <v>0</v>
      </c>
      <c r="W1195">
        <v>0</v>
      </c>
      <c r="X1195">
        <v>4</v>
      </c>
      <c r="Y1195" s="6">
        <v>46023</v>
      </c>
    </row>
    <row r="1196" spans="1:26" x14ac:dyDescent="0.3">
      <c r="A1196" t="s">
        <v>1301</v>
      </c>
      <c r="B1196" s="5">
        <v>46050</v>
      </c>
      <c r="C1196" s="5">
        <v>46050</v>
      </c>
      <c r="D1196" s="5">
        <v>46051</v>
      </c>
      <c r="E1196" s="5">
        <v>46051</v>
      </c>
      <c r="F1196" t="s">
        <v>34</v>
      </c>
      <c r="G1196" t="s">
        <v>55</v>
      </c>
      <c r="H1196" t="s">
        <v>20</v>
      </c>
      <c r="I1196" t="s">
        <v>43</v>
      </c>
      <c r="J1196">
        <v>49.5</v>
      </c>
      <c r="K1196">
        <v>4090.6</v>
      </c>
      <c r="L1196">
        <v>3033000</v>
      </c>
      <c r="M1196" t="b">
        <v>0</v>
      </c>
      <c r="N1196" t="b">
        <v>0</v>
      </c>
      <c r="O1196">
        <v>5000</v>
      </c>
      <c r="P1196" t="b">
        <v>0</v>
      </c>
      <c r="Q1196" t="b">
        <v>0</v>
      </c>
      <c r="R1196" t="b">
        <v>0</v>
      </c>
      <c r="S1196" t="s">
        <v>96</v>
      </c>
      <c r="T1196" t="s">
        <v>1639</v>
      </c>
      <c r="U1196">
        <v>81.811999999999998</v>
      </c>
      <c r="V1196">
        <v>0</v>
      </c>
      <c r="W1196">
        <v>0</v>
      </c>
      <c r="X1196">
        <v>1</v>
      </c>
      <c r="Y1196" s="6">
        <v>46023</v>
      </c>
    </row>
    <row r="1197" spans="1:26" x14ac:dyDescent="0.3">
      <c r="A1197" t="s">
        <v>1302</v>
      </c>
      <c r="B1197" s="5">
        <v>46191</v>
      </c>
      <c r="C1197" s="5">
        <v>46192</v>
      </c>
      <c r="D1197" s="5">
        <v>46196</v>
      </c>
      <c r="E1197" s="5">
        <v>46195</v>
      </c>
      <c r="F1197" t="s">
        <v>34</v>
      </c>
      <c r="G1197" t="s">
        <v>62</v>
      </c>
      <c r="H1197" t="s">
        <v>20</v>
      </c>
      <c r="I1197" t="s">
        <v>44</v>
      </c>
      <c r="J1197">
        <v>792.7</v>
      </c>
      <c r="K1197">
        <v>571.1</v>
      </c>
      <c r="L1197">
        <v>7943000</v>
      </c>
      <c r="M1197" t="b">
        <v>0</v>
      </c>
      <c r="N1197" t="b">
        <v>0</v>
      </c>
      <c r="O1197">
        <v>1500</v>
      </c>
      <c r="P1197" t="b">
        <v>0</v>
      </c>
      <c r="Q1197" t="b">
        <v>0</v>
      </c>
      <c r="R1197" t="b">
        <v>0</v>
      </c>
      <c r="S1197" t="s">
        <v>96</v>
      </c>
      <c r="T1197" t="s">
        <v>1649</v>
      </c>
      <c r="U1197">
        <v>38.073333333333338</v>
      </c>
      <c r="V1197">
        <v>0</v>
      </c>
      <c r="W1197">
        <v>0</v>
      </c>
      <c r="X1197">
        <v>3</v>
      </c>
      <c r="Y1197" s="6">
        <v>46174</v>
      </c>
    </row>
    <row r="1198" spans="1:26" x14ac:dyDescent="0.3">
      <c r="A1198" t="s">
        <v>1303</v>
      </c>
      <c r="B1198" s="5">
        <v>46024</v>
      </c>
      <c r="C1198" s="5">
        <v>46025</v>
      </c>
      <c r="D1198" s="5">
        <v>46029</v>
      </c>
      <c r="E1198" s="5">
        <v>46030</v>
      </c>
      <c r="F1198" t="s">
        <v>31</v>
      </c>
      <c r="G1198" t="s">
        <v>62</v>
      </c>
      <c r="H1198" t="s">
        <v>24</v>
      </c>
      <c r="I1198" t="s">
        <v>43</v>
      </c>
      <c r="J1198">
        <v>758.4</v>
      </c>
      <c r="K1198">
        <v>544.1</v>
      </c>
      <c r="L1198">
        <v>11294000</v>
      </c>
      <c r="M1198" t="b">
        <v>0</v>
      </c>
      <c r="N1198" t="b">
        <v>0</v>
      </c>
      <c r="O1198">
        <v>5000</v>
      </c>
      <c r="P1198" t="b">
        <v>0</v>
      </c>
      <c r="Q1198" t="b">
        <v>0</v>
      </c>
      <c r="R1198" t="b">
        <v>0</v>
      </c>
      <c r="S1198" t="s">
        <v>101</v>
      </c>
      <c r="T1198" t="s">
        <v>1615</v>
      </c>
      <c r="U1198">
        <v>10.882</v>
      </c>
      <c r="V1198">
        <v>0</v>
      </c>
      <c r="W1198">
        <v>0</v>
      </c>
      <c r="X1198">
        <v>5</v>
      </c>
      <c r="Y1198" s="6">
        <v>46023</v>
      </c>
      <c r="Z1198">
        <v>1</v>
      </c>
    </row>
    <row r="1199" spans="1:26" x14ac:dyDescent="0.3">
      <c r="A1199" t="s">
        <v>1304</v>
      </c>
      <c r="B1199" s="5">
        <v>46130</v>
      </c>
      <c r="C1199" s="5">
        <v>46131</v>
      </c>
      <c r="D1199" s="5">
        <v>46135</v>
      </c>
      <c r="E1199" s="5">
        <v>46135</v>
      </c>
      <c r="F1199" t="s">
        <v>31</v>
      </c>
      <c r="G1199" t="s">
        <v>60</v>
      </c>
      <c r="H1199" t="s">
        <v>21</v>
      </c>
      <c r="I1199" t="s">
        <v>43</v>
      </c>
      <c r="J1199">
        <v>620.29999999999995</v>
      </c>
      <c r="K1199">
        <v>1919.4</v>
      </c>
      <c r="L1199">
        <v>9974000</v>
      </c>
      <c r="M1199" t="b">
        <v>0</v>
      </c>
      <c r="N1199" t="b">
        <v>0</v>
      </c>
      <c r="O1199">
        <v>5000</v>
      </c>
      <c r="P1199" t="b">
        <v>0</v>
      </c>
      <c r="Q1199" t="b">
        <v>0</v>
      </c>
      <c r="R1199" t="b">
        <v>0</v>
      </c>
      <c r="S1199" t="s">
        <v>96</v>
      </c>
      <c r="T1199" t="s">
        <v>1652</v>
      </c>
      <c r="U1199">
        <v>38.387999999999998</v>
      </c>
      <c r="V1199">
        <v>0</v>
      </c>
      <c r="W1199">
        <v>0</v>
      </c>
      <c r="X1199">
        <v>4</v>
      </c>
      <c r="Y1199" s="6">
        <v>46113</v>
      </c>
    </row>
    <row r="1200" spans="1:26" x14ac:dyDescent="0.3">
      <c r="A1200" t="s">
        <v>1305</v>
      </c>
      <c r="B1200" s="5">
        <v>46114</v>
      </c>
      <c r="C1200" s="5">
        <v>46115</v>
      </c>
      <c r="D1200" s="5">
        <v>46117</v>
      </c>
      <c r="E1200" s="5">
        <v>46117</v>
      </c>
      <c r="F1200" t="s">
        <v>31</v>
      </c>
      <c r="G1200" t="s">
        <v>58</v>
      </c>
      <c r="H1200" t="s">
        <v>24</v>
      </c>
      <c r="I1200" t="s">
        <v>42</v>
      </c>
      <c r="J1200">
        <v>192</v>
      </c>
      <c r="K1200">
        <v>11725.1</v>
      </c>
      <c r="L1200">
        <v>7821000</v>
      </c>
      <c r="M1200" t="b">
        <v>0</v>
      </c>
      <c r="N1200" t="b">
        <v>0</v>
      </c>
      <c r="O1200">
        <v>16000</v>
      </c>
      <c r="P1200" t="b">
        <v>0</v>
      </c>
      <c r="Q1200" t="b">
        <v>0</v>
      </c>
      <c r="R1200" t="b">
        <v>0</v>
      </c>
      <c r="S1200" t="s">
        <v>96</v>
      </c>
      <c r="T1200" t="s">
        <v>1621</v>
      </c>
      <c r="U1200">
        <v>73.281875000000014</v>
      </c>
      <c r="V1200">
        <v>0</v>
      </c>
      <c r="W1200">
        <v>0</v>
      </c>
      <c r="X1200">
        <v>2</v>
      </c>
      <c r="Y1200" s="6">
        <v>46113</v>
      </c>
    </row>
    <row r="1201" spans="1:26" x14ac:dyDescent="0.3">
      <c r="A1201" t="s">
        <v>1306</v>
      </c>
      <c r="B1201" s="5">
        <v>46194</v>
      </c>
      <c r="C1201" s="5">
        <v>46195</v>
      </c>
      <c r="D1201" s="5">
        <v>46198</v>
      </c>
      <c r="E1201" s="5">
        <v>46199</v>
      </c>
      <c r="F1201" t="s">
        <v>32</v>
      </c>
      <c r="G1201" t="s">
        <v>54</v>
      </c>
      <c r="H1201" t="s">
        <v>20</v>
      </c>
      <c r="I1201" t="s">
        <v>42</v>
      </c>
      <c r="J1201">
        <v>543.4</v>
      </c>
      <c r="K1201">
        <v>8887.6</v>
      </c>
      <c r="L1201">
        <v>12290000</v>
      </c>
      <c r="M1201" t="b">
        <v>0</v>
      </c>
      <c r="N1201" t="b">
        <v>0</v>
      </c>
      <c r="O1201">
        <v>16000</v>
      </c>
      <c r="P1201" t="b">
        <v>0</v>
      </c>
      <c r="Q1201" t="b">
        <v>0</v>
      </c>
      <c r="R1201" t="b">
        <v>0</v>
      </c>
      <c r="S1201" t="s">
        <v>101</v>
      </c>
      <c r="T1201" t="s">
        <v>1655</v>
      </c>
      <c r="U1201">
        <v>55.547500000000007</v>
      </c>
      <c r="V1201">
        <v>0</v>
      </c>
      <c r="W1201">
        <v>0</v>
      </c>
      <c r="X1201">
        <v>4</v>
      </c>
      <c r="Y1201" s="6">
        <v>46174</v>
      </c>
      <c r="Z1201">
        <v>1</v>
      </c>
    </row>
    <row r="1202" spans="1:26" x14ac:dyDescent="0.3">
      <c r="A1202" t="s">
        <v>1307</v>
      </c>
      <c r="B1202" s="5">
        <v>46137</v>
      </c>
      <c r="C1202" s="5">
        <v>46138</v>
      </c>
      <c r="D1202" s="5">
        <v>46139</v>
      </c>
      <c r="E1202" s="5">
        <v>46139</v>
      </c>
      <c r="F1202" t="s">
        <v>34</v>
      </c>
      <c r="G1202" t="s">
        <v>55</v>
      </c>
      <c r="H1202" t="s">
        <v>24</v>
      </c>
      <c r="I1202" t="s">
        <v>43</v>
      </c>
      <c r="J1202">
        <v>58.5</v>
      </c>
      <c r="K1202">
        <v>1703.4</v>
      </c>
      <c r="L1202">
        <v>2048000</v>
      </c>
      <c r="M1202" t="b">
        <v>0</v>
      </c>
      <c r="N1202" t="b">
        <v>0</v>
      </c>
      <c r="O1202">
        <v>5000</v>
      </c>
      <c r="P1202" t="b">
        <v>0</v>
      </c>
      <c r="Q1202" t="b">
        <v>0</v>
      </c>
      <c r="R1202" t="b">
        <v>0</v>
      </c>
      <c r="S1202" t="s">
        <v>96</v>
      </c>
      <c r="T1202" t="s">
        <v>1639</v>
      </c>
      <c r="U1202">
        <v>34.067999999999998</v>
      </c>
      <c r="V1202">
        <v>0</v>
      </c>
      <c r="W1202">
        <v>0</v>
      </c>
      <c r="X1202">
        <v>1</v>
      </c>
      <c r="Y1202" s="6">
        <v>46113</v>
      </c>
    </row>
    <row r="1203" spans="1:26" x14ac:dyDescent="0.3">
      <c r="A1203" t="s">
        <v>1308</v>
      </c>
      <c r="B1203" s="5">
        <v>46169</v>
      </c>
      <c r="C1203" s="5">
        <v>46170</v>
      </c>
      <c r="D1203" s="5">
        <v>46172</v>
      </c>
      <c r="E1203" s="5">
        <v>46172</v>
      </c>
      <c r="F1203" t="s">
        <v>32</v>
      </c>
      <c r="G1203" t="s">
        <v>59</v>
      </c>
      <c r="H1203" t="s">
        <v>22</v>
      </c>
      <c r="I1203" t="s">
        <v>45</v>
      </c>
      <c r="J1203">
        <v>171.8</v>
      </c>
      <c r="K1203">
        <v>405</v>
      </c>
      <c r="L1203">
        <v>2233000</v>
      </c>
      <c r="M1203" t="b">
        <v>0</v>
      </c>
      <c r="N1203" t="b">
        <v>0</v>
      </c>
      <c r="O1203">
        <v>1000</v>
      </c>
      <c r="P1203" t="b">
        <v>0</v>
      </c>
      <c r="Q1203" t="b">
        <v>0</v>
      </c>
      <c r="R1203" t="b">
        <v>0</v>
      </c>
      <c r="S1203" t="s">
        <v>96</v>
      </c>
      <c r="T1203" t="s">
        <v>1619</v>
      </c>
      <c r="U1203">
        <v>40.5</v>
      </c>
      <c r="V1203">
        <v>0</v>
      </c>
      <c r="W1203">
        <v>0</v>
      </c>
      <c r="X1203">
        <v>2</v>
      </c>
      <c r="Y1203" s="6">
        <v>46143</v>
      </c>
    </row>
    <row r="1204" spans="1:26" x14ac:dyDescent="0.3">
      <c r="A1204" t="s">
        <v>1309</v>
      </c>
      <c r="B1204" s="5">
        <v>46092</v>
      </c>
      <c r="C1204" s="5">
        <v>46094</v>
      </c>
      <c r="D1204" s="5">
        <v>46097</v>
      </c>
      <c r="E1204" s="5">
        <v>46097</v>
      </c>
      <c r="F1204" t="s">
        <v>34</v>
      </c>
      <c r="G1204" t="s">
        <v>60</v>
      </c>
      <c r="H1204" t="s">
        <v>21</v>
      </c>
      <c r="I1204" t="s">
        <v>44</v>
      </c>
      <c r="J1204">
        <v>592.6</v>
      </c>
      <c r="K1204">
        <v>644.70000000000005</v>
      </c>
      <c r="L1204">
        <v>6231000</v>
      </c>
      <c r="M1204" t="b">
        <v>0</v>
      </c>
      <c r="N1204" t="b">
        <v>0</v>
      </c>
      <c r="O1204">
        <v>1500</v>
      </c>
      <c r="P1204" t="b">
        <v>0</v>
      </c>
      <c r="Q1204" t="b">
        <v>0</v>
      </c>
      <c r="R1204" t="b">
        <v>0</v>
      </c>
      <c r="S1204" t="s">
        <v>96</v>
      </c>
      <c r="T1204" t="s">
        <v>1644</v>
      </c>
      <c r="U1204">
        <v>42.98</v>
      </c>
      <c r="V1204">
        <v>0</v>
      </c>
      <c r="W1204">
        <v>0</v>
      </c>
      <c r="X1204">
        <v>3</v>
      </c>
      <c r="Y1204" s="6">
        <v>46082</v>
      </c>
    </row>
    <row r="1205" spans="1:26" x14ac:dyDescent="0.3">
      <c r="A1205" t="s">
        <v>1310</v>
      </c>
      <c r="B1205" s="5">
        <v>46066</v>
      </c>
      <c r="C1205" s="5">
        <v>46067</v>
      </c>
      <c r="D1205" s="5">
        <v>46069</v>
      </c>
      <c r="E1205" s="5">
        <v>46069</v>
      </c>
      <c r="F1205" t="s">
        <v>32</v>
      </c>
      <c r="G1205" t="s">
        <v>55</v>
      </c>
      <c r="H1205" t="s">
        <v>20</v>
      </c>
      <c r="I1205" t="s">
        <v>43</v>
      </c>
      <c r="J1205">
        <v>131.5</v>
      </c>
      <c r="K1205">
        <v>1058</v>
      </c>
      <c r="L1205">
        <v>2585000</v>
      </c>
      <c r="M1205" t="b">
        <v>0</v>
      </c>
      <c r="N1205" t="b">
        <v>0</v>
      </c>
      <c r="O1205">
        <v>5000</v>
      </c>
      <c r="P1205" t="b">
        <v>0</v>
      </c>
      <c r="Q1205" t="b">
        <v>0</v>
      </c>
      <c r="R1205" t="b">
        <v>0</v>
      </c>
      <c r="S1205" t="s">
        <v>96</v>
      </c>
      <c r="T1205" t="s">
        <v>1633</v>
      </c>
      <c r="U1205">
        <v>21.16</v>
      </c>
      <c r="V1205">
        <v>0</v>
      </c>
      <c r="W1205">
        <v>0</v>
      </c>
      <c r="X1205">
        <v>2</v>
      </c>
      <c r="Y1205" s="6">
        <v>46054</v>
      </c>
    </row>
    <row r="1206" spans="1:26" x14ac:dyDescent="0.3">
      <c r="A1206" t="s">
        <v>1311</v>
      </c>
      <c r="B1206" s="5">
        <v>46195</v>
      </c>
      <c r="C1206" s="5">
        <v>46196</v>
      </c>
      <c r="D1206" s="5">
        <v>46197</v>
      </c>
      <c r="E1206" s="5">
        <v>46197</v>
      </c>
      <c r="F1206" t="s">
        <v>34</v>
      </c>
      <c r="G1206" t="s">
        <v>61</v>
      </c>
      <c r="H1206" t="s">
        <v>20</v>
      </c>
      <c r="I1206" t="s">
        <v>42</v>
      </c>
      <c r="J1206">
        <v>22.5</v>
      </c>
      <c r="K1206">
        <v>13646.5</v>
      </c>
      <c r="L1206">
        <v>5305000</v>
      </c>
      <c r="M1206" t="b">
        <v>0</v>
      </c>
      <c r="N1206" t="b">
        <v>0</v>
      </c>
      <c r="O1206">
        <v>16000</v>
      </c>
      <c r="P1206" t="b">
        <v>0</v>
      </c>
      <c r="Q1206" t="b">
        <v>0</v>
      </c>
      <c r="R1206" t="b">
        <v>0</v>
      </c>
      <c r="S1206" t="s">
        <v>96</v>
      </c>
      <c r="T1206" t="s">
        <v>1638</v>
      </c>
      <c r="U1206">
        <v>85.290624999999991</v>
      </c>
      <c r="V1206">
        <v>0</v>
      </c>
      <c r="W1206">
        <v>0</v>
      </c>
      <c r="X1206">
        <v>1</v>
      </c>
      <c r="Y1206" s="6">
        <v>46174</v>
      </c>
    </row>
    <row r="1207" spans="1:26" x14ac:dyDescent="0.3">
      <c r="A1207" t="s">
        <v>1312</v>
      </c>
      <c r="B1207" s="5">
        <v>46025</v>
      </c>
      <c r="C1207" s="5">
        <v>46026</v>
      </c>
      <c r="D1207" s="5">
        <v>46027</v>
      </c>
      <c r="E1207" s="5">
        <v>46027</v>
      </c>
      <c r="F1207" t="s">
        <v>31</v>
      </c>
      <c r="G1207" t="s">
        <v>55</v>
      </c>
      <c r="H1207" t="s">
        <v>20</v>
      </c>
      <c r="I1207" t="s">
        <v>43</v>
      </c>
      <c r="J1207">
        <v>18.7</v>
      </c>
      <c r="K1207">
        <v>1300.8</v>
      </c>
      <c r="L1207">
        <v>1475000</v>
      </c>
      <c r="M1207" t="b">
        <v>0</v>
      </c>
      <c r="N1207" t="b">
        <v>0</v>
      </c>
      <c r="O1207">
        <v>5000</v>
      </c>
      <c r="P1207" t="b">
        <v>0</v>
      </c>
      <c r="Q1207" t="b">
        <v>0</v>
      </c>
      <c r="R1207" t="b">
        <v>0</v>
      </c>
      <c r="S1207" t="s">
        <v>96</v>
      </c>
      <c r="T1207" t="s">
        <v>1629</v>
      </c>
      <c r="U1207">
        <v>26.015999999999998</v>
      </c>
      <c r="V1207">
        <v>0</v>
      </c>
      <c r="W1207">
        <v>0</v>
      </c>
      <c r="X1207">
        <v>1</v>
      </c>
      <c r="Y1207" s="6">
        <v>46023</v>
      </c>
    </row>
    <row r="1208" spans="1:26" x14ac:dyDescent="0.3">
      <c r="A1208" t="s">
        <v>1313</v>
      </c>
      <c r="B1208" s="5">
        <v>46203</v>
      </c>
      <c r="C1208" s="5">
        <v>46204</v>
      </c>
      <c r="D1208" s="5">
        <v>46206</v>
      </c>
      <c r="E1208" s="5">
        <v>46207</v>
      </c>
      <c r="F1208" t="s">
        <v>32</v>
      </c>
      <c r="G1208" t="s">
        <v>53</v>
      </c>
      <c r="H1208" t="s">
        <v>24</v>
      </c>
      <c r="I1208" t="s">
        <v>44</v>
      </c>
      <c r="J1208">
        <v>265.10000000000002</v>
      </c>
      <c r="K1208">
        <v>1020</v>
      </c>
      <c r="L1208">
        <v>3237000</v>
      </c>
      <c r="M1208" t="b">
        <v>0</v>
      </c>
      <c r="N1208" t="b">
        <v>0</v>
      </c>
      <c r="O1208">
        <v>1500</v>
      </c>
      <c r="P1208" t="b">
        <v>0</v>
      </c>
      <c r="Q1208" t="b">
        <v>0</v>
      </c>
      <c r="R1208" t="b">
        <v>0</v>
      </c>
      <c r="S1208" t="s">
        <v>101</v>
      </c>
      <c r="T1208" t="s">
        <v>1612</v>
      </c>
      <c r="U1208">
        <v>68</v>
      </c>
      <c r="V1208">
        <v>0</v>
      </c>
      <c r="W1208">
        <v>0</v>
      </c>
      <c r="X1208">
        <v>3</v>
      </c>
      <c r="Y1208" s="6">
        <v>46204</v>
      </c>
      <c r="Z1208">
        <v>1</v>
      </c>
    </row>
    <row r="1209" spans="1:26" x14ac:dyDescent="0.3">
      <c r="A1209" t="s">
        <v>1314</v>
      </c>
      <c r="B1209" s="5">
        <v>46095</v>
      </c>
      <c r="C1209" s="5">
        <v>46095</v>
      </c>
      <c r="D1209" s="5">
        <v>46097</v>
      </c>
      <c r="E1209" s="5">
        <v>46098</v>
      </c>
      <c r="F1209" t="s">
        <v>32</v>
      </c>
      <c r="G1209" t="s">
        <v>55</v>
      </c>
      <c r="H1209" t="s">
        <v>23</v>
      </c>
      <c r="I1209" t="s">
        <v>43</v>
      </c>
      <c r="J1209">
        <v>135.6</v>
      </c>
      <c r="K1209">
        <v>1397.4</v>
      </c>
      <c r="L1209">
        <v>2932000</v>
      </c>
      <c r="M1209" t="b">
        <v>0</v>
      </c>
      <c r="N1209" t="b">
        <v>0</v>
      </c>
      <c r="O1209">
        <v>5000</v>
      </c>
      <c r="P1209" t="b">
        <v>0</v>
      </c>
      <c r="Q1209" t="b">
        <v>0</v>
      </c>
      <c r="R1209" t="b">
        <v>0</v>
      </c>
      <c r="S1209" t="s">
        <v>101</v>
      </c>
      <c r="T1209" t="s">
        <v>1633</v>
      </c>
      <c r="U1209">
        <v>27.948</v>
      </c>
      <c r="V1209">
        <v>0</v>
      </c>
      <c r="W1209">
        <v>0</v>
      </c>
      <c r="X1209">
        <v>3</v>
      </c>
      <c r="Y1209" s="6">
        <v>46082</v>
      </c>
      <c r="Z1209">
        <v>1</v>
      </c>
    </row>
    <row r="1210" spans="1:26" x14ac:dyDescent="0.3">
      <c r="A1210" t="s">
        <v>1315</v>
      </c>
      <c r="B1210" s="5">
        <v>46048</v>
      </c>
      <c r="C1210" s="5">
        <v>46049</v>
      </c>
      <c r="D1210" s="5">
        <v>46052</v>
      </c>
      <c r="E1210" s="5">
        <v>46051</v>
      </c>
      <c r="F1210" t="s">
        <v>34</v>
      </c>
      <c r="G1210" t="s">
        <v>58</v>
      </c>
      <c r="H1210" t="s">
        <v>22</v>
      </c>
      <c r="I1210" t="s">
        <v>42</v>
      </c>
      <c r="J1210">
        <v>165.6</v>
      </c>
      <c r="K1210">
        <v>14993.3</v>
      </c>
      <c r="L1210">
        <v>7631000</v>
      </c>
      <c r="M1210" t="b">
        <v>0</v>
      </c>
      <c r="N1210" t="b">
        <v>0</v>
      </c>
      <c r="O1210">
        <v>16000</v>
      </c>
      <c r="P1210" t="b">
        <v>0</v>
      </c>
      <c r="Q1210" t="b">
        <v>0</v>
      </c>
      <c r="R1210" t="b">
        <v>0</v>
      </c>
      <c r="S1210" t="s">
        <v>96</v>
      </c>
      <c r="T1210" t="s">
        <v>1637</v>
      </c>
      <c r="U1210">
        <v>93.708124999999995</v>
      </c>
      <c r="V1210">
        <v>0</v>
      </c>
      <c r="W1210">
        <v>0</v>
      </c>
      <c r="X1210">
        <v>2</v>
      </c>
      <c r="Y1210" s="6">
        <v>46023</v>
      </c>
    </row>
    <row r="1211" spans="1:26" x14ac:dyDescent="0.3">
      <c r="A1211" t="s">
        <v>1316</v>
      </c>
      <c r="B1211" s="5">
        <v>46143</v>
      </c>
      <c r="C1211" s="5">
        <v>46144</v>
      </c>
      <c r="D1211" s="5">
        <v>46146</v>
      </c>
      <c r="E1211" s="5">
        <v>46147</v>
      </c>
      <c r="F1211" t="s">
        <v>32</v>
      </c>
      <c r="G1211" t="s">
        <v>59</v>
      </c>
      <c r="H1211" t="s">
        <v>23</v>
      </c>
      <c r="I1211" t="s">
        <v>42</v>
      </c>
      <c r="J1211">
        <v>162.69999999999999</v>
      </c>
      <c r="K1211">
        <v>13384.5</v>
      </c>
      <c r="L1211">
        <v>7853000</v>
      </c>
      <c r="M1211" t="b">
        <v>0</v>
      </c>
      <c r="N1211" t="b">
        <v>0</v>
      </c>
      <c r="O1211">
        <v>16000</v>
      </c>
      <c r="P1211" t="b">
        <v>0</v>
      </c>
      <c r="Q1211" t="b">
        <v>0</v>
      </c>
      <c r="R1211" t="b">
        <v>0</v>
      </c>
      <c r="S1211" t="s">
        <v>101</v>
      </c>
      <c r="T1211" t="s">
        <v>1619</v>
      </c>
      <c r="U1211">
        <v>83.653124999999989</v>
      </c>
      <c r="V1211">
        <v>0</v>
      </c>
      <c r="W1211">
        <v>0</v>
      </c>
      <c r="X1211">
        <v>3</v>
      </c>
      <c r="Y1211" s="6">
        <v>46143</v>
      </c>
      <c r="Z1211">
        <v>1</v>
      </c>
    </row>
    <row r="1212" spans="1:26" x14ac:dyDescent="0.3">
      <c r="A1212" t="s">
        <v>1317</v>
      </c>
      <c r="B1212" s="5">
        <v>46089</v>
      </c>
      <c r="C1212" s="5">
        <v>46090</v>
      </c>
      <c r="D1212" s="5">
        <v>46091</v>
      </c>
      <c r="E1212" s="5">
        <v>46091</v>
      </c>
      <c r="F1212" t="s">
        <v>32</v>
      </c>
      <c r="G1212" t="s">
        <v>57</v>
      </c>
      <c r="H1212" t="s">
        <v>21</v>
      </c>
      <c r="I1212" t="s">
        <v>42</v>
      </c>
      <c r="J1212">
        <v>27.3</v>
      </c>
      <c r="K1212">
        <v>8130.6</v>
      </c>
      <c r="L1212">
        <v>3405000</v>
      </c>
      <c r="M1212" t="b">
        <v>0</v>
      </c>
      <c r="N1212" t="b">
        <v>0</v>
      </c>
      <c r="O1212">
        <v>16000</v>
      </c>
      <c r="P1212" t="b">
        <v>0</v>
      </c>
      <c r="Q1212" t="b">
        <v>0</v>
      </c>
      <c r="R1212" t="b">
        <v>0</v>
      </c>
      <c r="S1212" t="s">
        <v>96</v>
      </c>
      <c r="T1212" t="s">
        <v>1630</v>
      </c>
      <c r="U1212">
        <v>50.816250000000011</v>
      </c>
      <c r="V1212">
        <v>0</v>
      </c>
      <c r="W1212">
        <v>0</v>
      </c>
      <c r="X1212">
        <v>1</v>
      </c>
      <c r="Y1212" s="6">
        <v>46082</v>
      </c>
    </row>
    <row r="1213" spans="1:26" x14ac:dyDescent="0.3">
      <c r="A1213" t="s">
        <v>1318</v>
      </c>
      <c r="B1213" s="5">
        <v>46157</v>
      </c>
      <c r="C1213" s="5">
        <v>46159</v>
      </c>
      <c r="D1213" s="5">
        <v>46163</v>
      </c>
      <c r="E1213" s="5">
        <v>46163</v>
      </c>
      <c r="F1213" t="s">
        <v>33</v>
      </c>
      <c r="G1213" t="s">
        <v>54</v>
      </c>
      <c r="H1213" t="s">
        <v>23</v>
      </c>
      <c r="I1213" t="s">
        <v>43</v>
      </c>
      <c r="J1213">
        <v>945.1</v>
      </c>
      <c r="K1213">
        <v>3718.8</v>
      </c>
      <c r="L1213">
        <v>15054000</v>
      </c>
      <c r="M1213" t="b">
        <v>0</v>
      </c>
      <c r="N1213" t="b">
        <v>0</v>
      </c>
      <c r="O1213">
        <v>5000</v>
      </c>
      <c r="P1213" t="b">
        <v>0</v>
      </c>
      <c r="Q1213" t="b">
        <v>0</v>
      </c>
      <c r="R1213" t="b">
        <v>0</v>
      </c>
      <c r="S1213" t="s">
        <v>96</v>
      </c>
      <c r="T1213" t="s">
        <v>1642</v>
      </c>
      <c r="U1213">
        <v>74.376000000000005</v>
      </c>
      <c r="V1213">
        <v>0</v>
      </c>
      <c r="W1213">
        <v>0</v>
      </c>
      <c r="X1213">
        <v>4</v>
      </c>
      <c r="Y1213" s="6">
        <v>46143</v>
      </c>
    </row>
    <row r="1214" spans="1:26" x14ac:dyDescent="0.3">
      <c r="A1214" t="s">
        <v>1319</v>
      </c>
      <c r="B1214" s="5">
        <v>46200</v>
      </c>
      <c r="C1214" s="5">
        <v>46201</v>
      </c>
      <c r="D1214" s="5">
        <v>46204</v>
      </c>
      <c r="E1214" s="5">
        <v>46205</v>
      </c>
      <c r="F1214" t="s">
        <v>32</v>
      </c>
      <c r="G1214" t="s">
        <v>63</v>
      </c>
      <c r="H1214" t="s">
        <v>23</v>
      </c>
      <c r="I1214" t="s">
        <v>45</v>
      </c>
      <c r="J1214">
        <v>179.4</v>
      </c>
      <c r="K1214">
        <v>110.9</v>
      </c>
      <c r="L1214">
        <v>2074000</v>
      </c>
      <c r="M1214" t="b">
        <v>0</v>
      </c>
      <c r="N1214" t="b">
        <v>0</v>
      </c>
      <c r="O1214">
        <v>1000</v>
      </c>
      <c r="P1214" t="b">
        <v>0</v>
      </c>
      <c r="Q1214" t="b">
        <v>0</v>
      </c>
      <c r="R1214" t="b">
        <v>0</v>
      </c>
      <c r="S1214" t="s">
        <v>101</v>
      </c>
      <c r="T1214" t="s">
        <v>1634</v>
      </c>
      <c r="U1214">
        <v>11.09</v>
      </c>
      <c r="V1214">
        <v>0</v>
      </c>
      <c r="W1214">
        <v>0</v>
      </c>
      <c r="X1214">
        <v>4</v>
      </c>
      <c r="Y1214" s="6">
        <v>46174</v>
      </c>
      <c r="Z1214">
        <v>1</v>
      </c>
    </row>
    <row r="1215" spans="1:26" x14ac:dyDescent="0.3">
      <c r="A1215" t="s">
        <v>1320</v>
      </c>
      <c r="B1215" s="5">
        <v>46189</v>
      </c>
      <c r="C1215" s="5">
        <v>46189</v>
      </c>
      <c r="D1215" s="5">
        <v>46190</v>
      </c>
      <c r="E1215" s="5">
        <v>46191</v>
      </c>
      <c r="F1215" t="s">
        <v>34</v>
      </c>
      <c r="G1215" t="s">
        <v>61</v>
      </c>
      <c r="H1215" t="s">
        <v>24</v>
      </c>
      <c r="I1215" t="s">
        <v>44</v>
      </c>
      <c r="J1215">
        <v>31.6</v>
      </c>
      <c r="K1215">
        <v>1242.0999999999999</v>
      </c>
      <c r="L1215">
        <v>1347000</v>
      </c>
      <c r="M1215" t="b">
        <v>0</v>
      </c>
      <c r="N1215" t="b">
        <v>0</v>
      </c>
      <c r="O1215">
        <v>1500</v>
      </c>
      <c r="P1215" t="b">
        <v>0</v>
      </c>
      <c r="Q1215" t="b">
        <v>0</v>
      </c>
      <c r="R1215" t="b">
        <v>0</v>
      </c>
      <c r="S1215" t="s">
        <v>101</v>
      </c>
      <c r="T1215" t="s">
        <v>1638</v>
      </c>
      <c r="U1215">
        <v>82.806666666666658</v>
      </c>
      <c r="V1215">
        <v>0</v>
      </c>
      <c r="W1215">
        <v>0</v>
      </c>
      <c r="X1215">
        <v>2</v>
      </c>
      <c r="Y1215" s="6">
        <v>46174</v>
      </c>
      <c r="Z1215">
        <v>1</v>
      </c>
    </row>
    <row r="1216" spans="1:26" x14ac:dyDescent="0.3">
      <c r="A1216" t="s">
        <v>1321</v>
      </c>
      <c r="B1216" s="5">
        <v>46099</v>
      </c>
      <c r="C1216" s="5">
        <v>46100</v>
      </c>
      <c r="D1216" s="5">
        <v>46104</v>
      </c>
      <c r="E1216" s="5">
        <v>46104</v>
      </c>
      <c r="F1216" t="s">
        <v>34</v>
      </c>
      <c r="G1216" t="s">
        <v>56</v>
      </c>
      <c r="H1216" t="s">
        <v>21</v>
      </c>
      <c r="I1216" t="s">
        <v>42</v>
      </c>
      <c r="J1216">
        <v>865.3</v>
      </c>
      <c r="K1216">
        <v>11471.3</v>
      </c>
      <c r="L1216">
        <v>18729000</v>
      </c>
      <c r="M1216" t="b">
        <v>0</v>
      </c>
      <c r="N1216" t="b">
        <v>0</v>
      </c>
      <c r="O1216">
        <v>16000</v>
      </c>
      <c r="P1216" t="b">
        <v>0</v>
      </c>
      <c r="Q1216" t="b">
        <v>0</v>
      </c>
      <c r="R1216" t="b">
        <v>0</v>
      </c>
      <c r="S1216" t="s">
        <v>96</v>
      </c>
      <c r="T1216" t="s">
        <v>1646</v>
      </c>
      <c r="U1216">
        <v>71.695624999999993</v>
      </c>
      <c r="V1216">
        <v>0</v>
      </c>
      <c r="W1216">
        <v>0</v>
      </c>
      <c r="X1216">
        <v>4</v>
      </c>
      <c r="Y1216" s="6">
        <v>46082</v>
      </c>
    </row>
    <row r="1217" spans="1:26" x14ac:dyDescent="0.3">
      <c r="A1217" t="s">
        <v>1322</v>
      </c>
      <c r="B1217" s="5">
        <v>46065</v>
      </c>
      <c r="C1217" s="5">
        <v>46066</v>
      </c>
      <c r="D1217" s="5">
        <v>46068</v>
      </c>
      <c r="E1217" s="5">
        <v>46068</v>
      </c>
      <c r="F1217" t="s">
        <v>34</v>
      </c>
      <c r="G1217" t="s">
        <v>58</v>
      </c>
      <c r="H1217" t="s">
        <v>24</v>
      </c>
      <c r="I1217" t="s">
        <v>43</v>
      </c>
      <c r="J1217">
        <v>154</v>
      </c>
      <c r="K1217">
        <v>3094.8</v>
      </c>
      <c r="L1217">
        <v>3519000</v>
      </c>
      <c r="M1217" t="b">
        <v>0</v>
      </c>
      <c r="N1217" t="b">
        <v>0</v>
      </c>
      <c r="O1217">
        <v>5000</v>
      </c>
      <c r="P1217" t="b">
        <v>0</v>
      </c>
      <c r="Q1217" t="b">
        <v>0</v>
      </c>
      <c r="R1217" t="b">
        <v>0</v>
      </c>
      <c r="S1217" t="s">
        <v>96</v>
      </c>
      <c r="T1217" t="s">
        <v>1637</v>
      </c>
      <c r="U1217">
        <v>61.896000000000008</v>
      </c>
      <c r="V1217">
        <v>0</v>
      </c>
      <c r="W1217">
        <v>0</v>
      </c>
      <c r="X1217">
        <v>2</v>
      </c>
      <c r="Y1217" s="6">
        <v>46054</v>
      </c>
    </row>
    <row r="1218" spans="1:26" x14ac:dyDescent="0.3">
      <c r="A1218" t="s">
        <v>1323</v>
      </c>
      <c r="B1218" s="5">
        <v>46033</v>
      </c>
      <c r="C1218" s="5">
        <v>46035</v>
      </c>
      <c r="D1218" s="5">
        <v>46038</v>
      </c>
      <c r="E1218" s="5">
        <v>46038</v>
      </c>
      <c r="F1218" t="s">
        <v>34</v>
      </c>
      <c r="G1218" t="s">
        <v>54</v>
      </c>
      <c r="H1218" t="s">
        <v>23</v>
      </c>
      <c r="I1218" t="s">
        <v>44</v>
      </c>
      <c r="J1218">
        <v>464.1</v>
      </c>
      <c r="K1218">
        <v>898</v>
      </c>
      <c r="L1218">
        <v>5181000</v>
      </c>
      <c r="M1218" t="b">
        <v>0</v>
      </c>
      <c r="N1218" t="b">
        <v>0</v>
      </c>
      <c r="O1218">
        <v>1500</v>
      </c>
      <c r="P1218" t="b">
        <v>0</v>
      </c>
      <c r="Q1218" t="b">
        <v>0</v>
      </c>
      <c r="R1218" t="b">
        <v>0</v>
      </c>
      <c r="S1218" t="s">
        <v>96</v>
      </c>
      <c r="T1218" t="s">
        <v>1635</v>
      </c>
      <c r="U1218">
        <v>59.866666666666667</v>
      </c>
      <c r="V1218">
        <v>0</v>
      </c>
      <c r="W1218">
        <v>0</v>
      </c>
      <c r="X1218">
        <v>3</v>
      </c>
      <c r="Y1218" s="6">
        <v>46023</v>
      </c>
    </row>
    <row r="1219" spans="1:26" x14ac:dyDescent="0.3">
      <c r="A1219" t="s">
        <v>1324</v>
      </c>
      <c r="B1219" s="5">
        <v>46072</v>
      </c>
      <c r="C1219" s="5">
        <v>46073</v>
      </c>
      <c r="D1219" s="5">
        <v>46076</v>
      </c>
      <c r="E1219" s="5">
        <v>46076</v>
      </c>
      <c r="F1219" t="s">
        <v>32</v>
      </c>
      <c r="G1219" t="s">
        <v>55</v>
      </c>
      <c r="H1219" t="s">
        <v>24</v>
      </c>
      <c r="I1219" t="s">
        <v>42</v>
      </c>
      <c r="J1219">
        <v>134.5</v>
      </c>
      <c r="K1219">
        <v>4333.6000000000004</v>
      </c>
      <c r="L1219">
        <v>4614000</v>
      </c>
      <c r="M1219" t="b">
        <v>0</v>
      </c>
      <c r="N1219" t="b">
        <v>0</v>
      </c>
      <c r="O1219">
        <v>16000</v>
      </c>
      <c r="P1219" t="b">
        <v>0</v>
      </c>
      <c r="Q1219" t="b">
        <v>0</v>
      </c>
      <c r="R1219" t="b">
        <v>0</v>
      </c>
      <c r="S1219" t="s">
        <v>96</v>
      </c>
      <c r="T1219" t="s">
        <v>1633</v>
      </c>
      <c r="U1219">
        <v>27.085000000000001</v>
      </c>
      <c r="V1219">
        <v>0</v>
      </c>
      <c r="W1219">
        <v>0</v>
      </c>
      <c r="X1219">
        <v>3</v>
      </c>
      <c r="Y1219" s="6">
        <v>46054</v>
      </c>
    </row>
    <row r="1220" spans="1:26" x14ac:dyDescent="0.3">
      <c r="A1220" t="s">
        <v>1325</v>
      </c>
      <c r="B1220" s="5">
        <v>46024</v>
      </c>
      <c r="C1220" s="5">
        <v>46025</v>
      </c>
      <c r="D1220" s="5">
        <v>46028</v>
      </c>
      <c r="E1220" s="5">
        <v>46028</v>
      </c>
      <c r="F1220" t="s">
        <v>31</v>
      </c>
      <c r="G1220" t="s">
        <v>54</v>
      </c>
      <c r="H1220" t="s">
        <v>22</v>
      </c>
      <c r="I1220" t="s">
        <v>45</v>
      </c>
      <c r="J1220">
        <v>465.8</v>
      </c>
      <c r="K1220">
        <v>490.9</v>
      </c>
      <c r="L1220">
        <v>4471000</v>
      </c>
      <c r="M1220" t="b">
        <v>0</v>
      </c>
      <c r="N1220" t="b">
        <v>0</v>
      </c>
      <c r="O1220">
        <v>1000</v>
      </c>
      <c r="P1220" t="b">
        <v>0</v>
      </c>
      <c r="Q1220" t="b">
        <v>0</v>
      </c>
      <c r="R1220" t="b">
        <v>0</v>
      </c>
      <c r="S1220" t="s">
        <v>96</v>
      </c>
      <c r="T1220" t="s">
        <v>1631</v>
      </c>
      <c r="U1220">
        <v>49.09</v>
      </c>
      <c r="V1220">
        <v>0</v>
      </c>
      <c r="W1220">
        <v>0</v>
      </c>
      <c r="X1220">
        <v>3</v>
      </c>
      <c r="Y1220" s="6">
        <v>46023</v>
      </c>
    </row>
    <row r="1221" spans="1:26" x14ac:dyDescent="0.3">
      <c r="A1221" t="s">
        <v>1326</v>
      </c>
      <c r="B1221" s="5">
        <v>46147</v>
      </c>
      <c r="C1221" s="5">
        <v>46148</v>
      </c>
      <c r="D1221" s="5">
        <v>46151</v>
      </c>
      <c r="E1221" s="5">
        <v>46151</v>
      </c>
      <c r="F1221" t="s">
        <v>31</v>
      </c>
      <c r="G1221" t="s">
        <v>53</v>
      </c>
      <c r="H1221" t="s">
        <v>20</v>
      </c>
      <c r="I1221" t="s">
        <v>45</v>
      </c>
      <c r="J1221">
        <v>306.5</v>
      </c>
      <c r="K1221">
        <v>713</v>
      </c>
      <c r="L1221">
        <v>3551000</v>
      </c>
      <c r="M1221" t="b">
        <v>0</v>
      </c>
      <c r="N1221" t="b">
        <v>0</v>
      </c>
      <c r="O1221">
        <v>1000</v>
      </c>
      <c r="P1221" t="b">
        <v>0</v>
      </c>
      <c r="Q1221" t="b">
        <v>0</v>
      </c>
      <c r="R1221" t="b">
        <v>0</v>
      </c>
      <c r="S1221" t="s">
        <v>96</v>
      </c>
      <c r="T1221" t="s">
        <v>1627</v>
      </c>
      <c r="U1221">
        <v>71.3</v>
      </c>
      <c r="V1221">
        <v>0</v>
      </c>
      <c r="W1221">
        <v>0</v>
      </c>
      <c r="X1221">
        <v>3</v>
      </c>
      <c r="Y1221" s="6">
        <v>46143</v>
      </c>
    </row>
    <row r="1222" spans="1:26" x14ac:dyDescent="0.3">
      <c r="A1222" t="s">
        <v>1327</v>
      </c>
      <c r="B1222" s="5">
        <v>46145</v>
      </c>
      <c r="C1222" s="5">
        <v>46145</v>
      </c>
      <c r="D1222" s="5">
        <v>46147</v>
      </c>
      <c r="E1222" s="5">
        <v>46147</v>
      </c>
      <c r="F1222" t="s">
        <v>34</v>
      </c>
      <c r="G1222" t="s">
        <v>57</v>
      </c>
      <c r="H1222" t="s">
        <v>21</v>
      </c>
      <c r="I1222" t="s">
        <v>42</v>
      </c>
      <c r="J1222">
        <v>155.30000000000001</v>
      </c>
      <c r="K1222">
        <v>3611.2</v>
      </c>
      <c r="L1222">
        <v>4320000</v>
      </c>
      <c r="M1222" t="b">
        <v>0</v>
      </c>
      <c r="N1222" t="b">
        <v>0</v>
      </c>
      <c r="O1222">
        <v>16000</v>
      </c>
      <c r="P1222" t="b">
        <v>0</v>
      </c>
      <c r="Q1222" t="b">
        <v>0</v>
      </c>
      <c r="R1222" t="b">
        <v>0</v>
      </c>
      <c r="S1222" t="s">
        <v>96</v>
      </c>
      <c r="T1222" t="s">
        <v>1620</v>
      </c>
      <c r="U1222">
        <v>22.57</v>
      </c>
      <c r="V1222">
        <v>0</v>
      </c>
      <c r="W1222">
        <v>0</v>
      </c>
      <c r="X1222">
        <v>2</v>
      </c>
      <c r="Y1222" s="6">
        <v>46143</v>
      </c>
    </row>
    <row r="1223" spans="1:26" x14ac:dyDescent="0.3">
      <c r="A1223" t="s">
        <v>1328</v>
      </c>
      <c r="B1223" s="5">
        <v>46175</v>
      </c>
      <c r="C1223" s="5">
        <v>46176</v>
      </c>
      <c r="D1223" s="5">
        <v>46179</v>
      </c>
      <c r="E1223" s="5">
        <v>46179</v>
      </c>
      <c r="F1223" t="s">
        <v>31</v>
      </c>
      <c r="G1223" t="s">
        <v>52</v>
      </c>
      <c r="H1223" t="s">
        <v>23</v>
      </c>
      <c r="I1223" t="s">
        <v>45</v>
      </c>
      <c r="J1223">
        <v>306.8</v>
      </c>
      <c r="K1223">
        <v>364.3</v>
      </c>
      <c r="L1223">
        <v>3159000</v>
      </c>
      <c r="M1223" t="b">
        <v>0</v>
      </c>
      <c r="N1223" t="b">
        <v>0</v>
      </c>
      <c r="O1223">
        <v>1000</v>
      </c>
      <c r="P1223" t="b">
        <v>0</v>
      </c>
      <c r="Q1223" t="b">
        <v>0</v>
      </c>
      <c r="R1223" t="b">
        <v>0</v>
      </c>
      <c r="S1223" t="s">
        <v>96</v>
      </c>
      <c r="T1223" t="s">
        <v>1618</v>
      </c>
      <c r="U1223">
        <v>36.43</v>
      </c>
      <c r="V1223">
        <v>0</v>
      </c>
      <c r="W1223">
        <v>0</v>
      </c>
      <c r="X1223">
        <v>3</v>
      </c>
      <c r="Y1223" s="6">
        <v>46174</v>
      </c>
    </row>
    <row r="1224" spans="1:26" x14ac:dyDescent="0.3">
      <c r="A1224" t="s">
        <v>1329</v>
      </c>
      <c r="B1224" s="5">
        <v>46107</v>
      </c>
      <c r="C1224" s="5">
        <v>46108</v>
      </c>
      <c r="D1224" s="5">
        <v>46112</v>
      </c>
      <c r="E1224" s="5">
        <v>46114</v>
      </c>
      <c r="F1224" t="s">
        <v>33</v>
      </c>
      <c r="G1224" t="s">
        <v>52</v>
      </c>
      <c r="H1224" t="s">
        <v>22</v>
      </c>
      <c r="I1224" t="s">
        <v>42</v>
      </c>
      <c r="J1224">
        <v>613.5</v>
      </c>
      <c r="K1224">
        <v>13768.4</v>
      </c>
      <c r="L1224">
        <v>15032000</v>
      </c>
      <c r="M1224" t="b">
        <v>0</v>
      </c>
      <c r="N1224" t="b">
        <v>0</v>
      </c>
      <c r="O1224">
        <v>16000</v>
      </c>
      <c r="P1224" t="b">
        <v>0</v>
      </c>
      <c r="Q1224" t="b">
        <v>0</v>
      </c>
      <c r="R1224" t="b">
        <v>0</v>
      </c>
      <c r="S1224" t="s">
        <v>101</v>
      </c>
      <c r="T1224" t="s">
        <v>1622</v>
      </c>
      <c r="U1224">
        <v>86.052499999999995</v>
      </c>
      <c r="V1224">
        <v>0</v>
      </c>
      <c r="W1224">
        <v>0</v>
      </c>
      <c r="X1224">
        <v>6</v>
      </c>
      <c r="Y1224" s="6">
        <v>46082</v>
      </c>
      <c r="Z1224">
        <v>2</v>
      </c>
    </row>
    <row r="1225" spans="1:26" x14ac:dyDescent="0.3">
      <c r="A1225" t="s">
        <v>1330</v>
      </c>
      <c r="B1225" s="5">
        <v>46073</v>
      </c>
      <c r="C1225" s="5">
        <v>46074</v>
      </c>
      <c r="D1225" s="5">
        <v>46077</v>
      </c>
      <c r="E1225" s="5">
        <v>46078</v>
      </c>
      <c r="F1225" t="s">
        <v>31</v>
      </c>
      <c r="G1225" t="s">
        <v>59</v>
      </c>
      <c r="H1225" t="s">
        <v>24</v>
      </c>
      <c r="I1225" t="s">
        <v>44</v>
      </c>
      <c r="J1225">
        <v>312.5</v>
      </c>
      <c r="K1225">
        <v>952.8</v>
      </c>
      <c r="L1225">
        <v>3230000</v>
      </c>
      <c r="M1225" t="b">
        <v>0</v>
      </c>
      <c r="N1225" t="b">
        <v>0</v>
      </c>
      <c r="O1225">
        <v>1500</v>
      </c>
      <c r="P1225" t="b">
        <v>0</v>
      </c>
      <c r="Q1225" t="b">
        <v>0</v>
      </c>
      <c r="R1225" t="b">
        <v>0</v>
      </c>
      <c r="S1225" t="s">
        <v>101</v>
      </c>
      <c r="T1225" t="s">
        <v>1628</v>
      </c>
      <c r="U1225">
        <v>63.52</v>
      </c>
      <c r="V1225">
        <v>0</v>
      </c>
      <c r="W1225">
        <v>0</v>
      </c>
      <c r="X1225">
        <v>4</v>
      </c>
      <c r="Y1225" s="6">
        <v>46054</v>
      </c>
      <c r="Z1225">
        <v>1</v>
      </c>
    </row>
    <row r="1226" spans="1:26" x14ac:dyDescent="0.3">
      <c r="A1226" t="s">
        <v>1331</v>
      </c>
      <c r="B1226" s="5">
        <v>46198</v>
      </c>
      <c r="C1226" s="5">
        <v>46198</v>
      </c>
      <c r="D1226" s="5">
        <v>46200</v>
      </c>
      <c r="E1226" s="5">
        <v>46200</v>
      </c>
      <c r="F1226" t="s">
        <v>34</v>
      </c>
      <c r="G1226" t="s">
        <v>58</v>
      </c>
      <c r="H1226" t="s">
        <v>20</v>
      </c>
      <c r="I1226" t="s">
        <v>43</v>
      </c>
      <c r="J1226">
        <v>148.6</v>
      </c>
      <c r="K1226">
        <v>6785.9</v>
      </c>
      <c r="L1226">
        <v>4875000</v>
      </c>
      <c r="M1226" t="b">
        <v>0</v>
      </c>
      <c r="N1226" t="b">
        <v>0</v>
      </c>
      <c r="O1226">
        <v>5000</v>
      </c>
      <c r="P1226" t="b">
        <v>1</v>
      </c>
      <c r="Q1226" t="b">
        <v>0</v>
      </c>
      <c r="R1226" t="b">
        <v>1</v>
      </c>
      <c r="S1226" t="s">
        <v>96</v>
      </c>
      <c r="T1226" t="s">
        <v>1637</v>
      </c>
      <c r="V1226">
        <v>1</v>
      </c>
      <c r="W1226">
        <v>1</v>
      </c>
      <c r="X1226">
        <v>2</v>
      </c>
      <c r="Y1226" s="6">
        <v>46174</v>
      </c>
    </row>
    <row r="1227" spans="1:26" x14ac:dyDescent="0.3">
      <c r="A1227" t="s">
        <v>1332</v>
      </c>
      <c r="B1227" s="5">
        <v>46126</v>
      </c>
      <c r="C1227" s="5">
        <v>46127</v>
      </c>
      <c r="D1227" s="5">
        <v>46130</v>
      </c>
      <c r="E1227" s="5">
        <v>46132</v>
      </c>
      <c r="F1227" t="s">
        <v>32</v>
      </c>
      <c r="G1227" t="s">
        <v>54</v>
      </c>
      <c r="H1227" t="s">
        <v>21</v>
      </c>
      <c r="I1227" t="s">
        <v>43</v>
      </c>
      <c r="J1227">
        <v>553.70000000000005</v>
      </c>
      <c r="K1227">
        <v>2943.8</v>
      </c>
      <c r="L1227">
        <v>8645000</v>
      </c>
      <c r="M1227" t="b">
        <v>0</v>
      </c>
      <c r="N1227" t="b">
        <v>0</v>
      </c>
      <c r="O1227">
        <v>5000</v>
      </c>
      <c r="P1227" t="b">
        <v>0</v>
      </c>
      <c r="Q1227" t="b">
        <v>0</v>
      </c>
      <c r="R1227" t="b">
        <v>0</v>
      </c>
      <c r="S1227" t="s">
        <v>101</v>
      </c>
      <c r="T1227" t="s">
        <v>1655</v>
      </c>
      <c r="U1227">
        <v>58.875999999999998</v>
      </c>
      <c r="V1227">
        <v>0</v>
      </c>
      <c r="W1227">
        <v>0</v>
      </c>
      <c r="X1227">
        <v>5</v>
      </c>
      <c r="Y1227" s="6">
        <v>46113</v>
      </c>
      <c r="Z1227">
        <v>2</v>
      </c>
    </row>
    <row r="1228" spans="1:26" x14ac:dyDescent="0.3">
      <c r="A1228" t="s">
        <v>1333</v>
      </c>
      <c r="B1228" s="5">
        <v>46198</v>
      </c>
      <c r="C1228" s="5">
        <v>46199</v>
      </c>
      <c r="D1228" s="5">
        <v>46201</v>
      </c>
      <c r="E1228" s="5">
        <v>46201</v>
      </c>
      <c r="F1228" t="s">
        <v>34</v>
      </c>
      <c r="G1228" t="s">
        <v>52</v>
      </c>
      <c r="H1228" t="s">
        <v>21</v>
      </c>
      <c r="I1228" t="s">
        <v>43</v>
      </c>
      <c r="J1228">
        <v>276.39999999999998</v>
      </c>
      <c r="K1228">
        <v>4212.8999999999996</v>
      </c>
      <c r="L1228">
        <v>5572000</v>
      </c>
      <c r="M1228" t="b">
        <v>0</v>
      </c>
      <c r="N1228" t="b">
        <v>0</v>
      </c>
      <c r="O1228">
        <v>5000</v>
      </c>
      <c r="P1228" t="b">
        <v>0</v>
      </c>
      <c r="Q1228" t="b">
        <v>0</v>
      </c>
      <c r="R1228" t="b">
        <v>0</v>
      </c>
      <c r="S1228" t="s">
        <v>96</v>
      </c>
      <c r="T1228" t="s">
        <v>1623</v>
      </c>
      <c r="U1228">
        <v>84.257999999999981</v>
      </c>
      <c r="V1228">
        <v>0</v>
      </c>
      <c r="W1228">
        <v>0</v>
      </c>
      <c r="X1228">
        <v>2</v>
      </c>
      <c r="Y1228" s="6">
        <v>46174</v>
      </c>
    </row>
    <row r="1229" spans="1:26" x14ac:dyDescent="0.3">
      <c r="A1229" t="s">
        <v>1334</v>
      </c>
      <c r="B1229" s="5">
        <v>46102</v>
      </c>
      <c r="C1229" s="5">
        <v>46102</v>
      </c>
      <c r="D1229" s="5">
        <v>46106</v>
      </c>
      <c r="E1229" s="5">
        <v>46106</v>
      </c>
      <c r="F1229" t="s">
        <v>33</v>
      </c>
      <c r="G1229" t="s">
        <v>53</v>
      </c>
      <c r="H1229" t="s">
        <v>23</v>
      </c>
      <c r="I1229" t="s">
        <v>44</v>
      </c>
      <c r="J1229">
        <v>497.2</v>
      </c>
      <c r="K1229">
        <v>680.4</v>
      </c>
      <c r="L1229">
        <v>5754000</v>
      </c>
      <c r="M1229" t="b">
        <v>0</v>
      </c>
      <c r="N1229" t="b">
        <v>0</v>
      </c>
      <c r="O1229">
        <v>1500</v>
      </c>
      <c r="P1229" t="b">
        <v>0</v>
      </c>
      <c r="Q1229" t="b">
        <v>0</v>
      </c>
      <c r="R1229" t="b">
        <v>0</v>
      </c>
      <c r="S1229" t="s">
        <v>96</v>
      </c>
      <c r="T1229" t="s">
        <v>1632</v>
      </c>
      <c r="U1229">
        <v>45.36</v>
      </c>
      <c r="V1229">
        <v>0</v>
      </c>
      <c r="W1229">
        <v>0</v>
      </c>
      <c r="X1229">
        <v>4</v>
      </c>
      <c r="Y1229" s="6">
        <v>46082</v>
      </c>
    </row>
    <row r="1230" spans="1:26" x14ac:dyDescent="0.3">
      <c r="A1230" t="s">
        <v>1335</v>
      </c>
      <c r="B1230" s="5">
        <v>46071</v>
      </c>
      <c r="C1230" s="5">
        <v>46072</v>
      </c>
      <c r="D1230" s="5">
        <v>46074</v>
      </c>
      <c r="E1230" s="5"/>
      <c r="F1230" t="s">
        <v>34</v>
      </c>
      <c r="G1230" t="s">
        <v>58</v>
      </c>
      <c r="H1230" t="s">
        <v>20</v>
      </c>
      <c r="I1230" t="s">
        <v>43</v>
      </c>
      <c r="J1230">
        <v>154.5</v>
      </c>
      <c r="K1230">
        <v>3391.1</v>
      </c>
      <c r="L1230">
        <v>3769000</v>
      </c>
      <c r="M1230" t="b">
        <v>0</v>
      </c>
      <c r="N1230" t="b">
        <v>0</v>
      </c>
      <c r="O1230">
        <v>5000</v>
      </c>
      <c r="P1230" t="b">
        <v>0</v>
      </c>
      <c r="Q1230" t="b">
        <v>0</v>
      </c>
      <c r="R1230" t="b">
        <v>0</v>
      </c>
      <c r="S1230" t="s">
        <v>203</v>
      </c>
      <c r="T1230" t="s">
        <v>1637</v>
      </c>
      <c r="U1230">
        <v>67.821999999999989</v>
      </c>
      <c r="V1230">
        <v>0</v>
      </c>
      <c r="W1230">
        <v>0</v>
      </c>
      <c r="Y1230" s="6">
        <v>46054</v>
      </c>
    </row>
    <row r="1231" spans="1:26" x14ac:dyDescent="0.3">
      <c r="A1231" t="s">
        <v>1336</v>
      </c>
      <c r="B1231" s="5">
        <v>46059</v>
      </c>
      <c r="C1231" s="5">
        <v>46060</v>
      </c>
      <c r="D1231" s="5">
        <v>46063</v>
      </c>
      <c r="E1231" s="5"/>
      <c r="F1231" t="s">
        <v>34</v>
      </c>
      <c r="G1231" t="s">
        <v>53</v>
      </c>
      <c r="H1231" t="s">
        <v>24</v>
      </c>
      <c r="I1231" t="s">
        <v>45</v>
      </c>
      <c r="J1231">
        <v>317</v>
      </c>
      <c r="K1231">
        <v>803.3</v>
      </c>
      <c r="L1231">
        <v>3445000</v>
      </c>
      <c r="M1231" t="b">
        <v>0</v>
      </c>
      <c r="N1231" t="b">
        <v>0</v>
      </c>
      <c r="O1231">
        <v>1000</v>
      </c>
      <c r="P1231" t="b">
        <v>0</v>
      </c>
      <c r="Q1231" t="b">
        <v>0</v>
      </c>
      <c r="R1231" t="b">
        <v>0</v>
      </c>
      <c r="S1231" t="s">
        <v>203</v>
      </c>
      <c r="T1231" t="s">
        <v>1636</v>
      </c>
      <c r="U1231">
        <v>80.329999999999984</v>
      </c>
      <c r="V1231">
        <v>0</v>
      </c>
      <c r="W1231">
        <v>0</v>
      </c>
      <c r="Y1231" s="6">
        <v>46054</v>
      </c>
    </row>
    <row r="1232" spans="1:26" x14ac:dyDescent="0.3">
      <c r="A1232" t="s">
        <v>1337</v>
      </c>
      <c r="B1232" s="5">
        <v>46116</v>
      </c>
      <c r="C1232" s="5">
        <v>46116</v>
      </c>
      <c r="D1232" s="5">
        <v>46120</v>
      </c>
      <c r="E1232" s="5">
        <v>46120</v>
      </c>
      <c r="F1232" t="s">
        <v>31</v>
      </c>
      <c r="G1232" t="s">
        <v>60</v>
      </c>
      <c r="H1232" t="s">
        <v>20</v>
      </c>
      <c r="I1232" t="s">
        <v>42</v>
      </c>
      <c r="J1232">
        <v>641.9</v>
      </c>
      <c r="K1232">
        <v>3249.2</v>
      </c>
      <c r="L1232">
        <v>13744000</v>
      </c>
      <c r="M1232" t="b">
        <v>0</v>
      </c>
      <c r="N1232" t="b">
        <v>0</v>
      </c>
      <c r="O1232">
        <v>16000</v>
      </c>
      <c r="P1232" t="b">
        <v>0</v>
      </c>
      <c r="Q1232" t="b">
        <v>0</v>
      </c>
      <c r="R1232" t="b">
        <v>0</v>
      </c>
      <c r="S1232" t="s">
        <v>96</v>
      </c>
      <c r="T1232" t="s">
        <v>1652</v>
      </c>
      <c r="U1232">
        <v>20.307500000000001</v>
      </c>
      <c r="V1232">
        <v>0</v>
      </c>
      <c r="W1232">
        <v>0</v>
      </c>
      <c r="X1232">
        <v>4</v>
      </c>
      <c r="Y1232" s="6">
        <v>46113</v>
      </c>
    </row>
    <row r="1233" spans="1:26" x14ac:dyDescent="0.3">
      <c r="A1233" t="s">
        <v>1338</v>
      </c>
      <c r="B1233" s="5">
        <v>46127</v>
      </c>
      <c r="C1233" s="5">
        <v>46127</v>
      </c>
      <c r="D1233" s="5">
        <v>46130</v>
      </c>
      <c r="E1233" s="5">
        <v>46131</v>
      </c>
      <c r="F1233" t="s">
        <v>34</v>
      </c>
      <c r="G1233" t="s">
        <v>60</v>
      </c>
      <c r="H1233" t="s">
        <v>20</v>
      </c>
      <c r="I1233" t="s">
        <v>43</v>
      </c>
      <c r="J1233">
        <v>570.1</v>
      </c>
      <c r="K1233">
        <v>975.3</v>
      </c>
      <c r="L1233">
        <v>9000000</v>
      </c>
      <c r="M1233" t="b">
        <v>0</v>
      </c>
      <c r="N1233" t="b">
        <v>0</v>
      </c>
      <c r="O1233">
        <v>5000</v>
      </c>
      <c r="P1233" t="b">
        <v>0</v>
      </c>
      <c r="Q1233" t="b">
        <v>0</v>
      </c>
      <c r="R1233" t="b">
        <v>0</v>
      </c>
      <c r="S1233" t="s">
        <v>101</v>
      </c>
      <c r="T1233" t="s">
        <v>1644</v>
      </c>
      <c r="U1233">
        <v>19.506</v>
      </c>
      <c r="V1233">
        <v>0</v>
      </c>
      <c r="W1233">
        <v>0</v>
      </c>
      <c r="X1233">
        <v>4</v>
      </c>
      <c r="Y1233" s="6">
        <v>46113</v>
      </c>
      <c r="Z1233">
        <v>1</v>
      </c>
    </row>
    <row r="1234" spans="1:26" x14ac:dyDescent="0.3">
      <c r="A1234" t="s">
        <v>1339</v>
      </c>
      <c r="B1234" s="5">
        <v>46162</v>
      </c>
      <c r="C1234" s="5">
        <v>46163</v>
      </c>
      <c r="D1234" s="5">
        <v>46165</v>
      </c>
      <c r="E1234" s="5">
        <v>46164</v>
      </c>
      <c r="F1234" t="s">
        <v>34</v>
      </c>
      <c r="G1234" t="s">
        <v>52</v>
      </c>
      <c r="H1234" t="s">
        <v>21</v>
      </c>
      <c r="I1234" t="s">
        <v>43</v>
      </c>
      <c r="J1234">
        <v>283.5</v>
      </c>
      <c r="K1234">
        <v>1775.5</v>
      </c>
      <c r="L1234">
        <v>5292000</v>
      </c>
      <c r="M1234" t="b">
        <v>0</v>
      </c>
      <c r="N1234" t="b">
        <v>0</v>
      </c>
      <c r="O1234">
        <v>5000</v>
      </c>
      <c r="P1234" t="b">
        <v>0</v>
      </c>
      <c r="Q1234" t="b">
        <v>0</v>
      </c>
      <c r="R1234" t="b">
        <v>0</v>
      </c>
      <c r="S1234" t="s">
        <v>96</v>
      </c>
      <c r="T1234" t="s">
        <v>1623</v>
      </c>
      <c r="U1234">
        <v>35.510000000000012</v>
      </c>
      <c r="V1234">
        <v>0</v>
      </c>
      <c r="W1234">
        <v>0</v>
      </c>
      <c r="X1234">
        <v>1</v>
      </c>
      <c r="Y1234" s="6">
        <v>46143</v>
      </c>
    </row>
    <row r="1235" spans="1:26" x14ac:dyDescent="0.3">
      <c r="A1235" t="s">
        <v>1340</v>
      </c>
      <c r="B1235" s="5">
        <v>46113</v>
      </c>
      <c r="C1235" s="5">
        <v>46114</v>
      </c>
      <c r="D1235" s="5">
        <v>46117</v>
      </c>
      <c r="E1235" s="5">
        <v>46118</v>
      </c>
      <c r="F1235" t="s">
        <v>32</v>
      </c>
      <c r="G1235" t="s">
        <v>54</v>
      </c>
      <c r="H1235" t="s">
        <v>24</v>
      </c>
      <c r="I1235" t="s">
        <v>44</v>
      </c>
      <c r="J1235">
        <v>546.29999999999995</v>
      </c>
      <c r="K1235">
        <v>1135.0999999999999</v>
      </c>
      <c r="L1235">
        <v>6419000</v>
      </c>
      <c r="M1235" t="b">
        <v>0</v>
      </c>
      <c r="N1235" t="b">
        <v>0</v>
      </c>
      <c r="O1235">
        <v>1500</v>
      </c>
      <c r="P1235" t="b">
        <v>0</v>
      </c>
      <c r="Q1235" t="b">
        <v>0</v>
      </c>
      <c r="R1235" t="b">
        <v>0</v>
      </c>
      <c r="S1235" t="s">
        <v>101</v>
      </c>
      <c r="T1235" t="s">
        <v>1655</v>
      </c>
      <c r="U1235">
        <v>75.673333333333332</v>
      </c>
      <c r="V1235">
        <v>0</v>
      </c>
      <c r="W1235">
        <v>0</v>
      </c>
      <c r="X1235">
        <v>4</v>
      </c>
      <c r="Y1235" s="6">
        <v>46113</v>
      </c>
      <c r="Z1235">
        <v>1</v>
      </c>
    </row>
    <row r="1236" spans="1:26" x14ac:dyDescent="0.3">
      <c r="A1236" t="s">
        <v>1341</v>
      </c>
      <c r="B1236" s="5">
        <v>46082</v>
      </c>
      <c r="C1236" s="5">
        <v>46083</v>
      </c>
      <c r="D1236" s="5">
        <v>46086</v>
      </c>
      <c r="E1236" s="5">
        <v>46086</v>
      </c>
      <c r="F1236" t="s">
        <v>34</v>
      </c>
      <c r="G1236" t="s">
        <v>63</v>
      </c>
      <c r="H1236" t="s">
        <v>21</v>
      </c>
      <c r="I1236" t="s">
        <v>45</v>
      </c>
      <c r="J1236">
        <v>306.10000000000002</v>
      </c>
      <c r="K1236">
        <v>506.6</v>
      </c>
      <c r="L1236">
        <v>3141000</v>
      </c>
      <c r="M1236" t="b">
        <v>0</v>
      </c>
      <c r="N1236" t="b">
        <v>0</v>
      </c>
      <c r="O1236">
        <v>1000</v>
      </c>
      <c r="P1236" t="b">
        <v>0</v>
      </c>
      <c r="Q1236" t="b">
        <v>0</v>
      </c>
      <c r="R1236" t="b">
        <v>0</v>
      </c>
      <c r="S1236" t="s">
        <v>96</v>
      </c>
      <c r="T1236" t="s">
        <v>1613</v>
      </c>
      <c r="U1236">
        <v>50.66</v>
      </c>
      <c r="V1236">
        <v>0</v>
      </c>
      <c r="W1236">
        <v>0</v>
      </c>
      <c r="X1236">
        <v>3</v>
      </c>
      <c r="Y1236" s="6">
        <v>46082</v>
      </c>
    </row>
    <row r="1237" spans="1:26" x14ac:dyDescent="0.3">
      <c r="A1237" t="s">
        <v>1342</v>
      </c>
      <c r="B1237" s="5">
        <v>46115</v>
      </c>
      <c r="C1237" s="5">
        <v>46116</v>
      </c>
      <c r="D1237" s="5">
        <v>46118</v>
      </c>
      <c r="E1237" s="5">
        <v>46118</v>
      </c>
      <c r="F1237" t="s">
        <v>32</v>
      </c>
      <c r="G1237" t="s">
        <v>63</v>
      </c>
      <c r="H1237" t="s">
        <v>21</v>
      </c>
      <c r="I1237" t="s">
        <v>42</v>
      </c>
      <c r="J1237">
        <v>185.7</v>
      </c>
      <c r="K1237">
        <v>12543.5</v>
      </c>
      <c r="L1237">
        <v>8421000</v>
      </c>
      <c r="M1237" t="b">
        <v>0</v>
      </c>
      <c r="N1237" t="b">
        <v>0</v>
      </c>
      <c r="O1237">
        <v>16000</v>
      </c>
      <c r="P1237" t="b">
        <v>0</v>
      </c>
      <c r="Q1237" t="b">
        <v>0</v>
      </c>
      <c r="R1237" t="b">
        <v>0</v>
      </c>
      <c r="S1237" t="s">
        <v>96</v>
      </c>
      <c r="T1237" t="s">
        <v>1634</v>
      </c>
      <c r="U1237">
        <v>78.396874999999994</v>
      </c>
      <c r="V1237">
        <v>0</v>
      </c>
      <c r="W1237">
        <v>0</v>
      </c>
      <c r="X1237">
        <v>2</v>
      </c>
      <c r="Y1237" s="6">
        <v>46113</v>
      </c>
    </row>
    <row r="1238" spans="1:26" x14ac:dyDescent="0.3">
      <c r="A1238" t="s">
        <v>1343</v>
      </c>
      <c r="B1238" s="5">
        <v>46098</v>
      </c>
      <c r="C1238" s="5">
        <v>46098</v>
      </c>
      <c r="D1238" s="5">
        <v>46100</v>
      </c>
      <c r="E1238" s="5">
        <v>46099</v>
      </c>
      <c r="F1238" t="s">
        <v>32</v>
      </c>
      <c r="G1238" t="s">
        <v>61</v>
      </c>
      <c r="H1238" t="s">
        <v>20</v>
      </c>
      <c r="I1238" t="s">
        <v>45</v>
      </c>
      <c r="J1238">
        <v>153.19999999999999</v>
      </c>
      <c r="K1238">
        <v>479.9</v>
      </c>
      <c r="L1238">
        <v>2165000</v>
      </c>
      <c r="M1238" t="b">
        <v>0</v>
      </c>
      <c r="N1238" t="b">
        <v>0</v>
      </c>
      <c r="O1238">
        <v>1000</v>
      </c>
      <c r="P1238" t="b">
        <v>0</v>
      </c>
      <c r="Q1238" t="b">
        <v>0</v>
      </c>
      <c r="R1238" t="b">
        <v>0</v>
      </c>
      <c r="S1238" t="s">
        <v>96</v>
      </c>
      <c r="T1238" t="s">
        <v>1653</v>
      </c>
      <c r="U1238">
        <v>47.99</v>
      </c>
      <c r="V1238">
        <v>0</v>
      </c>
      <c r="W1238">
        <v>0</v>
      </c>
      <c r="X1238">
        <v>1</v>
      </c>
      <c r="Y1238" s="6">
        <v>46082</v>
      </c>
    </row>
    <row r="1239" spans="1:26" x14ac:dyDescent="0.3">
      <c r="A1239" t="s">
        <v>1344</v>
      </c>
      <c r="B1239" s="5">
        <v>46038</v>
      </c>
      <c r="C1239" s="5">
        <v>46038</v>
      </c>
      <c r="D1239" s="5">
        <v>46042</v>
      </c>
      <c r="E1239" s="5">
        <v>46042</v>
      </c>
      <c r="F1239" t="s">
        <v>34</v>
      </c>
      <c r="G1239" t="s">
        <v>62</v>
      </c>
      <c r="H1239" t="s">
        <v>21</v>
      </c>
      <c r="I1239" t="s">
        <v>44</v>
      </c>
      <c r="J1239">
        <v>768.2</v>
      </c>
      <c r="K1239">
        <v>909</v>
      </c>
      <c r="L1239">
        <v>7671000</v>
      </c>
      <c r="M1239" t="b">
        <v>0</v>
      </c>
      <c r="N1239" t="b">
        <v>0</v>
      </c>
      <c r="O1239">
        <v>1500</v>
      </c>
      <c r="P1239" t="b">
        <v>0</v>
      </c>
      <c r="Q1239" t="b">
        <v>0</v>
      </c>
      <c r="R1239" t="b">
        <v>0</v>
      </c>
      <c r="S1239" t="s">
        <v>96</v>
      </c>
      <c r="T1239" t="s">
        <v>1649</v>
      </c>
      <c r="U1239">
        <v>60.6</v>
      </c>
      <c r="V1239">
        <v>0</v>
      </c>
      <c r="W1239">
        <v>0</v>
      </c>
      <c r="X1239">
        <v>4</v>
      </c>
      <c r="Y1239" s="6">
        <v>46023</v>
      </c>
    </row>
    <row r="1240" spans="1:26" x14ac:dyDescent="0.3">
      <c r="A1240" t="s">
        <v>1345</v>
      </c>
      <c r="B1240" s="5">
        <v>46186</v>
      </c>
      <c r="C1240" s="5">
        <v>46187</v>
      </c>
      <c r="D1240" s="5">
        <v>46189</v>
      </c>
      <c r="E1240" s="5">
        <v>46189</v>
      </c>
      <c r="F1240" t="s">
        <v>31</v>
      </c>
      <c r="G1240" t="s">
        <v>61</v>
      </c>
      <c r="H1240" t="s">
        <v>22</v>
      </c>
      <c r="I1240" t="s">
        <v>43</v>
      </c>
      <c r="J1240">
        <v>53.6</v>
      </c>
      <c r="K1240">
        <v>1037.4000000000001</v>
      </c>
      <c r="L1240">
        <v>1379000</v>
      </c>
      <c r="M1240" t="b">
        <v>0</v>
      </c>
      <c r="N1240" t="b">
        <v>0</v>
      </c>
      <c r="O1240">
        <v>5000</v>
      </c>
      <c r="P1240" t="b">
        <v>0</v>
      </c>
      <c r="Q1240" t="b">
        <v>0</v>
      </c>
      <c r="R1240" t="b">
        <v>0</v>
      </c>
      <c r="S1240" t="s">
        <v>96</v>
      </c>
      <c r="T1240" t="s">
        <v>1645</v>
      </c>
      <c r="U1240">
        <v>20.748000000000001</v>
      </c>
      <c r="V1240">
        <v>0</v>
      </c>
      <c r="W1240">
        <v>0</v>
      </c>
      <c r="X1240">
        <v>2</v>
      </c>
      <c r="Y1240" s="6">
        <v>46174</v>
      </c>
    </row>
    <row r="1241" spans="1:26" x14ac:dyDescent="0.3">
      <c r="A1241" t="s">
        <v>1346</v>
      </c>
      <c r="B1241" s="5">
        <v>46098</v>
      </c>
      <c r="C1241" s="5">
        <v>46100</v>
      </c>
      <c r="D1241" s="5">
        <v>46104</v>
      </c>
      <c r="E1241" s="5">
        <v>46105</v>
      </c>
      <c r="F1241" t="s">
        <v>33</v>
      </c>
      <c r="G1241" t="s">
        <v>55</v>
      </c>
      <c r="H1241" t="s">
        <v>20</v>
      </c>
      <c r="I1241" t="s">
        <v>43</v>
      </c>
      <c r="J1241">
        <v>554.70000000000005</v>
      </c>
      <c r="K1241">
        <v>888</v>
      </c>
      <c r="L1241">
        <v>7065000</v>
      </c>
      <c r="M1241" t="b">
        <v>0</v>
      </c>
      <c r="N1241" t="b">
        <v>0</v>
      </c>
      <c r="O1241">
        <v>5000</v>
      </c>
      <c r="P1241" t="b">
        <v>0</v>
      </c>
      <c r="Q1241" t="b">
        <v>0</v>
      </c>
      <c r="R1241" t="b">
        <v>0</v>
      </c>
      <c r="S1241" t="s">
        <v>101</v>
      </c>
      <c r="T1241" t="s">
        <v>1626</v>
      </c>
      <c r="U1241">
        <v>17.760000000000002</v>
      </c>
      <c r="V1241">
        <v>0</v>
      </c>
      <c r="W1241">
        <v>0</v>
      </c>
      <c r="X1241">
        <v>5</v>
      </c>
      <c r="Y1241" s="6">
        <v>46082</v>
      </c>
      <c r="Z1241">
        <v>1</v>
      </c>
    </row>
    <row r="1242" spans="1:26" x14ac:dyDescent="0.3">
      <c r="A1242" t="s">
        <v>1347</v>
      </c>
      <c r="B1242" s="5">
        <v>46069</v>
      </c>
      <c r="C1242" s="5">
        <v>46069</v>
      </c>
      <c r="D1242" s="5">
        <v>46071</v>
      </c>
      <c r="E1242" s="5">
        <v>46071</v>
      </c>
      <c r="F1242" t="s">
        <v>34</v>
      </c>
      <c r="G1242" t="s">
        <v>52</v>
      </c>
      <c r="H1242" t="s">
        <v>21</v>
      </c>
      <c r="I1242" t="s">
        <v>43</v>
      </c>
      <c r="J1242">
        <v>277.60000000000002</v>
      </c>
      <c r="K1242">
        <v>1534</v>
      </c>
      <c r="L1242">
        <v>4706000</v>
      </c>
      <c r="M1242" t="b">
        <v>0</v>
      </c>
      <c r="N1242" t="b">
        <v>0</v>
      </c>
      <c r="O1242">
        <v>5000</v>
      </c>
      <c r="P1242" t="b">
        <v>0</v>
      </c>
      <c r="Q1242" t="b">
        <v>0</v>
      </c>
      <c r="R1242" t="b">
        <v>0</v>
      </c>
      <c r="S1242" t="s">
        <v>96</v>
      </c>
      <c r="T1242" t="s">
        <v>1623</v>
      </c>
      <c r="U1242">
        <v>30.68</v>
      </c>
      <c r="V1242">
        <v>0</v>
      </c>
      <c r="W1242">
        <v>0</v>
      </c>
      <c r="X1242">
        <v>2</v>
      </c>
      <c r="Y1242" s="6">
        <v>46054</v>
      </c>
    </row>
    <row r="1243" spans="1:26" x14ac:dyDescent="0.3">
      <c r="A1243" t="s">
        <v>1348</v>
      </c>
      <c r="B1243" s="5">
        <v>46077</v>
      </c>
      <c r="C1243" s="5">
        <v>46077</v>
      </c>
      <c r="D1243" s="5">
        <v>46079</v>
      </c>
      <c r="E1243" s="5">
        <v>46079</v>
      </c>
      <c r="F1243" t="s">
        <v>34</v>
      </c>
      <c r="G1243" t="s">
        <v>57</v>
      </c>
      <c r="H1243" t="s">
        <v>24</v>
      </c>
      <c r="I1243" t="s">
        <v>45</v>
      </c>
      <c r="J1243">
        <v>147.4</v>
      </c>
      <c r="K1243">
        <v>887.1</v>
      </c>
      <c r="L1243">
        <v>2235000</v>
      </c>
      <c r="M1243" t="b">
        <v>0</v>
      </c>
      <c r="N1243" t="b">
        <v>0</v>
      </c>
      <c r="O1243">
        <v>1000</v>
      </c>
      <c r="P1243" t="b">
        <v>0</v>
      </c>
      <c r="Q1243" t="b">
        <v>0</v>
      </c>
      <c r="R1243" t="b">
        <v>0</v>
      </c>
      <c r="S1243" t="s">
        <v>96</v>
      </c>
      <c r="T1243" t="s">
        <v>1620</v>
      </c>
      <c r="U1243">
        <v>88.71</v>
      </c>
      <c r="V1243">
        <v>0</v>
      </c>
      <c r="W1243">
        <v>0</v>
      </c>
      <c r="X1243">
        <v>2</v>
      </c>
      <c r="Y1243" s="6">
        <v>46054</v>
      </c>
    </row>
    <row r="1244" spans="1:26" x14ac:dyDescent="0.3">
      <c r="A1244" t="s">
        <v>1349</v>
      </c>
      <c r="B1244" s="5">
        <v>46177</v>
      </c>
      <c r="C1244" s="5">
        <v>46178</v>
      </c>
      <c r="D1244" s="5">
        <v>46181</v>
      </c>
      <c r="E1244" s="5">
        <v>46181</v>
      </c>
      <c r="F1244" t="s">
        <v>34</v>
      </c>
      <c r="G1244" t="s">
        <v>59</v>
      </c>
      <c r="H1244" t="s">
        <v>24</v>
      </c>
      <c r="I1244" t="s">
        <v>42</v>
      </c>
      <c r="J1244">
        <v>348.8</v>
      </c>
      <c r="K1244">
        <v>14662.2</v>
      </c>
      <c r="L1244">
        <v>11518000</v>
      </c>
      <c r="M1244" t="b">
        <v>0</v>
      </c>
      <c r="N1244" t="b">
        <v>0</v>
      </c>
      <c r="O1244">
        <v>16000</v>
      </c>
      <c r="P1244" t="b">
        <v>0</v>
      </c>
      <c r="Q1244" t="b">
        <v>0</v>
      </c>
      <c r="R1244" t="b">
        <v>0</v>
      </c>
      <c r="S1244" t="s">
        <v>96</v>
      </c>
      <c r="T1244" t="s">
        <v>1616</v>
      </c>
      <c r="U1244">
        <v>91.638750000000002</v>
      </c>
      <c r="V1244">
        <v>0</v>
      </c>
      <c r="W1244">
        <v>0</v>
      </c>
      <c r="X1244">
        <v>3</v>
      </c>
      <c r="Y1244" s="6">
        <v>46174</v>
      </c>
    </row>
    <row r="1245" spans="1:26" x14ac:dyDescent="0.3">
      <c r="A1245" t="s">
        <v>1350</v>
      </c>
      <c r="B1245" s="5">
        <v>46101</v>
      </c>
      <c r="C1245" s="5">
        <v>46102</v>
      </c>
      <c r="D1245" s="5">
        <v>46106</v>
      </c>
      <c r="E1245" s="5">
        <v>46106</v>
      </c>
      <c r="F1245" t="s">
        <v>31</v>
      </c>
      <c r="G1245" t="s">
        <v>59</v>
      </c>
      <c r="H1245" t="s">
        <v>22</v>
      </c>
      <c r="I1245" t="s">
        <v>43</v>
      </c>
      <c r="J1245">
        <v>306.8</v>
      </c>
      <c r="K1245">
        <v>3461.4</v>
      </c>
      <c r="L1245">
        <v>6470000</v>
      </c>
      <c r="M1245" t="b">
        <v>0</v>
      </c>
      <c r="N1245" t="b">
        <v>0</v>
      </c>
      <c r="O1245">
        <v>5000</v>
      </c>
      <c r="P1245" t="b">
        <v>0</v>
      </c>
      <c r="Q1245" t="b">
        <v>0</v>
      </c>
      <c r="R1245" t="b">
        <v>0</v>
      </c>
      <c r="S1245" t="s">
        <v>96</v>
      </c>
      <c r="T1245" t="s">
        <v>1628</v>
      </c>
      <c r="U1245">
        <v>69.227999999999994</v>
      </c>
      <c r="V1245">
        <v>0</v>
      </c>
      <c r="W1245">
        <v>0</v>
      </c>
      <c r="X1245">
        <v>4</v>
      </c>
      <c r="Y1245" s="6">
        <v>46082</v>
      </c>
    </row>
    <row r="1246" spans="1:26" x14ac:dyDescent="0.3">
      <c r="A1246" t="s">
        <v>1351</v>
      </c>
      <c r="B1246" s="5">
        <v>46144</v>
      </c>
      <c r="C1246" s="5">
        <v>46146</v>
      </c>
      <c r="D1246" s="5">
        <v>46149</v>
      </c>
      <c r="E1246" s="5">
        <v>46150</v>
      </c>
      <c r="F1246" t="s">
        <v>34</v>
      </c>
      <c r="G1246" t="s">
        <v>59</v>
      </c>
      <c r="H1246" t="s">
        <v>21</v>
      </c>
      <c r="I1246" t="s">
        <v>44</v>
      </c>
      <c r="J1246">
        <v>309.10000000000002</v>
      </c>
      <c r="K1246">
        <v>1345.5</v>
      </c>
      <c r="L1246">
        <v>4071000</v>
      </c>
      <c r="M1246" t="b">
        <v>0</v>
      </c>
      <c r="N1246" t="b">
        <v>0</v>
      </c>
      <c r="O1246">
        <v>1500</v>
      </c>
      <c r="P1246" t="b">
        <v>0</v>
      </c>
      <c r="Q1246" t="b">
        <v>0</v>
      </c>
      <c r="R1246" t="b">
        <v>0</v>
      </c>
      <c r="S1246" t="s">
        <v>101</v>
      </c>
      <c r="T1246" t="s">
        <v>1616</v>
      </c>
      <c r="U1246">
        <v>89.7</v>
      </c>
      <c r="V1246">
        <v>0</v>
      </c>
      <c r="W1246">
        <v>0</v>
      </c>
      <c r="X1246">
        <v>4</v>
      </c>
      <c r="Y1246" s="6">
        <v>46143</v>
      </c>
      <c r="Z1246">
        <v>1</v>
      </c>
    </row>
    <row r="1247" spans="1:26" x14ac:dyDescent="0.3">
      <c r="A1247" t="s">
        <v>1352</v>
      </c>
      <c r="B1247" s="5">
        <v>46033</v>
      </c>
      <c r="C1247" s="5">
        <v>46034</v>
      </c>
      <c r="D1247" s="5">
        <v>46037</v>
      </c>
      <c r="E1247" s="5">
        <v>46036</v>
      </c>
      <c r="F1247" t="s">
        <v>32</v>
      </c>
      <c r="G1247" t="s">
        <v>52</v>
      </c>
      <c r="H1247" t="s">
        <v>20</v>
      </c>
      <c r="I1247" t="s">
        <v>43</v>
      </c>
      <c r="J1247">
        <v>313.7</v>
      </c>
      <c r="K1247">
        <v>2003.6</v>
      </c>
      <c r="L1247">
        <v>5885000</v>
      </c>
      <c r="M1247" t="b">
        <v>0</v>
      </c>
      <c r="N1247" t="b">
        <v>0</v>
      </c>
      <c r="O1247">
        <v>5000</v>
      </c>
      <c r="P1247" t="b">
        <v>0</v>
      </c>
      <c r="Q1247" t="b">
        <v>0</v>
      </c>
      <c r="R1247" t="b">
        <v>0</v>
      </c>
      <c r="S1247" t="s">
        <v>96</v>
      </c>
      <c r="T1247" t="s">
        <v>1611</v>
      </c>
      <c r="U1247">
        <v>40.072000000000003</v>
      </c>
      <c r="V1247">
        <v>0</v>
      </c>
      <c r="W1247">
        <v>0</v>
      </c>
      <c r="X1247">
        <v>2</v>
      </c>
      <c r="Y1247" s="6">
        <v>46023</v>
      </c>
    </row>
    <row r="1248" spans="1:26" x14ac:dyDescent="0.3">
      <c r="A1248" t="s">
        <v>1353</v>
      </c>
      <c r="B1248" s="5">
        <v>46168</v>
      </c>
      <c r="C1248" s="5">
        <v>46169</v>
      </c>
      <c r="D1248" s="5">
        <v>46171</v>
      </c>
      <c r="E1248" s="5">
        <v>46172</v>
      </c>
      <c r="F1248" t="s">
        <v>32</v>
      </c>
      <c r="G1248" t="s">
        <v>63</v>
      </c>
      <c r="H1248" t="s">
        <v>22</v>
      </c>
      <c r="I1248" t="s">
        <v>45</v>
      </c>
      <c r="J1248">
        <v>184.9</v>
      </c>
      <c r="K1248">
        <v>723.1</v>
      </c>
      <c r="L1248">
        <v>2255000</v>
      </c>
      <c r="M1248" t="b">
        <v>0</v>
      </c>
      <c r="N1248" t="b">
        <v>0</v>
      </c>
      <c r="O1248">
        <v>1000</v>
      </c>
      <c r="P1248" t="b">
        <v>0</v>
      </c>
      <c r="Q1248" t="b">
        <v>0</v>
      </c>
      <c r="R1248" t="b">
        <v>0</v>
      </c>
      <c r="S1248" t="s">
        <v>101</v>
      </c>
      <c r="T1248" t="s">
        <v>1634</v>
      </c>
      <c r="U1248">
        <v>72.31</v>
      </c>
      <c r="V1248">
        <v>0</v>
      </c>
      <c r="W1248">
        <v>0</v>
      </c>
      <c r="X1248">
        <v>3</v>
      </c>
      <c r="Y1248" s="6">
        <v>46143</v>
      </c>
      <c r="Z1248">
        <v>1</v>
      </c>
    </row>
    <row r="1249" spans="1:26" x14ac:dyDescent="0.3">
      <c r="A1249" t="s">
        <v>1354</v>
      </c>
      <c r="B1249" s="5">
        <v>46098</v>
      </c>
      <c r="C1249" s="5">
        <v>46099</v>
      </c>
      <c r="D1249" s="5">
        <v>46102</v>
      </c>
      <c r="E1249" s="5">
        <v>46102</v>
      </c>
      <c r="F1249" t="s">
        <v>34</v>
      </c>
      <c r="G1249" t="s">
        <v>63</v>
      </c>
      <c r="H1249" t="s">
        <v>22</v>
      </c>
      <c r="I1249" t="s">
        <v>42</v>
      </c>
      <c r="J1249">
        <v>350.6</v>
      </c>
      <c r="K1249">
        <v>3977.6</v>
      </c>
      <c r="L1249">
        <v>8823000</v>
      </c>
      <c r="M1249" t="b">
        <v>0</v>
      </c>
      <c r="N1249" t="b">
        <v>0</v>
      </c>
      <c r="O1249">
        <v>16000</v>
      </c>
      <c r="P1249" t="b">
        <v>0</v>
      </c>
      <c r="Q1249" t="b">
        <v>0</v>
      </c>
      <c r="R1249" t="b">
        <v>0</v>
      </c>
      <c r="S1249" t="s">
        <v>96</v>
      </c>
      <c r="T1249" t="s">
        <v>1613</v>
      </c>
      <c r="U1249">
        <v>24.86</v>
      </c>
      <c r="V1249">
        <v>0</v>
      </c>
      <c r="W1249">
        <v>0</v>
      </c>
      <c r="X1249">
        <v>3</v>
      </c>
      <c r="Y1249" s="6">
        <v>46082</v>
      </c>
    </row>
    <row r="1250" spans="1:26" x14ac:dyDescent="0.3">
      <c r="A1250" t="s">
        <v>1355</v>
      </c>
      <c r="B1250" s="5">
        <v>46161</v>
      </c>
      <c r="C1250" s="5">
        <v>46162</v>
      </c>
      <c r="D1250" s="5">
        <v>46164</v>
      </c>
      <c r="E1250" s="5">
        <v>46167</v>
      </c>
      <c r="F1250" t="s">
        <v>33</v>
      </c>
      <c r="G1250" t="s">
        <v>62</v>
      </c>
      <c r="H1250" t="s">
        <v>22</v>
      </c>
      <c r="I1250" t="s">
        <v>42</v>
      </c>
      <c r="J1250">
        <v>144.1</v>
      </c>
      <c r="K1250">
        <v>7759.2</v>
      </c>
      <c r="L1250">
        <v>6014000</v>
      </c>
      <c r="M1250" t="b">
        <v>0</v>
      </c>
      <c r="N1250" t="b">
        <v>0</v>
      </c>
      <c r="O1250">
        <v>16000</v>
      </c>
      <c r="P1250" t="b">
        <v>0</v>
      </c>
      <c r="Q1250" t="b">
        <v>0</v>
      </c>
      <c r="R1250" t="b">
        <v>0</v>
      </c>
      <c r="S1250" t="s">
        <v>101</v>
      </c>
      <c r="T1250" t="s">
        <v>1657</v>
      </c>
      <c r="U1250">
        <v>48.494999999999997</v>
      </c>
      <c r="V1250">
        <v>0</v>
      </c>
      <c r="W1250">
        <v>0</v>
      </c>
      <c r="X1250">
        <v>5</v>
      </c>
      <c r="Y1250" s="6">
        <v>46143</v>
      </c>
      <c r="Z1250">
        <v>3</v>
      </c>
    </row>
    <row r="1251" spans="1:26" x14ac:dyDescent="0.3">
      <c r="A1251" t="s">
        <v>1356</v>
      </c>
      <c r="B1251" s="5">
        <v>46085</v>
      </c>
      <c r="C1251" s="5">
        <v>46086</v>
      </c>
      <c r="D1251" s="5">
        <v>46089</v>
      </c>
      <c r="E1251" s="5">
        <v>46089</v>
      </c>
      <c r="F1251" t="s">
        <v>32</v>
      </c>
      <c r="G1251" t="s">
        <v>60</v>
      </c>
      <c r="H1251" t="s">
        <v>107</v>
      </c>
      <c r="I1251" t="s">
        <v>44</v>
      </c>
      <c r="J1251">
        <v>465.4</v>
      </c>
      <c r="K1251">
        <v>1027.0999999999999</v>
      </c>
      <c r="L1251">
        <v>6063000</v>
      </c>
      <c r="M1251" t="b">
        <v>0</v>
      </c>
      <c r="N1251" t="b">
        <v>0</v>
      </c>
      <c r="O1251">
        <v>1500</v>
      </c>
      <c r="P1251" t="b">
        <v>0</v>
      </c>
      <c r="Q1251" t="b">
        <v>0</v>
      </c>
      <c r="R1251" t="b">
        <v>0</v>
      </c>
      <c r="S1251" t="s">
        <v>96</v>
      </c>
      <c r="T1251" t="s">
        <v>1647</v>
      </c>
      <c r="U1251">
        <v>68.473333333333329</v>
      </c>
      <c r="V1251">
        <v>0</v>
      </c>
      <c r="W1251">
        <v>0</v>
      </c>
      <c r="X1251">
        <v>3</v>
      </c>
      <c r="Y1251" s="6">
        <v>46082</v>
      </c>
    </row>
    <row r="1252" spans="1:26" x14ac:dyDescent="0.3">
      <c r="A1252" t="s">
        <v>1357</v>
      </c>
      <c r="B1252" s="5">
        <v>46137</v>
      </c>
      <c r="C1252" s="5">
        <v>46138</v>
      </c>
      <c r="D1252" s="5">
        <v>46141</v>
      </c>
      <c r="E1252" s="5">
        <v>46143</v>
      </c>
      <c r="F1252" t="s">
        <v>31</v>
      </c>
      <c r="G1252" t="s">
        <v>54</v>
      </c>
      <c r="H1252" t="s">
        <v>24</v>
      </c>
      <c r="I1252" t="s">
        <v>44</v>
      </c>
      <c r="J1252">
        <v>465.9</v>
      </c>
      <c r="K1252">
        <v>1056.3</v>
      </c>
      <c r="L1252">
        <v>5651000</v>
      </c>
      <c r="M1252" t="b">
        <v>0</v>
      </c>
      <c r="N1252" t="b">
        <v>0</v>
      </c>
      <c r="O1252">
        <v>1500</v>
      </c>
      <c r="P1252" t="b">
        <v>0</v>
      </c>
      <c r="Q1252" t="b">
        <v>0</v>
      </c>
      <c r="R1252" t="b">
        <v>0</v>
      </c>
      <c r="S1252" t="s">
        <v>101</v>
      </c>
      <c r="T1252" t="s">
        <v>1631</v>
      </c>
      <c r="U1252">
        <v>70.419999999999987</v>
      </c>
      <c r="V1252">
        <v>0</v>
      </c>
      <c r="W1252">
        <v>0</v>
      </c>
      <c r="X1252">
        <v>5</v>
      </c>
      <c r="Y1252" s="6">
        <v>46113</v>
      </c>
      <c r="Z1252">
        <v>2</v>
      </c>
    </row>
    <row r="1253" spans="1:26" x14ac:dyDescent="0.3">
      <c r="A1253" t="s">
        <v>1358</v>
      </c>
      <c r="B1253" s="5">
        <v>46029</v>
      </c>
      <c r="C1253" s="5">
        <v>46029</v>
      </c>
      <c r="D1253" s="5">
        <v>46030</v>
      </c>
      <c r="E1253" s="5">
        <v>46031</v>
      </c>
      <c r="F1253" t="s">
        <v>31</v>
      </c>
      <c r="G1253" t="s">
        <v>55</v>
      </c>
      <c r="H1253" t="s">
        <v>20</v>
      </c>
      <c r="I1253" t="s">
        <v>43</v>
      </c>
      <c r="J1253">
        <v>15.3</v>
      </c>
      <c r="K1253">
        <v>2212.8000000000002</v>
      </c>
      <c r="L1253">
        <v>8450000</v>
      </c>
      <c r="M1253" t="b">
        <v>0</v>
      </c>
      <c r="N1253" t="b">
        <v>0</v>
      </c>
      <c r="O1253">
        <v>5000</v>
      </c>
      <c r="P1253" t="b">
        <v>0</v>
      </c>
      <c r="Q1253" t="b">
        <v>0</v>
      </c>
      <c r="R1253" t="b">
        <v>0</v>
      </c>
      <c r="S1253" t="s">
        <v>101</v>
      </c>
      <c r="T1253" t="s">
        <v>1629</v>
      </c>
      <c r="U1253">
        <v>44.256</v>
      </c>
      <c r="V1253">
        <v>0</v>
      </c>
      <c r="W1253">
        <v>0</v>
      </c>
      <c r="X1253">
        <v>2</v>
      </c>
      <c r="Y1253" s="6">
        <v>46023</v>
      </c>
      <c r="Z1253">
        <v>1</v>
      </c>
    </row>
    <row r="1254" spans="1:26" x14ac:dyDescent="0.3">
      <c r="A1254" t="s">
        <v>1359</v>
      </c>
      <c r="B1254" s="5">
        <v>46080</v>
      </c>
      <c r="C1254" s="5">
        <v>46081</v>
      </c>
      <c r="D1254" s="5">
        <v>46083</v>
      </c>
      <c r="E1254" s="5">
        <v>46083</v>
      </c>
      <c r="F1254" t="s">
        <v>31</v>
      </c>
      <c r="G1254" t="s">
        <v>58</v>
      </c>
      <c r="H1254" t="s">
        <v>20</v>
      </c>
      <c r="I1254" t="s">
        <v>43</v>
      </c>
      <c r="J1254">
        <v>189.9</v>
      </c>
      <c r="K1254">
        <v>1466.7</v>
      </c>
      <c r="L1254">
        <v>3311000</v>
      </c>
      <c r="M1254" t="b">
        <v>0</v>
      </c>
      <c r="N1254" t="b">
        <v>0</v>
      </c>
      <c r="O1254">
        <v>5000</v>
      </c>
      <c r="P1254" t="b">
        <v>0</v>
      </c>
      <c r="Q1254" t="b">
        <v>0</v>
      </c>
      <c r="R1254" t="b">
        <v>0</v>
      </c>
      <c r="S1254" t="s">
        <v>96</v>
      </c>
      <c r="T1254" t="s">
        <v>1621</v>
      </c>
      <c r="U1254">
        <v>29.334</v>
      </c>
      <c r="V1254">
        <v>0</v>
      </c>
      <c r="W1254">
        <v>0</v>
      </c>
      <c r="X1254">
        <v>2</v>
      </c>
      <c r="Y1254" s="6">
        <v>46054</v>
      </c>
    </row>
    <row r="1255" spans="1:26" x14ac:dyDescent="0.3">
      <c r="A1255" t="s">
        <v>1360</v>
      </c>
      <c r="B1255" s="5">
        <v>46165</v>
      </c>
      <c r="C1255" s="5">
        <v>46166</v>
      </c>
      <c r="D1255" s="5">
        <v>46171</v>
      </c>
      <c r="E1255" s="5">
        <v>46171</v>
      </c>
      <c r="F1255" t="s">
        <v>31</v>
      </c>
      <c r="G1255" t="s">
        <v>60</v>
      </c>
      <c r="H1255" t="s">
        <v>24</v>
      </c>
      <c r="I1255" t="s">
        <v>42</v>
      </c>
      <c r="J1255">
        <v>626.9</v>
      </c>
      <c r="K1255">
        <v>11105.3</v>
      </c>
      <c r="L1255">
        <v>13602000</v>
      </c>
      <c r="M1255" t="b">
        <v>0</v>
      </c>
      <c r="N1255" t="b">
        <v>0</v>
      </c>
      <c r="O1255">
        <v>16000</v>
      </c>
      <c r="P1255" t="b">
        <v>0</v>
      </c>
      <c r="Q1255" t="b">
        <v>0</v>
      </c>
      <c r="R1255" t="b">
        <v>0</v>
      </c>
      <c r="S1255" t="s">
        <v>96</v>
      </c>
      <c r="T1255" t="s">
        <v>1652</v>
      </c>
      <c r="U1255">
        <v>69.408124999999998</v>
      </c>
      <c r="V1255">
        <v>0</v>
      </c>
      <c r="W1255">
        <v>0</v>
      </c>
      <c r="X1255">
        <v>5</v>
      </c>
      <c r="Y1255" s="6">
        <v>46143</v>
      </c>
    </row>
    <row r="1256" spans="1:26" x14ac:dyDescent="0.3">
      <c r="A1256" t="s">
        <v>1361</v>
      </c>
      <c r="B1256" s="5">
        <v>46051</v>
      </c>
      <c r="C1256" s="5">
        <v>46053</v>
      </c>
      <c r="D1256" s="5">
        <v>46055</v>
      </c>
      <c r="E1256" s="5">
        <v>46055</v>
      </c>
      <c r="F1256" t="s">
        <v>32</v>
      </c>
      <c r="G1256" t="s">
        <v>61</v>
      </c>
      <c r="H1256" t="s">
        <v>24</v>
      </c>
      <c r="I1256" t="s">
        <v>42</v>
      </c>
      <c r="J1256">
        <v>155.19999999999999</v>
      </c>
      <c r="K1256">
        <v>6447.7</v>
      </c>
      <c r="L1256">
        <v>6193000</v>
      </c>
      <c r="M1256" t="b">
        <v>0</v>
      </c>
      <c r="N1256" t="b">
        <v>0</v>
      </c>
      <c r="O1256">
        <v>16000</v>
      </c>
      <c r="P1256" t="b">
        <v>0</v>
      </c>
      <c r="Q1256" t="b">
        <v>0</v>
      </c>
      <c r="R1256" t="b">
        <v>0</v>
      </c>
      <c r="S1256" t="s">
        <v>96</v>
      </c>
      <c r="T1256" t="s">
        <v>1653</v>
      </c>
      <c r="U1256">
        <v>40.298124999999999</v>
      </c>
      <c r="V1256">
        <v>0</v>
      </c>
      <c r="W1256">
        <v>0</v>
      </c>
      <c r="X1256">
        <v>2</v>
      </c>
      <c r="Y1256" s="6">
        <v>46023</v>
      </c>
    </row>
    <row r="1257" spans="1:26" x14ac:dyDescent="0.3">
      <c r="A1257" t="s">
        <v>1362</v>
      </c>
      <c r="B1257" s="5">
        <v>46098</v>
      </c>
      <c r="C1257" s="5">
        <v>46099</v>
      </c>
      <c r="D1257" s="5">
        <v>46101</v>
      </c>
      <c r="E1257" s="5">
        <v>46101</v>
      </c>
      <c r="F1257" t="s">
        <v>34</v>
      </c>
      <c r="G1257" t="s">
        <v>52</v>
      </c>
      <c r="H1257" t="s">
        <v>24</v>
      </c>
      <c r="I1257" t="s">
        <v>43</v>
      </c>
      <c r="J1257">
        <v>279.39999999999998</v>
      </c>
      <c r="K1257">
        <v>2740.9</v>
      </c>
      <c r="L1257">
        <v>4943000</v>
      </c>
      <c r="M1257" t="b">
        <v>0</v>
      </c>
      <c r="N1257" t="b">
        <v>0</v>
      </c>
      <c r="O1257">
        <v>5000</v>
      </c>
      <c r="P1257" t="b">
        <v>0</v>
      </c>
      <c r="Q1257" t="b">
        <v>0</v>
      </c>
      <c r="R1257" t="b">
        <v>0</v>
      </c>
      <c r="S1257" t="s">
        <v>96</v>
      </c>
      <c r="T1257" t="s">
        <v>1623</v>
      </c>
      <c r="U1257">
        <v>54.817999999999998</v>
      </c>
      <c r="V1257">
        <v>0</v>
      </c>
      <c r="W1257">
        <v>0</v>
      </c>
      <c r="X1257">
        <v>2</v>
      </c>
      <c r="Y1257" s="6">
        <v>46082</v>
      </c>
    </row>
    <row r="1258" spans="1:26" x14ac:dyDescent="0.3">
      <c r="A1258" t="s">
        <v>1363</v>
      </c>
      <c r="B1258" s="5">
        <v>46053</v>
      </c>
      <c r="C1258" s="5">
        <v>46054</v>
      </c>
      <c r="D1258" s="5">
        <v>46057</v>
      </c>
      <c r="E1258" s="5">
        <v>46057</v>
      </c>
      <c r="F1258" t="s">
        <v>32</v>
      </c>
      <c r="G1258" t="s">
        <v>54</v>
      </c>
      <c r="H1258" t="s">
        <v>22</v>
      </c>
      <c r="I1258" t="s">
        <v>43</v>
      </c>
      <c r="J1258">
        <v>531.70000000000005</v>
      </c>
      <c r="K1258">
        <v>2349.6999999999998</v>
      </c>
      <c r="L1258">
        <v>7308000</v>
      </c>
      <c r="M1258" t="b">
        <v>0</v>
      </c>
      <c r="N1258" t="b">
        <v>0</v>
      </c>
      <c r="O1258">
        <v>5000</v>
      </c>
      <c r="P1258" t="b">
        <v>0</v>
      </c>
      <c r="Q1258" t="b">
        <v>0</v>
      </c>
      <c r="R1258" t="b">
        <v>0</v>
      </c>
      <c r="S1258" t="s">
        <v>96</v>
      </c>
      <c r="T1258" t="s">
        <v>1655</v>
      </c>
      <c r="U1258">
        <v>46.994</v>
      </c>
      <c r="V1258">
        <v>0</v>
      </c>
      <c r="W1258">
        <v>0</v>
      </c>
      <c r="X1258">
        <v>3</v>
      </c>
      <c r="Y1258" s="6">
        <v>46054</v>
      </c>
    </row>
    <row r="1259" spans="1:26" x14ac:dyDescent="0.3">
      <c r="A1259" t="s">
        <v>1364</v>
      </c>
      <c r="B1259" s="5">
        <v>46162</v>
      </c>
      <c r="C1259" s="5">
        <v>46163</v>
      </c>
      <c r="D1259" s="5">
        <v>46167</v>
      </c>
      <c r="E1259" s="5">
        <v>46167</v>
      </c>
      <c r="F1259" t="s">
        <v>31</v>
      </c>
      <c r="G1259" t="s">
        <v>60</v>
      </c>
      <c r="H1259" t="s">
        <v>22</v>
      </c>
      <c r="I1259" t="s">
        <v>44</v>
      </c>
      <c r="J1259">
        <v>605.6</v>
      </c>
      <c r="K1259">
        <v>708.4</v>
      </c>
      <c r="L1259">
        <v>7243000</v>
      </c>
      <c r="M1259" t="b">
        <v>0</v>
      </c>
      <c r="N1259" t="b">
        <v>0</v>
      </c>
      <c r="O1259">
        <v>1500</v>
      </c>
      <c r="P1259" t="b">
        <v>0</v>
      </c>
      <c r="Q1259" t="b">
        <v>0</v>
      </c>
      <c r="R1259" t="b">
        <v>0</v>
      </c>
      <c r="S1259" t="s">
        <v>96</v>
      </c>
      <c r="T1259" t="s">
        <v>1652</v>
      </c>
      <c r="U1259">
        <v>47.226666666666667</v>
      </c>
      <c r="V1259">
        <v>0</v>
      </c>
      <c r="W1259">
        <v>0</v>
      </c>
      <c r="X1259">
        <v>4</v>
      </c>
      <c r="Y1259" s="6">
        <v>46143</v>
      </c>
    </row>
    <row r="1260" spans="1:26" x14ac:dyDescent="0.3">
      <c r="A1260" t="s">
        <v>1365</v>
      </c>
      <c r="B1260" s="5">
        <v>46098</v>
      </c>
      <c r="C1260" s="5">
        <v>46099</v>
      </c>
      <c r="D1260" s="5">
        <v>46103</v>
      </c>
      <c r="E1260" s="5"/>
      <c r="F1260" t="s">
        <v>31</v>
      </c>
      <c r="G1260" t="s">
        <v>62</v>
      </c>
      <c r="H1260" t="s">
        <v>21</v>
      </c>
      <c r="I1260" t="s">
        <v>45</v>
      </c>
      <c r="J1260">
        <v>695.8</v>
      </c>
      <c r="K1260">
        <v>335.2</v>
      </c>
      <c r="L1260">
        <v>6113000</v>
      </c>
      <c r="M1260" t="b">
        <v>0</v>
      </c>
      <c r="N1260" t="b">
        <v>0</v>
      </c>
      <c r="O1260">
        <v>1000</v>
      </c>
      <c r="P1260" t="b">
        <v>0</v>
      </c>
      <c r="Q1260" t="b">
        <v>0</v>
      </c>
      <c r="R1260" t="b">
        <v>0</v>
      </c>
      <c r="S1260" t="s">
        <v>203</v>
      </c>
      <c r="T1260" t="s">
        <v>1615</v>
      </c>
      <c r="U1260">
        <v>33.520000000000003</v>
      </c>
      <c r="V1260">
        <v>0</v>
      </c>
      <c r="W1260">
        <v>0</v>
      </c>
      <c r="Y1260" s="6">
        <v>46082</v>
      </c>
    </row>
    <row r="1261" spans="1:26" x14ac:dyDescent="0.3">
      <c r="A1261" t="s">
        <v>1366</v>
      </c>
      <c r="B1261" s="5">
        <v>46198</v>
      </c>
      <c r="C1261" s="5">
        <v>46198</v>
      </c>
      <c r="D1261" s="5">
        <v>46202</v>
      </c>
      <c r="E1261" s="5">
        <v>46202</v>
      </c>
      <c r="F1261" t="s">
        <v>31</v>
      </c>
      <c r="G1261" t="s">
        <v>62</v>
      </c>
      <c r="H1261" t="s">
        <v>20</v>
      </c>
      <c r="I1261" t="s">
        <v>43</v>
      </c>
      <c r="J1261">
        <v>729.6</v>
      </c>
      <c r="K1261">
        <v>55000</v>
      </c>
      <c r="L1261">
        <v>8705000</v>
      </c>
      <c r="M1261" t="b">
        <v>0</v>
      </c>
      <c r="N1261" t="b">
        <v>0</v>
      </c>
      <c r="O1261">
        <v>5000</v>
      </c>
      <c r="P1261" t="b">
        <v>1</v>
      </c>
      <c r="Q1261" t="b">
        <v>0</v>
      </c>
      <c r="R1261" t="b">
        <v>1</v>
      </c>
      <c r="S1261" t="s">
        <v>96</v>
      </c>
      <c r="T1261" t="s">
        <v>1615</v>
      </c>
      <c r="V1261">
        <v>1</v>
      </c>
      <c r="W1261">
        <v>1</v>
      </c>
      <c r="X1261">
        <v>4</v>
      </c>
      <c r="Y1261" s="6">
        <v>46174</v>
      </c>
    </row>
    <row r="1262" spans="1:26" x14ac:dyDescent="0.3">
      <c r="A1262" t="s">
        <v>1367</v>
      </c>
      <c r="B1262" s="5">
        <v>46096</v>
      </c>
      <c r="C1262" s="5">
        <v>46098</v>
      </c>
      <c r="D1262" s="5">
        <v>46100</v>
      </c>
      <c r="E1262" s="5">
        <v>46100</v>
      </c>
      <c r="F1262" t="s">
        <v>31</v>
      </c>
      <c r="G1262" t="s">
        <v>58</v>
      </c>
      <c r="H1262" t="s">
        <v>21</v>
      </c>
      <c r="I1262" t="s">
        <v>43</v>
      </c>
      <c r="J1262">
        <v>189.9</v>
      </c>
      <c r="K1262">
        <v>1222.0999999999999</v>
      </c>
      <c r="L1262">
        <v>3654000</v>
      </c>
      <c r="M1262" t="b">
        <v>0</v>
      </c>
      <c r="N1262" t="b">
        <v>0</v>
      </c>
      <c r="O1262">
        <v>5000</v>
      </c>
      <c r="P1262" t="b">
        <v>0</v>
      </c>
      <c r="Q1262" t="b">
        <v>0</v>
      </c>
      <c r="R1262" t="b">
        <v>0</v>
      </c>
      <c r="S1262" t="s">
        <v>96</v>
      </c>
      <c r="T1262" t="s">
        <v>1621</v>
      </c>
      <c r="U1262">
        <v>24.442</v>
      </c>
      <c r="V1262">
        <v>0</v>
      </c>
      <c r="W1262">
        <v>0</v>
      </c>
      <c r="X1262">
        <v>2</v>
      </c>
      <c r="Y1262" s="6">
        <v>46082</v>
      </c>
    </row>
    <row r="1263" spans="1:26" x14ac:dyDescent="0.3">
      <c r="A1263" t="s">
        <v>1368</v>
      </c>
      <c r="B1263" s="5">
        <v>46049</v>
      </c>
      <c r="C1263" s="5">
        <v>46049</v>
      </c>
      <c r="D1263" s="5">
        <v>46051</v>
      </c>
      <c r="E1263" s="5">
        <v>46052</v>
      </c>
      <c r="F1263" t="s">
        <v>32</v>
      </c>
      <c r="G1263" t="s">
        <v>61</v>
      </c>
      <c r="H1263" t="s">
        <v>22</v>
      </c>
      <c r="I1263" t="s">
        <v>42</v>
      </c>
      <c r="J1263">
        <v>142</v>
      </c>
      <c r="K1263">
        <v>9261.7999999999993</v>
      </c>
      <c r="L1263">
        <v>5541000</v>
      </c>
      <c r="M1263" t="b">
        <v>0</v>
      </c>
      <c r="N1263" t="b">
        <v>0</v>
      </c>
      <c r="O1263">
        <v>16000</v>
      </c>
      <c r="P1263" t="b">
        <v>0</v>
      </c>
      <c r="Q1263" t="b">
        <v>0</v>
      </c>
      <c r="R1263" t="b">
        <v>0</v>
      </c>
      <c r="S1263" t="s">
        <v>101</v>
      </c>
      <c r="T1263" t="s">
        <v>1653</v>
      </c>
      <c r="U1263">
        <v>57.886249999999997</v>
      </c>
      <c r="V1263">
        <v>0</v>
      </c>
      <c r="W1263">
        <v>0</v>
      </c>
      <c r="X1263">
        <v>3</v>
      </c>
      <c r="Y1263" s="6">
        <v>46023</v>
      </c>
      <c r="Z1263">
        <v>1</v>
      </c>
    </row>
    <row r="1264" spans="1:26" x14ac:dyDescent="0.3">
      <c r="A1264" t="s">
        <v>1369</v>
      </c>
      <c r="B1264" s="5">
        <v>46150</v>
      </c>
      <c r="C1264" s="5">
        <v>46152</v>
      </c>
      <c r="D1264" s="5">
        <v>46153</v>
      </c>
      <c r="E1264" s="5">
        <v>46153</v>
      </c>
      <c r="F1264" t="s">
        <v>34</v>
      </c>
      <c r="G1264" t="s">
        <v>55</v>
      </c>
      <c r="H1264" t="s">
        <v>24</v>
      </c>
      <c r="I1264" t="s">
        <v>44</v>
      </c>
      <c r="J1264">
        <v>60.5</v>
      </c>
      <c r="K1264">
        <v>794</v>
      </c>
      <c r="L1264">
        <v>1508000</v>
      </c>
      <c r="M1264" t="b">
        <v>0</v>
      </c>
      <c r="N1264" t="b">
        <v>0</v>
      </c>
      <c r="O1264">
        <v>1500</v>
      </c>
      <c r="P1264" t="b">
        <v>0</v>
      </c>
      <c r="Q1264" t="b">
        <v>0</v>
      </c>
      <c r="R1264" t="b">
        <v>0</v>
      </c>
      <c r="S1264" t="s">
        <v>96</v>
      </c>
      <c r="T1264" t="s">
        <v>1639</v>
      </c>
      <c r="U1264">
        <v>52.93333333333333</v>
      </c>
      <c r="V1264">
        <v>0</v>
      </c>
      <c r="W1264">
        <v>0</v>
      </c>
      <c r="X1264">
        <v>1</v>
      </c>
      <c r="Y1264" s="6">
        <v>46143</v>
      </c>
    </row>
    <row r="1265" spans="1:26" x14ac:dyDescent="0.3">
      <c r="A1265" t="s">
        <v>1370</v>
      </c>
      <c r="B1265" s="5">
        <v>46044</v>
      </c>
      <c r="C1265" s="5">
        <v>46045</v>
      </c>
      <c r="D1265" s="5">
        <v>46048</v>
      </c>
      <c r="E1265" s="5"/>
      <c r="F1265" t="s">
        <v>31</v>
      </c>
      <c r="G1265" t="s">
        <v>59</v>
      </c>
      <c r="H1265" t="s">
        <v>20</v>
      </c>
      <c r="I1265" t="s">
        <v>44</v>
      </c>
      <c r="J1265">
        <v>309.7</v>
      </c>
      <c r="K1265">
        <v>231.9</v>
      </c>
      <c r="L1265">
        <v>4143000</v>
      </c>
      <c r="M1265" t="b">
        <v>0</v>
      </c>
      <c r="N1265" t="b">
        <v>0</v>
      </c>
      <c r="O1265">
        <v>1500</v>
      </c>
      <c r="P1265" t="b">
        <v>0</v>
      </c>
      <c r="Q1265" t="b">
        <v>0</v>
      </c>
      <c r="R1265" t="b">
        <v>0</v>
      </c>
      <c r="S1265" t="s">
        <v>203</v>
      </c>
      <c r="T1265" t="s">
        <v>1628</v>
      </c>
      <c r="U1265">
        <v>15.46</v>
      </c>
      <c r="V1265">
        <v>0</v>
      </c>
      <c r="W1265">
        <v>0</v>
      </c>
      <c r="Y1265" s="6">
        <v>46023</v>
      </c>
    </row>
    <row r="1266" spans="1:26" x14ac:dyDescent="0.3">
      <c r="A1266" t="s">
        <v>1371</v>
      </c>
      <c r="B1266" s="5">
        <v>46051</v>
      </c>
      <c r="C1266" s="5">
        <v>46052</v>
      </c>
      <c r="D1266" s="5">
        <v>46054</v>
      </c>
      <c r="E1266" s="5">
        <v>46055</v>
      </c>
      <c r="F1266" t="s">
        <v>32</v>
      </c>
      <c r="G1266" t="s">
        <v>53</v>
      </c>
      <c r="H1266" t="s">
        <v>20</v>
      </c>
      <c r="I1266" t="s">
        <v>43</v>
      </c>
      <c r="J1266">
        <v>271.60000000000002</v>
      </c>
      <c r="K1266">
        <v>2007</v>
      </c>
      <c r="L1266">
        <v>4836000</v>
      </c>
      <c r="M1266" t="b">
        <v>0</v>
      </c>
      <c r="N1266" t="b">
        <v>0</v>
      </c>
      <c r="O1266">
        <v>5000</v>
      </c>
      <c r="P1266" t="b">
        <v>0</v>
      </c>
      <c r="Q1266" t="b">
        <v>0</v>
      </c>
      <c r="R1266" t="b">
        <v>0</v>
      </c>
      <c r="S1266" t="s">
        <v>101</v>
      </c>
      <c r="T1266" t="s">
        <v>1612</v>
      </c>
      <c r="U1266">
        <v>40.14</v>
      </c>
      <c r="V1266">
        <v>0</v>
      </c>
      <c r="W1266">
        <v>0</v>
      </c>
      <c r="X1266">
        <v>3</v>
      </c>
      <c r="Y1266" s="6">
        <v>46023</v>
      </c>
      <c r="Z1266">
        <v>1</v>
      </c>
    </row>
    <row r="1267" spans="1:26" x14ac:dyDescent="0.3">
      <c r="A1267" t="s">
        <v>1372</v>
      </c>
      <c r="B1267" s="5">
        <v>46037</v>
      </c>
      <c r="C1267" s="5">
        <v>46039</v>
      </c>
      <c r="D1267" s="5">
        <v>46042</v>
      </c>
      <c r="E1267" s="5">
        <v>46044</v>
      </c>
      <c r="F1267" t="s">
        <v>34</v>
      </c>
      <c r="G1267" t="s">
        <v>53</v>
      </c>
      <c r="H1267" t="s">
        <v>23</v>
      </c>
      <c r="I1267" t="s">
        <v>43</v>
      </c>
      <c r="J1267">
        <v>302.3</v>
      </c>
      <c r="K1267">
        <v>2940.8</v>
      </c>
      <c r="L1267">
        <v>5538000</v>
      </c>
      <c r="M1267" t="b">
        <v>0</v>
      </c>
      <c r="N1267" t="b">
        <v>0</v>
      </c>
      <c r="O1267">
        <v>5000</v>
      </c>
      <c r="P1267" t="b">
        <v>0</v>
      </c>
      <c r="Q1267" t="b">
        <v>0</v>
      </c>
      <c r="R1267" t="b">
        <v>0</v>
      </c>
      <c r="S1267" t="s">
        <v>101</v>
      </c>
      <c r="T1267" t="s">
        <v>1636</v>
      </c>
      <c r="U1267">
        <v>58.816000000000003</v>
      </c>
      <c r="V1267">
        <v>0</v>
      </c>
      <c r="W1267">
        <v>0</v>
      </c>
      <c r="X1267">
        <v>5</v>
      </c>
      <c r="Y1267" s="6">
        <v>46023</v>
      </c>
      <c r="Z1267">
        <v>2</v>
      </c>
    </row>
    <row r="1268" spans="1:26" x14ac:dyDescent="0.3">
      <c r="A1268" t="s">
        <v>1373</v>
      </c>
      <c r="B1268" s="5">
        <v>46083</v>
      </c>
      <c r="C1268" s="5">
        <v>46084</v>
      </c>
      <c r="D1268" s="5">
        <v>46088</v>
      </c>
      <c r="E1268" s="5">
        <v>46089</v>
      </c>
      <c r="F1268" t="s">
        <v>33</v>
      </c>
      <c r="G1268" t="s">
        <v>54</v>
      </c>
      <c r="H1268" t="s">
        <v>20</v>
      </c>
      <c r="I1268" t="s">
        <v>44</v>
      </c>
      <c r="J1268">
        <v>920</v>
      </c>
      <c r="K1268">
        <v>1330</v>
      </c>
      <c r="L1268">
        <v>9866000</v>
      </c>
      <c r="M1268" t="b">
        <v>0</v>
      </c>
      <c r="N1268" t="b">
        <v>0</v>
      </c>
      <c r="O1268">
        <v>1500</v>
      </c>
      <c r="P1268" t="b">
        <v>0</v>
      </c>
      <c r="Q1268" t="b">
        <v>0</v>
      </c>
      <c r="R1268" t="b">
        <v>0</v>
      </c>
      <c r="S1268" t="s">
        <v>101</v>
      </c>
      <c r="T1268" t="s">
        <v>1642</v>
      </c>
      <c r="U1268">
        <v>88.666666666666671</v>
      </c>
      <c r="V1268">
        <v>0</v>
      </c>
      <c r="W1268">
        <v>0</v>
      </c>
      <c r="X1268">
        <v>5</v>
      </c>
      <c r="Y1268" s="6">
        <v>46082</v>
      </c>
      <c r="Z1268">
        <v>1</v>
      </c>
    </row>
    <row r="1269" spans="1:26" x14ac:dyDescent="0.3">
      <c r="A1269" t="s">
        <v>1374</v>
      </c>
      <c r="B1269" s="5">
        <v>46123</v>
      </c>
      <c r="C1269" s="5">
        <v>46124</v>
      </c>
      <c r="D1269" s="5">
        <v>46127</v>
      </c>
      <c r="E1269" s="5">
        <v>46127</v>
      </c>
      <c r="F1269" t="s">
        <v>34</v>
      </c>
      <c r="G1269" t="s">
        <v>59</v>
      </c>
      <c r="H1269" t="s">
        <v>20</v>
      </c>
      <c r="I1269" t="s">
        <v>44</v>
      </c>
      <c r="J1269">
        <v>330.3</v>
      </c>
      <c r="K1269">
        <v>153.5</v>
      </c>
      <c r="L1269">
        <v>3596000</v>
      </c>
      <c r="M1269" t="b">
        <v>0</v>
      </c>
      <c r="N1269" t="b">
        <v>0</v>
      </c>
      <c r="O1269">
        <v>1500</v>
      </c>
      <c r="P1269" t="b">
        <v>0</v>
      </c>
      <c r="Q1269" t="b">
        <v>0</v>
      </c>
      <c r="R1269" t="b">
        <v>0</v>
      </c>
      <c r="S1269" t="s">
        <v>96</v>
      </c>
      <c r="T1269" t="s">
        <v>1616</v>
      </c>
      <c r="U1269">
        <v>10.233333333333331</v>
      </c>
      <c r="V1269">
        <v>0</v>
      </c>
      <c r="W1269">
        <v>0</v>
      </c>
      <c r="X1269">
        <v>3</v>
      </c>
      <c r="Y1269" s="6">
        <v>46113</v>
      </c>
    </row>
    <row r="1270" spans="1:26" x14ac:dyDescent="0.3">
      <c r="A1270" t="s">
        <v>1375</v>
      </c>
      <c r="B1270" s="5">
        <v>46203</v>
      </c>
      <c r="C1270" s="5">
        <v>46204</v>
      </c>
      <c r="D1270" s="5">
        <v>46206</v>
      </c>
      <c r="E1270" s="5">
        <v>46206</v>
      </c>
      <c r="F1270" t="s">
        <v>34</v>
      </c>
      <c r="G1270" t="s">
        <v>57</v>
      </c>
      <c r="H1270" t="s">
        <v>23</v>
      </c>
      <c r="I1270" t="s">
        <v>43</v>
      </c>
      <c r="J1270">
        <v>150.69999999999999</v>
      </c>
      <c r="K1270">
        <v>2996.3</v>
      </c>
      <c r="L1270">
        <v>4038000</v>
      </c>
      <c r="M1270" t="b">
        <v>0</v>
      </c>
      <c r="N1270" t="b">
        <v>0</v>
      </c>
      <c r="O1270">
        <v>5000</v>
      </c>
      <c r="P1270" t="b">
        <v>0</v>
      </c>
      <c r="Q1270" t="b">
        <v>0</v>
      </c>
      <c r="R1270" t="b">
        <v>0</v>
      </c>
      <c r="S1270" t="s">
        <v>96</v>
      </c>
      <c r="T1270" t="s">
        <v>1620</v>
      </c>
      <c r="U1270">
        <v>59.926000000000002</v>
      </c>
      <c r="V1270">
        <v>0</v>
      </c>
      <c r="W1270">
        <v>0</v>
      </c>
      <c r="X1270">
        <v>2</v>
      </c>
      <c r="Y1270" s="6">
        <v>46204</v>
      </c>
    </row>
    <row r="1271" spans="1:26" x14ac:dyDescent="0.3">
      <c r="A1271" t="s">
        <v>1376</v>
      </c>
      <c r="B1271" s="5">
        <v>46141</v>
      </c>
      <c r="C1271" s="5">
        <v>46142</v>
      </c>
      <c r="D1271" s="5">
        <v>46144</v>
      </c>
      <c r="E1271" s="5">
        <v>46145</v>
      </c>
      <c r="F1271" t="s">
        <v>32</v>
      </c>
      <c r="G1271" t="s">
        <v>53</v>
      </c>
      <c r="H1271" t="s">
        <v>23</v>
      </c>
      <c r="I1271" t="s">
        <v>43</v>
      </c>
      <c r="J1271">
        <v>258.39999999999998</v>
      </c>
      <c r="K1271">
        <v>3963.9</v>
      </c>
      <c r="L1271">
        <v>5211000</v>
      </c>
      <c r="M1271" t="b">
        <v>0</v>
      </c>
      <c r="N1271" t="b">
        <v>0</v>
      </c>
      <c r="O1271">
        <v>5000</v>
      </c>
      <c r="P1271" t="b">
        <v>0</v>
      </c>
      <c r="Q1271" t="b">
        <v>0</v>
      </c>
      <c r="R1271" t="b">
        <v>0</v>
      </c>
      <c r="S1271" t="s">
        <v>101</v>
      </c>
      <c r="T1271" t="s">
        <v>1612</v>
      </c>
      <c r="U1271">
        <v>79.278000000000006</v>
      </c>
      <c r="V1271">
        <v>0</v>
      </c>
      <c r="W1271">
        <v>0</v>
      </c>
      <c r="X1271">
        <v>3</v>
      </c>
      <c r="Y1271" s="6">
        <v>46113</v>
      </c>
      <c r="Z1271">
        <v>1</v>
      </c>
    </row>
    <row r="1272" spans="1:26" x14ac:dyDescent="0.3">
      <c r="A1272" t="s">
        <v>1377</v>
      </c>
      <c r="B1272" s="5">
        <v>46153</v>
      </c>
      <c r="C1272" s="5">
        <v>46154</v>
      </c>
      <c r="D1272" s="5">
        <v>46156</v>
      </c>
      <c r="E1272" s="5">
        <v>46156</v>
      </c>
      <c r="F1272" t="s">
        <v>31</v>
      </c>
      <c r="G1272" t="s">
        <v>57</v>
      </c>
      <c r="H1272" t="s">
        <v>21</v>
      </c>
      <c r="I1272" t="s">
        <v>42</v>
      </c>
      <c r="J1272">
        <v>142.5</v>
      </c>
      <c r="K1272">
        <v>4662.7</v>
      </c>
      <c r="L1272">
        <v>4907000</v>
      </c>
      <c r="M1272" t="b">
        <v>0</v>
      </c>
      <c r="N1272" t="b">
        <v>0</v>
      </c>
      <c r="O1272">
        <v>16000</v>
      </c>
      <c r="P1272" t="b">
        <v>0</v>
      </c>
      <c r="Q1272" t="b">
        <v>0</v>
      </c>
      <c r="R1272" t="b">
        <v>0</v>
      </c>
      <c r="S1272" t="s">
        <v>96</v>
      </c>
      <c r="T1272" t="s">
        <v>1617</v>
      </c>
      <c r="U1272">
        <v>29.141874999999999</v>
      </c>
      <c r="V1272">
        <v>0</v>
      </c>
      <c r="W1272">
        <v>0</v>
      </c>
      <c r="X1272">
        <v>2</v>
      </c>
      <c r="Y1272" s="6">
        <v>46143</v>
      </c>
    </row>
    <row r="1273" spans="1:26" x14ac:dyDescent="0.3">
      <c r="A1273" t="s">
        <v>1378</v>
      </c>
      <c r="B1273" s="5">
        <v>46112</v>
      </c>
      <c r="C1273" s="5">
        <v>46113</v>
      </c>
      <c r="D1273" s="5">
        <v>46118</v>
      </c>
      <c r="E1273" s="5">
        <v>46120</v>
      </c>
      <c r="F1273" t="s">
        <v>34</v>
      </c>
      <c r="G1273" t="s">
        <v>62</v>
      </c>
      <c r="H1273" t="s">
        <v>24</v>
      </c>
      <c r="I1273" t="s">
        <v>43</v>
      </c>
      <c r="J1273">
        <v>752.2</v>
      </c>
      <c r="K1273">
        <v>856.8</v>
      </c>
      <c r="L1273">
        <v>9823000</v>
      </c>
      <c r="M1273" t="b">
        <v>0</v>
      </c>
      <c r="N1273" t="b">
        <v>0</v>
      </c>
      <c r="O1273">
        <v>5000</v>
      </c>
      <c r="P1273" t="b">
        <v>0</v>
      </c>
      <c r="Q1273" t="b">
        <v>0</v>
      </c>
      <c r="R1273" t="b">
        <v>0</v>
      </c>
      <c r="S1273" t="s">
        <v>101</v>
      </c>
      <c r="T1273" t="s">
        <v>1649</v>
      </c>
      <c r="U1273">
        <v>17.135999999999999</v>
      </c>
      <c r="V1273">
        <v>0</v>
      </c>
      <c r="W1273">
        <v>0</v>
      </c>
      <c r="X1273">
        <v>7</v>
      </c>
      <c r="Y1273" s="6">
        <v>46113</v>
      </c>
      <c r="Z1273">
        <v>2</v>
      </c>
    </row>
    <row r="1274" spans="1:26" x14ac:dyDescent="0.3">
      <c r="A1274" t="s">
        <v>1379</v>
      </c>
      <c r="B1274" s="5">
        <v>46163</v>
      </c>
      <c r="C1274" s="5">
        <v>46164</v>
      </c>
      <c r="D1274" s="5">
        <v>46166</v>
      </c>
      <c r="E1274" s="5">
        <v>46166</v>
      </c>
      <c r="F1274" t="s">
        <v>31</v>
      </c>
      <c r="G1274" t="s">
        <v>57</v>
      </c>
      <c r="H1274" t="s">
        <v>22</v>
      </c>
      <c r="I1274" t="s">
        <v>43</v>
      </c>
      <c r="J1274">
        <v>124.8</v>
      </c>
      <c r="K1274">
        <v>1659.6</v>
      </c>
      <c r="L1274">
        <v>2831000</v>
      </c>
      <c r="M1274" t="b">
        <v>0</v>
      </c>
      <c r="N1274" t="b">
        <v>0</v>
      </c>
      <c r="O1274">
        <v>5000</v>
      </c>
      <c r="P1274" t="b">
        <v>0</v>
      </c>
      <c r="Q1274" t="b">
        <v>0</v>
      </c>
      <c r="R1274" t="b">
        <v>0</v>
      </c>
      <c r="S1274" t="s">
        <v>96</v>
      </c>
      <c r="T1274" t="s">
        <v>1617</v>
      </c>
      <c r="U1274">
        <v>33.192</v>
      </c>
      <c r="V1274">
        <v>0</v>
      </c>
      <c r="W1274">
        <v>0</v>
      </c>
      <c r="X1274">
        <v>2</v>
      </c>
      <c r="Y1274" s="6">
        <v>46143</v>
      </c>
    </row>
    <row r="1275" spans="1:26" x14ac:dyDescent="0.3">
      <c r="A1275" t="s">
        <v>1380</v>
      </c>
      <c r="B1275" s="5">
        <v>46160</v>
      </c>
      <c r="C1275" s="5">
        <v>46161</v>
      </c>
      <c r="D1275" s="5">
        <v>46164</v>
      </c>
      <c r="E1275" s="5">
        <v>46164</v>
      </c>
      <c r="F1275" t="s">
        <v>33</v>
      </c>
      <c r="G1275" t="s">
        <v>55</v>
      </c>
      <c r="H1275" t="s">
        <v>21</v>
      </c>
      <c r="I1275" t="s">
        <v>42</v>
      </c>
      <c r="J1275">
        <v>581.29999999999995</v>
      </c>
      <c r="K1275">
        <v>5281.5</v>
      </c>
      <c r="L1275">
        <v>11095000</v>
      </c>
      <c r="M1275" t="b">
        <v>0</v>
      </c>
      <c r="N1275" t="b">
        <v>0</v>
      </c>
      <c r="O1275">
        <v>16000</v>
      </c>
      <c r="P1275" t="b">
        <v>0</v>
      </c>
      <c r="Q1275" t="b">
        <v>0</v>
      </c>
      <c r="R1275" t="b">
        <v>0</v>
      </c>
      <c r="S1275" t="s">
        <v>96</v>
      </c>
      <c r="T1275" t="s">
        <v>1626</v>
      </c>
      <c r="U1275">
        <v>33.009374999999999</v>
      </c>
      <c r="V1275">
        <v>0</v>
      </c>
      <c r="W1275">
        <v>0</v>
      </c>
      <c r="X1275">
        <v>3</v>
      </c>
      <c r="Y1275" s="6">
        <v>46143</v>
      </c>
    </row>
    <row r="1276" spans="1:26" x14ac:dyDescent="0.3">
      <c r="A1276" t="s">
        <v>1381</v>
      </c>
      <c r="B1276" s="5">
        <v>46129</v>
      </c>
      <c r="C1276" s="5">
        <v>46131</v>
      </c>
      <c r="D1276" s="5">
        <v>46135</v>
      </c>
      <c r="E1276" s="5">
        <v>46135</v>
      </c>
      <c r="F1276" t="s">
        <v>34</v>
      </c>
      <c r="G1276" t="s">
        <v>62</v>
      </c>
      <c r="H1276" t="s">
        <v>21</v>
      </c>
      <c r="I1276" t="s">
        <v>44</v>
      </c>
      <c r="J1276">
        <v>754.6</v>
      </c>
      <c r="K1276">
        <v>1020.6</v>
      </c>
      <c r="L1276">
        <v>8340000</v>
      </c>
      <c r="M1276" t="b">
        <v>0</v>
      </c>
      <c r="N1276" t="b">
        <v>0</v>
      </c>
      <c r="O1276">
        <v>1500</v>
      </c>
      <c r="P1276" t="b">
        <v>0</v>
      </c>
      <c r="Q1276" t="b">
        <v>0</v>
      </c>
      <c r="R1276" t="b">
        <v>0</v>
      </c>
      <c r="S1276" t="s">
        <v>96</v>
      </c>
      <c r="T1276" t="s">
        <v>1649</v>
      </c>
      <c r="U1276">
        <v>68.040000000000006</v>
      </c>
      <c r="V1276">
        <v>0</v>
      </c>
      <c r="W1276">
        <v>0</v>
      </c>
      <c r="X1276">
        <v>4</v>
      </c>
      <c r="Y1276" s="6">
        <v>46113</v>
      </c>
    </row>
    <row r="1277" spans="1:26" x14ac:dyDescent="0.3">
      <c r="A1277" t="s">
        <v>1382</v>
      </c>
      <c r="B1277" s="5">
        <v>46023</v>
      </c>
      <c r="C1277" s="5">
        <v>46024</v>
      </c>
      <c r="D1277" s="5">
        <v>46026</v>
      </c>
      <c r="E1277" s="5">
        <v>46028</v>
      </c>
      <c r="F1277" t="s">
        <v>33</v>
      </c>
      <c r="G1277" t="s">
        <v>63</v>
      </c>
      <c r="H1277" t="s">
        <v>22</v>
      </c>
      <c r="I1277" t="s">
        <v>44</v>
      </c>
      <c r="J1277">
        <v>272.89999999999998</v>
      </c>
      <c r="K1277">
        <v>1260.3</v>
      </c>
      <c r="L1277">
        <v>3896000</v>
      </c>
      <c r="M1277" t="b">
        <v>0</v>
      </c>
      <c r="N1277" t="b">
        <v>0</v>
      </c>
      <c r="O1277">
        <v>1500</v>
      </c>
      <c r="P1277" t="b">
        <v>0</v>
      </c>
      <c r="Q1277" t="b">
        <v>0</v>
      </c>
      <c r="R1277" t="b">
        <v>0</v>
      </c>
      <c r="S1277" t="s">
        <v>101</v>
      </c>
      <c r="T1277" t="s">
        <v>1625</v>
      </c>
      <c r="U1277">
        <v>84.02</v>
      </c>
      <c r="V1277">
        <v>0</v>
      </c>
      <c r="W1277">
        <v>0</v>
      </c>
      <c r="X1277">
        <v>4</v>
      </c>
      <c r="Y1277" s="6">
        <v>46023</v>
      </c>
      <c r="Z1277">
        <v>2</v>
      </c>
    </row>
    <row r="1278" spans="1:26" x14ac:dyDescent="0.3">
      <c r="A1278" t="s">
        <v>1383</v>
      </c>
      <c r="B1278" s="5">
        <v>46187</v>
      </c>
      <c r="C1278" s="5">
        <v>46187</v>
      </c>
      <c r="D1278" s="5">
        <v>46189</v>
      </c>
      <c r="E1278" s="5">
        <v>46189</v>
      </c>
      <c r="F1278" t="s">
        <v>32</v>
      </c>
      <c r="G1278" t="s">
        <v>55</v>
      </c>
      <c r="H1278" t="s">
        <v>20</v>
      </c>
      <c r="I1278" t="s">
        <v>45</v>
      </c>
      <c r="J1278">
        <v>133.5</v>
      </c>
      <c r="K1278">
        <v>663.2</v>
      </c>
      <c r="L1278">
        <v>1885000</v>
      </c>
      <c r="M1278" t="b">
        <v>0</v>
      </c>
      <c r="N1278" t="b">
        <v>0</v>
      </c>
      <c r="O1278">
        <v>1000</v>
      </c>
      <c r="P1278" t="b">
        <v>0</v>
      </c>
      <c r="Q1278" t="b">
        <v>0</v>
      </c>
      <c r="R1278" t="b">
        <v>0</v>
      </c>
      <c r="S1278" t="s">
        <v>96</v>
      </c>
      <c r="T1278" t="s">
        <v>1633</v>
      </c>
      <c r="U1278">
        <v>66.320000000000007</v>
      </c>
      <c r="V1278">
        <v>0</v>
      </c>
      <c r="W1278">
        <v>0</v>
      </c>
      <c r="X1278">
        <v>2</v>
      </c>
      <c r="Y1278" s="6">
        <v>46174</v>
      </c>
    </row>
    <row r="1279" spans="1:26" x14ac:dyDescent="0.3">
      <c r="A1279" t="s">
        <v>1384</v>
      </c>
      <c r="B1279" s="5">
        <v>46028</v>
      </c>
      <c r="C1279" s="5">
        <v>46029</v>
      </c>
      <c r="D1279" s="5">
        <v>46031</v>
      </c>
      <c r="E1279" s="5">
        <v>46031</v>
      </c>
      <c r="F1279" t="s">
        <v>32</v>
      </c>
      <c r="G1279" t="s">
        <v>63</v>
      </c>
      <c r="H1279" t="s">
        <v>22</v>
      </c>
      <c r="I1279" t="s">
        <v>44</v>
      </c>
      <c r="J1279">
        <v>178</v>
      </c>
      <c r="K1279">
        <v>896.4</v>
      </c>
      <c r="L1279">
        <v>2947000</v>
      </c>
      <c r="M1279" t="b">
        <v>0</v>
      </c>
      <c r="N1279" t="b">
        <v>0</v>
      </c>
      <c r="O1279">
        <v>1500</v>
      </c>
      <c r="P1279" t="b">
        <v>0</v>
      </c>
      <c r="Q1279" t="b">
        <v>0</v>
      </c>
      <c r="R1279" t="b">
        <v>0</v>
      </c>
      <c r="S1279" t="s">
        <v>96</v>
      </c>
      <c r="T1279" t="s">
        <v>1634</v>
      </c>
      <c r="U1279">
        <v>59.760000000000012</v>
      </c>
      <c r="V1279">
        <v>0</v>
      </c>
      <c r="W1279">
        <v>0</v>
      </c>
      <c r="X1279">
        <v>2</v>
      </c>
      <c r="Y1279" s="6">
        <v>46023</v>
      </c>
    </row>
    <row r="1280" spans="1:26" x14ac:dyDescent="0.3">
      <c r="A1280" t="s">
        <v>1385</v>
      </c>
      <c r="B1280" s="5">
        <v>46122</v>
      </c>
      <c r="C1280" s="5">
        <v>46122</v>
      </c>
      <c r="D1280" s="5">
        <v>46125</v>
      </c>
      <c r="E1280" s="5">
        <v>46125</v>
      </c>
      <c r="F1280" t="s">
        <v>31</v>
      </c>
      <c r="G1280" t="s">
        <v>54</v>
      </c>
      <c r="H1280" t="s">
        <v>23</v>
      </c>
      <c r="I1280" t="s">
        <v>43</v>
      </c>
      <c r="J1280">
        <v>470.1</v>
      </c>
      <c r="K1280">
        <v>2514.9</v>
      </c>
      <c r="L1280">
        <v>6692000</v>
      </c>
      <c r="M1280" t="b">
        <v>0</v>
      </c>
      <c r="N1280" t="b">
        <v>0</v>
      </c>
      <c r="O1280">
        <v>5000</v>
      </c>
      <c r="P1280" t="b">
        <v>0</v>
      </c>
      <c r="Q1280" t="b">
        <v>0</v>
      </c>
      <c r="R1280" t="b">
        <v>0</v>
      </c>
      <c r="S1280" t="s">
        <v>96</v>
      </c>
      <c r="T1280" t="s">
        <v>1631</v>
      </c>
      <c r="U1280">
        <v>50.298000000000002</v>
      </c>
      <c r="V1280">
        <v>0</v>
      </c>
      <c r="W1280">
        <v>0</v>
      </c>
      <c r="X1280">
        <v>3</v>
      </c>
      <c r="Y1280" s="6">
        <v>46113</v>
      </c>
    </row>
    <row r="1281" spans="1:26" x14ac:dyDescent="0.3">
      <c r="A1281" t="s">
        <v>1386</v>
      </c>
      <c r="B1281" s="5">
        <v>46075</v>
      </c>
      <c r="C1281" s="5">
        <v>46075</v>
      </c>
      <c r="D1281" s="5">
        <v>46079</v>
      </c>
      <c r="E1281" s="5">
        <v>46079</v>
      </c>
      <c r="F1281" t="s">
        <v>34</v>
      </c>
      <c r="G1281" t="s">
        <v>62</v>
      </c>
      <c r="H1281" t="s">
        <v>22</v>
      </c>
      <c r="I1281" t="s">
        <v>44</v>
      </c>
      <c r="J1281">
        <v>795.9</v>
      </c>
      <c r="K1281">
        <v>774.6</v>
      </c>
      <c r="L1281">
        <v>9187000</v>
      </c>
      <c r="M1281" t="b">
        <v>0</v>
      </c>
      <c r="N1281" t="b">
        <v>0</v>
      </c>
      <c r="O1281">
        <v>1500</v>
      </c>
      <c r="P1281" t="b">
        <v>0</v>
      </c>
      <c r="Q1281" t="b">
        <v>0</v>
      </c>
      <c r="R1281" t="b">
        <v>0</v>
      </c>
      <c r="S1281" t="s">
        <v>96</v>
      </c>
      <c r="T1281" t="s">
        <v>1649</v>
      </c>
      <c r="U1281">
        <v>51.64</v>
      </c>
      <c r="V1281">
        <v>0</v>
      </c>
      <c r="W1281">
        <v>0</v>
      </c>
      <c r="X1281">
        <v>4</v>
      </c>
      <c r="Y1281" s="6">
        <v>46054</v>
      </c>
    </row>
    <row r="1282" spans="1:26" x14ac:dyDescent="0.3">
      <c r="A1282" t="s">
        <v>1387</v>
      </c>
      <c r="B1282" s="5">
        <v>46186</v>
      </c>
      <c r="C1282" s="5">
        <v>46186</v>
      </c>
      <c r="D1282" s="5">
        <v>46188</v>
      </c>
      <c r="E1282" s="5">
        <v>46189</v>
      </c>
      <c r="F1282" t="s">
        <v>32</v>
      </c>
      <c r="G1282" t="s">
        <v>63</v>
      </c>
      <c r="H1282" t="s">
        <v>23</v>
      </c>
      <c r="I1282" t="s">
        <v>44</v>
      </c>
      <c r="J1282">
        <v>179</v>
      </c>
      <c r="K1282">
        <v>895.2</v>
      </c>
      <c r="L1282">
        <v>2925000</v>
      </c>
      <c r="M1282" t="b">
        <v>0</v>
      </c>
      <c r="N1282" t="b">
        <v>0</v>
      </c>
      <c r="O1282">
        <v>1500</v>
      </c>
      <c r="P1282" t="b">
        <v>0</v>
      </c>
      <c r="Q1282" t="b">
        <v>0</v>
      </c>
      <c r="R1282" t="b">
        <v>0</v>
      </c>
      <c r="S1282" t="s">
        <v>101</v>
      </c>
      <c r="T1282" t="s">
        <v>1634</v>
      </c>
      <c r="U1282">
        <v>59.68</v>
      </c>
      <c r="V1282">
        <v>0</v>
      </c>
      <c r="W1282">
        <v>0</v>
      </c>
      <c r="X1282">
        <v>3</v>
      </c>
      <c r="Y1282" s="6">
        <v>46174</v>
      </c>
      <c r="Z1282">
        <v>1</v>
      </c>
    </row>
    <row r="1283" spans="1:26" x14ac:dyDescent="0.3">
      <c r="A1283" t="s">
        <v>1388</v>
      </c>
      <c r="B1283" s="5">
        <v>46188</v>
      </c>
      <c r="C1283" s="5">
        <v>46189</v>
      </c>
      <c r="D1283" s="5">
        <v>46194</v>
      </c>
      <c r="E1283" s="5">
        <v>46194</v>
      </c>
      <c r="F1283" t="s">
        <v>33</v>
      </c>
      <c r="G1283" t="s">
        <v>55</v>
      </c>
      <c r="H1283" t="s">
        <v>21</v>
      </c>
      <c r="I1283" t="s">
        <v>43</v>
      </c>
      <c r="J1283">
        <v>611.1</v>
      </c>
      <c r="K1283">
        <v>4118.7</v>
      </c>
      <c r="L1283">
        <v>9975000</v>
      </c>
      <c r="M1283" t="b">
        <v>0</v>
      </c>
      <c r="N1283" t="b">
        <v>0</v>
      </c>
      <c r="O1283">
        <v>5000</v>
      </c>
      <c r="P1283" t="b">
        <v>0</v>
      </c>
      <c r="Q1283" t="b">
        <v>0</v>
      </c>
      <c r="R1283" t="b">
        <v>0</v>
      </c>
      <c r="S1283" t="s">
        <v>96</v>
      </c>
      <c r="T1283" t="s">
        <v>1626</v>
      </c>
      <c r="U1283">
        <v>82.373999999999995</v>
      </c>
      <c r="V1283">
        <v>0</v>
      </c>
      <c r="W1283">
        <v>0</v>
      </c>
      <c r="X1283">
        <v>5</v>
      </c>
      <c r="Y1283" s="6">
        <v>46174</v>
      </c>
    </row>
    <row r="1284" spans="1:26" x14ac:dyDescent="0.3">
      <c r="A1284" t="s">
        <v>1389</v>
      </c>
      <c r="B1284" s="5">
        <v>46163</v>
      </c>
      <c r="C1284" s="5">
        <v>46164</v>
      </c>
      <c r="D1284" s="5">
        <v>46166</v>
      </c>
      <c r="E1284" s="5">
        <v>46166</v>
      </c>
      <c r="F1284" t="s">
        <v>34</v>
      </c>
      <c r="G1284" t="s">
        <v>52</v>
      </c>
      <c r="H1284" t="s">
        <v>23</v>
      </c>
      <c r="I1284" t="s">
        <v>45</v>
      </c>
      <c r="J1284">
        <v>273.2</v>
      </c>
      <c r="K1284">
        <v>880.7</v>
      </c>
      <c r="L1284">
        <v>3051000</v>
      </c>
      <c r="M1284" t="b">
        <v>0</v>
      </c>
      <c r="N1284" t="b">
        <v>0</v>
      </c>
      <c r="O1284">
        <v>1000</v>
      </c>
      <c r="P1284" t="b">
        <v>0</v>
      </c>
      <c r="Q1284" t="b">
        <v>0</v>
      </c>
      <c r="R1284" t="b">
        <v>0</v>
      </c>
      <c r="S1284" t="s">
        <v>96</v>
      </c>
      <c r="T1284" t="s">
        <v>1623</v>
      </c>
      <c r="U1284">
        <v>88.070000000000007</v>
      </c>
      <c r="V1284">
        <v>0</v>
      </c>
      <c r="W1284">
        <v>0</v>
      </c>
      <c r="X1284">
        <v>2</v>
      </c>
      <c r="Y1284" s="6">
        <v>46143</v>
      </c>
    </row>
    <row r="1285" spans="1:26" x14ac:dyDescent="0.3">
      <c r="A1285" t="s">
        <v>1390</v>
      </c>
      <c r="B1285" s="5">
        <v>46123</v>
      </c>
      <c r="C1285" s="5">
        <v>46125</v>
      </c>
      <c r="D1285" s="5">
        <v>46129</v>
      </c>
      <c r="E1285" s="5">
        <v>46129</v>
      </c>
      <c r="F1285" t="s">
        <v>33</v>
      </c>
      <c r="G1285" t="s">
        <v>58</v>
      </c>
      <c r="H1285" t="s">
        <v>21</v>
      </c>
      <c r="I1285" t="s">
        <v>43</v>
      </c>
      <c r="J1285">
        <v>636.1</v>
      </c>
      <c r="K1285">
        <v>1475.1</v>
      </c>
      <c r="L1285">
        <v>9074000</v>
      </c>
      <c r="M1285" t="b">
        <v>0</v>
      </c>
      <c r="N1285" t="b">
        <v>0</v>
      </c>
      <c r="O1285">
        <v>5000</v>
      </c>
      <c r="P1285" t="b">
        <v>0</v>
      </c>
      <c r="Q1285" t="b">
        <v>0</v>
      </c>
      <c r="R1285" t="b">
        <v>0</v>
      </c>
      <c r="S1285" t="s">
        <v>96</v>
      </c>
      <c r="T1285" t="s">
        <v>1651</v>
      </c>
      <c r="U1285">
        <v>29.501999999999999</v>
      </c>
      <c r="V1285">
        <v>0</v>
      </c>
      <c r="W1285">
        <v>0</v>
      </c>
      <c r="X1285">
        <v>4</v>
      </c>
      <c r="Y1285" s="6">
        <v>46113</v>
      </c>
    </row>
    <row r="1286" spans="1:26" x14ac:dyDescent="0.3">
      <c r="A1286" t="s">
        <v>1391</v>
      </c>
      <c r="B1286" s="5">
        <v>46032</v>
      </c>
      <c r="C1286" s="5">
        <v>46034</v>
      </c>
      <c r="D1286" s="5">
        <v>46038</v>
      </c>
      <c r="E1286" s="5">
        <v>46038</v>
      </c>
      <c r="F1286" t="s">
        <v>34</v>
      </c>
      <c r="G1286" t="s">
        <v>60</v>
      </c>
      <c r="H1286" t="s">
        <v>21</v>
      </c>
      <c r="I1286" t="s">
        <v>43</v>
      </c>
      <c r="J1286">
        <v>663.5</v>
      </c>
      <c r="K1286">
        <v>3197.9</v>
      </c>
      <c r="L1286">
        <v>9001000</v>
      </c>
      <c r="M1286" t="b">
        <v>0</v>
      </c>
      <c r="N1286" t="b">
        <v>0</v>
      </c>
      <c r="O1286">
        <v>5000</v>
      </c>
      <c r="P1286" t="b">
        <v>0</v>
      </c>
      <c r="Q1286" t="b">
        <v>0</v>
      </c>
      <c r="R1286" t="b">
        <v>0</v>
      </c>
      <c r="S1286" t="s">
        <v>96</v>
      </c>
      <c r="T1286" t="s">
        <v>1644</v>
      </c>
      <c r="U1286">
        <v>63.958000000000013</v>
      </c>
      <c r="V1286">
        <v>0</v>
      </c>
      <c r="W1286">
        <v>0</v>
      </c>
      <c r="X1286">
        <v>4</v>
      </c>
      <c r="Y1286" s="6">
        <v>46023</v>
      </c>
    </row>
    <row r="1287" spans="1:26" x14ac:dyDescent="0.3">
      <c r="A1287" t="s">
        <v>1392</v>
      </c>
      <c r="B1287" s="5">
        <v>46056</v>
      </c>
      <c r="C1287" s="5">
        <v>46057</v>
      </c>
      <c r="D1287" s="5">
        <v>46061</v>
      </c>
      <c r="E1287" s="5">
        <v>46061</v>
      </c>
      <c r="F1287" t="s">
        <v>32</v>
      </c>
      <c r="G1287" t="s">
        <v>56</v>
      </c>
      <c r="H1287" t="s">
        <v>20</v>
      </c>
      <c r="I1287" t="s">
        <v>44</v>
      </c>
      <c r="J1287">
        <v>1046.9000000000001</v>
      </c>
      <c r="K1287">
        <v>1379.8</v>
      </c>
      <c r="L1287">
        <v>10080000</v>
      </c>
      <c r="M1287" t="b">
        <v>0</v>
      </c>
      <c r="N1287" t="b">
        <v>0</v>
      </c>
      <c r="O1287">
        <v>1500</v>
      </c>
      <c r="P1287" t="b">
        <v>0</v>
      </c>
      <c r="Q1287" t="b">
        <v>0</v>
      </c>
      <c r="R1287" t="b">
        <v>0</v>
      </c>
      <c r="S1287" t="s">
        <v>96</v>
      </c>
      <c r="T1287" t="s">
        <v>1658</v>
      </c>
      <c r="U1287">
        <v>91.986666666666665</v>
      </c>
      <c r="V1287">
        <v>0</v>
      </c>
      <c r="W1287">
        <v>0</v>
      </c>
      <c r="X1287">
        <v>4</v>
      </c>
      <c r="Y1287" s="6">
        <v>46054</v>
      </c>
    </row>
    <row r="1288" spans="1:26" x14ac:dyDescent="0.3">
      <c r="A1288" t="s">
        <v>1393</v>
      </c>
      <c r="B1288" s="5">
        <v>46078</v>
      </c>
      <c r="C1288" s="5">
        <v>46079</v>
      </c>
      <c r="D1288" s="5">
        <v>46083</v>
      </c>
      <c r="E1288" s="5">
        <v>46083</v>
      </c>
      <c r="F1288" t="s">
        <v>31</v>
      </c>
      <c r="G1288" t="s">
        <v>62</v>
      </c>
      <c r="H1288" t="s">
        <v>21</v>
      </c>
      <c r="I1288" t="s">
        <v>45</v>
      </c>
      <c r="J1288">
        <v>691.4</v>
      </c>
      <c r="K1288">
        <v>411</v>
      </c>
      <c r="L1288">
        <v>7097000</v>
      </c>
      <c r="M1288" t="b">
        <v>0</v>
      </c>
      <c r="N1288" t="b">
        <v>0</v>
      </c>
      <c r="O1288">
        <v>1000</v>
      </c>
      <c r="P1288" t="b">
        <v>0</v>
      </c>
      <c r="Q1288" t="b">
        <v>0</v>
      </c>
      <c r="R1288" t="b">
        <v>0</v>
      </c>
      <c r="S1288" t="s">
        <v>96</v>
      </c>
      <c r="T1288" t="s">
        <v>1615</v>
      </c>
      <c r="U1288">
        <v>41.099999999999987</v>
      </c>
      <c r="V1288">
        <v>0</v>
      </c>
      <c r="W1288">
        <v>0</v>
      </c>
      <c r="X1288">
        <v>4</v>
      </c>
      <c r="Y1288" s="6">
        <v>46054</v>
      </c>
    </row>
    <row r="1289" spans="1:26" x14ac:dyDescent="0.3">
      <c r="A1289" t="s">
        <v>1394</v>
      </c>
      <c r="B1289" s="5">
        <v>46129</v>
      </c>
      <c r="C1289" s="5">
        <v>46131</v>
      </c>
      <c r="D1289" s="5">
        <v>46132</v>
      </c>
      <c r="E1289" s="5">
        <v>46133</v>
      </c>
      <c r="F1289" t="s">
        <v>31</v>
      </c>
      <c r="G1289" t="s">
        <v>55</v>
      </c>
      <c r="H1289" t="s">
        <v>22</v>
      </c>
      <c r="I1289" t="s">
        <v>44</v>
      </c>
      <c r="J1289">
        <v>10.9</v>
      </c>
      <c r="K1289">
        <v>1341.8</v>
      </c>
      <c r="L1289">
        <v>1082000</v>
      </c>
      <c r="M1289" t="b">
        <v>0</v>
      </c>
      <c r="N1289" t="b">
        <v>0</v>
      </c>
      <c r="O1289">
        <v>1500</v>
      </c>
      <c r="P1289" t="b">
        <v>0</v>
      </c>
      <c r="Q1289" t="b">
        <v>0</v>
      </c>
      <c r="R1289" t="b">
        <v>0</v>
      </c>
      <c r="S1289" t="s">
        <v>101</v>
      </c>
      <c r="T1289" t="s">
        <v>1629</v>
      </c>
      <c r="U1289">
        <v>89.453333333333333</v>
      </c>
      <c r="V1289">
        <v>0</v>
      </c>
      <c r="W1289">
        <v>0</v>
      </c>
      <c r="X1289">
        <v>2</v>
      </c>
      <c r="Y1289" s="6">
        <v>46113</v>
      </c>
      <c r="Z1289">
        <v>1</v>
      </c>
    </row>
    <row r="1290" spans="1:26" x14ac:dyDescent="0.3">
      <c r="A1290" t="s">
        <v>1395</v>
      </c>
      <c r="B1290" s="5">
        <v>46178</v>
      </c>
      <c r="C1290" s="5">
        <v>46179</v>
      </c>
      <c r="D1290" s="5">
        <v>46181</v>
      </c>
      <c r="E1290" s="5">
        <v>46183</v>
      </c>
      <c r="F1290" t="s">
        <v>33</v>
      </c>
      <c r="G1290" t="s">
        <v>63</v>
      </c>
      <c r="H1290" t="s">
        <v>20</v>
      </c>
      <c r="I1290" t="s">
        <v>45</v>
      </c>
      <c r="J1290">
        <v>296.2</v>
      </c>
      <c r="K1290">
        <v>118</v>
      </c>
      <c r="L1290">
        <v>3293000</v>
      </c>
      <c r="M1290" t="b">
        <v>0</v>
      </c>
      <c r="N1290" t="b">
        <v>0</v>
      </c>
      <c r="O1290">
        <v>1000</v>
      </c>
      <c r="P1290" t="b">
        <v>0</v>
      </c>
      <c r="Q1290" t="b">
        <v>0</v>
      </c>
      <c r="R1290" t="b">
        <v>0</v>
      </c>
      <c r="S1290" t="s">
        <v>101</v>
      </c>
      <c r="T1290" t="s">
        <v>1625</v>
      </c>
      <c r="U1290">
        <v>11.8</v>
      </c>
      <c r="V1290">
        <v>0</v>
      </c>
      <c r="W1290">
        <v>0</v>
      </c>
      <c r="X1290">
        <v>4</v>
      </c>
      <c r="Y1290" s="6">
        <v>46174</v>
      </c>
      <c r="Z1290">
        <v>2</v>
      </c>
    </row>
    <row r="1291" spans="1:26" x14ac:dyDescent="0.3">
      <c r="A1291" t="s">
        <v>1396</v>
      </c>
      <c r="B1291" s="5">
        <v>46188</v>
      </c>
      <c r="C1291" s="5">
        <v>46189</v>
      </c>
      <c r="D1291" s="5">
        <v>46192</v>
      </c>
      <c r="E1291" s="5">
        <v>46191</v>
      </c>
      <c r="F1291" t="s">
        <v>33</v>
      </c>
      <c r="G1291" t="s">
        <v>55</v>
      </c>
      <c r="H1291" t="s">
        <v>22</v>
      </c>
      <c r="I1291" t="s">
        <v>42</v>
      </c>
      <c r="J1291">
        <v>580.4</v>
      </c>
      <c r="K1291">
        <v>12117.3</v>
      </c>
      <c r="L1291">
        <v>12592000</v>
      </c>
      <c r="M1291" t="b">
        <v>0</v>
      </c>
      <c r="N1291" t="b">
        <v>0</v>
      </c>
      <c r="O1291">
        <v>16000</v>
      </c>
      <c r="P1291" t="b">
        <v>0</v>
      </c>
      <c r="Q1291" t="b">
        <v>0</v>
      </c>
      <c r="R1291" t="b">
        <v>0</v>
      </c>
      <c r="S1291" t="s">
        <v>96</v>
      </c>
      <c r="T1291" t="s">
        <v>1626</v>
      </c>
      <c r="U1291">
        <v>75.733124999999987</v>
      </c>
      <c r="V1291">
        <v>0</v>
      </c>
      <c r="W1291">
        <v>0</v>
      </c>
      <c r="X1291">
        <v>2</v>
      </c>
      <c r="Y1291" s="6">
        <v>46174</v>
      </c>
    </row>
    <row r="1292" spans="1:26" x14ac:dyDescent="0.3">
      <c r="A1292" t="s">
        <v>1397</v>
      </c>
      <c r="B1292" s="5">
        <v>46077</v>
      </c>
      <c r="C1292" s="5">
        <v>46078</v>
      </c>
      <c r="D1292" s="5">
        <v>46082</v>
      </c>
      <c r="E1292" s="5">
        <v>46083</v>
      </c>
      <c r="F1292" t="s">
        <v>31</v>
      </c>
      <c r="G1292" t="s">
        <v>53</v>
      </c>
      <c r="H1292" t="s">
        <v>24</v>
      </c>
      <c r="I1292" t="s">
        <v>43</v>
      </c>
      <c r="J1292">
        <v>306.7</v>
      </c>
      <c r="K1292">
        <v>818.1</v>
      </c>
      <c r="L1292">
        <v>5053000</v>
      </c>
      <c r="M1292" t="b">
        <v>0</v>
      </c>
      <c r="N1292" t="b">
        <v>0</v>
      </c>
      <c r="O1292">
        <v>5000</v>
      </c>
      <c r="P1292" t="b">
        <v>0</v>
      </c>
      <c r="Q1292" t="b">
        <v>0</v>
      </c>
      <c r="R1292" t="b">
        <v>0</v>
      </c>
      <c r="S1292" t="s">
        <v>101</v>
      </c>
      <c r="T1292" t="s">
        <v>1627</v>
      </c>
      <c r="U1292">
        <v>16.361999999999998</v>
      </c>
      <c r="V1292">
        <v>0</v>
      </c>
      <c r="W1292">
        <v>0</v>
      </c>
      <c r="X1292">
        <v>5</v>
      </c>
      <c r="Y1292" s="6">
        <v>46054</v>
      </c>
      <c r="Z1292">
        <v>1</v>
      </c>
    </row>
    <row r="1293" spans="1:26" x14ac:dyDescent="0.3">
      <c r="A1293" t="s">
        <v>1398</v>
      </c>
      <c r="B1293" s="5">
        <v>46154</v>
      </c>
      <c r="C1293" s="5">
        <v>46155</v>
      </c>
      <c r="D1293" s="5">
        <v>46156</v>
      </c>
      <c r="E1293" s="5">
        <v>46157</v>
      </c>
      <c r="F1293" t="s">
        <v>31</v>
      </c>
      <c r="G1293" t="s">
        <v>55</v>
      </c>
      <c r="H1293" t="s">
        <v>21</v>
      </c>
      <c r="I1293" t="s">
        <v>42</v>
      </c>
      <c r="J1293">
        <v>17.5</v>
      </c>
      <c r="K1293">
        <v>10094.9</v>
      </c>
      <c r="L1293">
        <v>4328000</v>
      </c>
      <c r="M1293" t="b">
        <v>0</v>
      </c>
      <c r="N1293" t="b">
        <v>0</v>
      </c>
      <c r="O1293">
        <v>16000</v>
      </c>
      <c r="P1293" t="b">
        <v>0</v>
      </c>
      <c r="Q1293" t="b">
        <v>0</v>
      </c>
      <c r="R1293" t="b">
        <v>0</v>
      </c>
      <c r="S1293" t="s">
        <v>101</v>
      </c>
      <c r="T1293" t="s">
        <v>1629</v>
      </c>
      <c r="U1293">
        <v>63.093124999999993</v>
      </c>
      <c r="V1293">
        <v>0</v>
      </c>
      <c r="W1293">
        <v>0</v>
      </c>
      <c r="X1293">
        <v>2</v>
      </c>
      <c r="Y1293" s="6">
        <v>46143</v>
      </c>
      <c r="Z1293">
        <v>1</v>
      </c>
    </row>
    <row r="1294" spans="1:26" x14ac:dyDescent="0.3">
      <c r="A1294" t="s">
        <v>1399</v>
      </c>
      <c r="B1294" s="5">
        <v>46063</v>
      </c>
      <c r="C1294" s="5">
        <v>46063</v>
      </c>
      <c r="D1294" s="5">
        <v>46066</v>
      </c>
      <c r="E1294" s="5">
        <v>46068</v>
      </c>
      <c r="F1294" t="s">
        <v>33</v>
      </c>
      <c r="G1294" t="s">
        <v>57</v>
      </c>
      <c r="H1294" t="s">
        <v>20</v>
      </c>
      <c r="I1294" t="s">
        <v>44</v>
      </c>
      <c r="J1294">
        <v>510.5</v>
      </c>
      <c r="K1294">
        <v>964.7</v>
      </c>
      <c r="L1294">
        <v>5942000</v>
      </c>
      <c r="M1294" t="b">
        <v>0</v>
      </c>
      <c r="N1294" t="b">
        <v>0</v>
      </c>
      <c r="O1294">
        <v>1500</v>
      </c>
      <c r="P1294" t="b">
        <v>0</v>
      </c>
      <c r="Q1294" t="b">
        <v>0</v>
      </c>
      <c r="R1294" t="b">
        <v>0</v>
      </c>
      <c r="S1294" t="s">
        <v>101</v>
      </c>
      <c r="T1294" t="s">
        <v>1624</v>
      </c>
      <c r="U1294">
        <v>64.313333333333333</v>
      </c>
      <c r="V1294">
        <v>0</v>
      </c>
      <c r="W1294">
        <v>0</v>
      </c>
      <c r="X1294">
        <v>5</v>
      </c>
      <c r="Y1294" s="6">
        <v>46054</v>
      </c>
      <c r="Z1294">
        <v>2</v>
      </c>
    </row>
    <row r="1295" spans="1:26" x14ac:dyDescent="0.3">
      <c r="A1295" t="s">
        <v>1400</v>
      </c>
      <c r="B1295" s="5">
        <v>46059</v>
      </c>
      <c r="C1295" s="5">
        <v>46060</v>
      </c>
      <c r="D1295" s="5">
        <v>46064</v>
      </c>
      <c r="E1295" s="5">
        <v>46065</v>
      </c>
      <c r="F1295" t="s">
        <v>31</v>
      </c>
      <c r="G1295" t="s">
        <v>62</v>
      </c>
      <c r="H1295" t="s">
        <v>23</v>
      </c>
      <c r="I1295" t="s">
        <v>43</v>
      </c>
      <c r="J1295">
        <v>677.3</v>
      </c>
      <c r="K1295">
        <v>2245</v>
      </c>
      <c r="L1295">
        <v>9725000</v>
      </c>
      <c r="M1295" t="b">
        <v>0</v>
      </c>
      <c r="N1295" t="b">
        <v>0</v>
      </c>
      <c r="O1295">
        <v>5000</v>
      </c>
      <c r="P1295" t="b">
        <v>0</v>
      </c>
      <c r="Q1295" t="b">
        <v>0</v>
      </c>
      <c r="R1295" t="b">
        <v>0</v>
      </c>
      <c r="S1295" t="s">
        <v>101</v>
      </c>
      <c r="T1295" t="s">
        <v>1615</v>
      </c>
      <c r="U1295">
        <v>44.9</v>
      </c>
      <c r="V1295">
        <v>0</v>
      </c>
      <c r="W1295">
        <v>0</v>
      </c>
      <c r="X1295">
        <v>5</v>
      </c>
      <c r="Y1295" s="6">
        <v>46054</v>
      </c>
      <c r="Z1295">
        <v>1</v>
      </c>
    </row>
    <row r="1296" spans="1:26" x14ac:dyDescent="0.3">
      <c r="A1296" t="s">
        <v>1401</v>
      </c>
      <c r="B1296" s="5">
        <v>46104</v>
      </c>
      <c r="C1296" s="5">
        <v>46106</v>
      </c>
      <c r="D1296" s="5">
        <v>46110</v>
      </c>
      <c r="E1296" s="5">
        <v>46109</v>
      </c>
      <c r="F1296" t="s">
        <v>32</v>
      </c>
      <c r="G1296" t="s">
        <v>54</v>
      </c>
      <c r="H1296" t="s">
        <v>23</v>
      </c>
      <c r="I1296" t="s">
        <v>43</v>
      </c>
      <c r="J1296">
        <v>612.4</v>
      </c>
      <c r="K1296">
        <v>3711.6</v>
      </c>
      <c r="L1296">
        <v>10482000</v>
      </c>
      <c r="M1296" t="b">
        <v>0</v>
      </c>
      <c r="N1296" t="b">
        <v>0</v>
      </c>
      <c r="O1296">
        <v>5000</v>
      </c>
      <c r="P1296" t="b">
        <v>0</v>
      </c>
      <c r="Q1296" t="b">
        <v>0</v>
      </c>
      <c r="R1296" t="b">
        <v>0</v>
      </c>
      <c r="S1296" t="s">
        <v>96</v>
      </c>
      <c r="T1296" t="s">
        <v>1655</v>
      </c>
      <c r="U1296">
        <v>74.231999999999999</v>
      </c>
      <c r="V1296">
        <v>0</v>
      </c>
      <c r="W1296">
        <v>0</v>
      </c>
      <c r="X1296">
        <v>3</v>
      </c>
      <c r="Y1296" s="6">
        <v>46082</v>
      </c>
    </row>
    <row r="1297" spans="1:26" x14ac:dyDescent="0.3">
      <c r="A1297" t="s">
        <v>1402</v>
      </c>
      <c r="B1297" s="5">
        <v>46123</v>
      </c>
      <c r="C1297" s="5">
        <v>46124</v>
      </c>
      <c r="D1297" s="5">
        <v>46128</v>
      </c>
      <c r="E1297" s="5">
        <v>46129</v>
      </c>
      <c r="F1297" t="s">
        <v>34</v>
      </c>
      <c r="G1297" t="s">
        <v>62</v>
      </c>
      <c r="H1297" t="s">
        <v>24</v>
      </c>
      <c r="I1297" t="s">
        <v>42</v>
      </c>
      <c r="J1297">
        <v>805.7</v>
      </c>
      <c r="K1297">
        <v>6056.9</v>
      </c>
      <c r="L1297">
        <v>15130000</v>
      </c>
      <c r="M1297" t="b">
        <v>0</v>
      </c>
      <c r="N1297" t="b">
        <v>0</v>
      </c>
      <c r="O1297">
        <v>16000</v>
      </c>
      <c r="P1297" t="b">
        <v>0</v>
      </c>
      <c r="Q1297" t="b">
        <v>0</v>
      </c>
      <c r="R1297" t="b">
        <v>0</v>
      </c>
      <c r="S1297" t="s">
        <v>101</v>
      </c>
      <c r="T1297" t="s">
        <v>1649</v>
      </c>
      <c r="U1297">
        <v>37.855625000000003</v>
      </c>
      <c r="V1297">
        <v>0</v>
      </c>
      <c r="W1297">
        <v>0</v>
      </c>
      <c r="X1297">
        <v>5</v>
      </c>
      <c r="Y1297" s="6">
        <v>46113</v>
      </c>
      <c r="Z1297">
        <v>1</v>
      </c>
    </row>
    <row r="1298" spans="1:26" x14ac:dyDescent="0.3">
      <c r="A1298" t="s">
        <v>1403</v>
      </c>
      <c r="B1298" s="5">
        <v>46152</v>
      </c>
      <c r="C1298" s="5">
        <v>46153</v>
      </c>
      <c r="D1298" s="5">
        <v>46155</v>
      </c>
      <c r="E1298" s="5">
        <v>46156</v>
      </c>
      <c r="F1298" t="s">
        <v>31</v>
      </c>
      <c r="G1298" t="s">
        <v>52</v>
      </c>
      <c r="H1298" t="s">
        <v>22</v>
      </c>
      <c r="I1298" t="s">
        <v>43</v>
      </c>
      <c r="J1298">
        <v>278.3</v>
      </c>
      <c r="K1298">
        <v>3143.7</v>
      </c>
      <c r="L1298">
        <v>5689000</v>
      </c>
      <c r="M1298" t="b">
        <v>0</v>
      </c>
      <c r="N1298" t="b">
        <v>0</v>
      </c>
      <c r="O1298">
        <v>5000</v>
      </c>
      <c r="P1298" t="b">
        <v>0</v>
      </c>
      <c r="Q1298" t="b">
        <v>0</v>
      </c>
      <c r="R1298" t="b">
        <v>0</v>
      </c>
      <c r="S1298" t="s">
        <v>101</v>
      </c>
      <c r="T1298" t="s">
        <v>1618</v>
      </c>
      <c r="U1298">
        <v>62.874000000000002</v>
      </c>
      <c r="V1298">
        <v>0</v>
      </c>
      <c r="W1298">
        <v>0</v>
      </c>
      <c r="X1298">
        <v>3</v>
      </c>
      <c r="Y1298" s="6">
        <v>46143</v>
      </c>
      <c r="Z1298">
        <v>1</v>
      </c>
    </row>
    <row r="1299" spans="1:26" x14ac:dyDescent="0.3">
      <c r="A1299" t="s">
        <v>1404</v>
      </c>
      <c r="B1299" s="5">
        <v>46154</v>
      </c>
      <c r="C1299" s="5">
        <v>46154</v>
      </c>
      <c r="D1299" s="5">
        <v>46157</v>
      </c>
      <c r="E1299" s="5">
        <v>46157</v>
      </c>
      <c r="F1299" t="s">
        <v>34</v>
      </c>
      <c r="G1299" t="s">
        <v>54</v>
      </c>
      <c r="H1299" t="s">
        <v>23</v>
      </c>
      <c r="I1299" t="s">
        <v>44</v>
      </c>
      <c r="J1299">
        <v>446.3</v>
      </c>
      <c r="K1299">
        <v>646.6</v>
      </c>
      <c r="L1299">
        <v>5233000</v>
      </c>
      <c r="M1299" t="b">
        <v>0</v>
      </c>
      <c r="N1299" t="b">
        <v>0</v>
      </c>
      <c r="O1299">
        <v>1500</v>
      </c>
      <c r="P1299" t="b">
        <v>0</v>
      </c>
      <c r="Q1299" t="b">
        <v>0</v>
      </c>
      <c r="R1299" t="b">
        <v>0</v>
      </c>
      <c r="S1299" t="s">
        <v>96</v>
      </c>
      <c r="T1299" t="s">
        <v>1635</v>
      </c>
      <c r="U1299">
        <v>43.106666666666669</v>
      </c>
      <c r="V1299">
        <v>0</v>
      </c>
      <c r="W1299">
        <v>0</v>
      </c>
      <c r="X1299">
        <v>3</v>
      </c>
      <c r="Y1299" s="6">
        <v>46143</v>
      </c>
    </row>
    <row r="1300" spans="1:26" x14ac:dyDescent="0.3">
      <c r="A1300" t="s">
        <v>1405</v>
      </c>
      <c r="B1300" s="5">
        <v>46196</v>
      </c>
      <c r="C1300" s="5">
        <v>46197</v>
      </c>
      <c r="D1300" s="5">
        <v>46200</v>
      </c>
      <c r="E1300" s="5">
        <v>46199</v>
      </c>
      <c r="F1300" t="s">
        <v>32</v>
      </c>
      <c r="G1300" t="s">
        <v>60</v>
      </c>
      <c r="H1300" t="s">
        <v>21</v>
      </c>
      <c r="I1300" t="s">
        <v>43</v>
      </c>
      <c r="J1300">
        <v>470.4</v>
      </c>
      <c r="K1300">
        <v>807.5</v>
      </c>
      <c r="L1300">
        <v>7576000</v>
      </c>
      <c r="M1300" t="b">
        <v>0</v>
      </c>
      <c r="N1300" t="b">
        <v>0</v>
      </c>
      <c r="O1300">
        <v>5000</v>
      </c>
      <c r="P1300" t="b">
        <v>0</v>
      </c>
      <c r="Q1300" t="b">
        <v>0</v>
      </c>
      <c r="R1300" t="b">
        <v>0</v>
      </c>
      <c r="S1300" t="s">
        <v>96</v>
      </c>
      <c r="T1300" t="s">
        <v>1647</v>
      </c>
      <c r="U1300">
        <v>16.149999999999999</v>
      </c>
      <c r="V1300">
        <v>0</v>
      </c>
      <c r="W1300">
        <v>0</v>
      </c>
      <c r="X1300">
        <v>2</v>
      </c>
      <c r="Y1300" s="6">
        <v>46174</v>
      </c>
    </row>
    <row r="1301" spans="1:26" x14ac:dyDescent="0.3">
      <c r="A1301" t="s">
        <v>1406</v>
      </c>
      <c r="B1301" s="5">
        <v>46107</v>
      </c>
      <c r="C1301" s="5">
        <v>46108</v>
      </c>
      <c r="D1301" s="5">
        <v>46109</v>
      </c>
      <c r="E1301" s="5">
        <v>46109</v>
      </c>
      <c r="F1301" t="s">
        <v>34</v>
      </c>
      <c r="G1301" t="s">
        <v>61</v>
      </c>
      <c r="H1301" t="s">
        <v>24</v>
      </c>
      <c r="I1301" t="s">
        <v>43</v>
      </c>
      <c r="J1301">
        <v>29.3</v>
      </c>
      <c r="K1301">
        <v>3058.3</v>
      </c>
      <c r="L1301">
        <v>2031000</v>
      </c>
      <c r="M1301" t="b">
        <v>0</v>
      </c>
      <c r="N1301" t="b">
        <v>0</v>
      </c>
      <c r="O1301">
        <v>5000</v>
      </c>
      <c r="P1301" t="b">
        <v>0</v>
      </c>
      <c r="Q1301" t="b">
        <v>0</v>
      </c>
      <c r="R1301" t="b">
        <v>0</v>
      </c>
      <c r="S1301" t="s">
        <v>96</v>
      </c>
      <c r="T1301" t="s">
        <v>1638</v>
      </c>
      <c r="U1301">
        <v>61.165999999999997</v>
      </c>
      <c r="V1301">
        <v>0</v>
      </c>
      <c r="W1301">
        <v>0</v>
      </c>
      <c r="X1301">
        <v>1</v>
      </c>
      <c r="Y1301" s="6">
        <v>46082</v>
      </c>
    </row>
    <row r="1302" spans="1:26" x14ac:dyDescent="0.3">
      <c r="A1302" t="s">
        <v>1407</v>
      </c>
      <c r="B1302" s="5">
        <v>46094</v>
      </c>
      <c r="C1302" s="5">
        <v>46095</v>
      </c>
      <c r="D1302" s="5">
        <v>46098</v>
      </c>
      <c r="E1302" s="5">
        <v>46098</v>
      </c>
      <c r="F1302" t="s">
        <v>34</v>
      </c>
      <c r="G1302" t="s">
        <v>54</v>
      </c>
      <c r="H1302" t="s">
        <v>23</v>
      </c>
      <c r="I1302" t="s">
        <v>43</v>
      </c>
      <c r="J1302">
        <v>443.7</v>
      </c>
      <c r="K1302">
        <v>4018.1</v>
      </c>
      <c r="L1302">
        <v>8305000</v>
      </c>
      <c r="M1302" t="b">
        <v>0</v>
      </c>
      <c r="N1302" t="b">
        <v>0</v>
      </c>
      <c r="O1302">
        <v>5000</v>
      </c>
      <c r="P1302" t="b">
        <v>0</v>
      </c>
      <c r="Q1302" t="b">
        <v>0</v>
      </c>
      <c r="R1302" t="b">
        <v>0</v>
      </c>
      <c r="S1302" t="s">
        <v>96</v>
      </c>
      <c r="T1302" t="s">
        <v>1635</v>
      </c>
      <c r="U1302">
        <v>80.361999999999995</v>
      </c>
      <c r="V1302">
        <v>0</v>
      </c>
      <c r="W1302">
        <v>0</v>
      </c>
      <c r="X1302">
        <v>3</v>
      </c>
      <c r="Y1302" s="6">
        <v>46082</v>
      </c>
    </row>
    <row r="1303" spans="1:26" x14ac:dyDescent="0.3">
      <c r="A1303" t="s">
        <v>1408</v>
      </c>
      <c r="B1303" s="5">
        <v>46109</v>
      </c>
      <c r="C1303" s="5">
        <v>46110</v>
      </c>
      <c r="D1303" s="5">
        <v>46112</v>
      </c>
      <c r="E1303" s="5">
        <v>46114</v>
      </c>
      <c r="F1303" t="s">
        <v>31</v>
      </c>
      <c r="G1303" t="s">
        <v>63</v>
      </c>
      <c r="H1303" t="s">
        <v>24</v>
      </c>
      <c r="I1303" t="s">
        <v>42</v>
      </c>
      <c r="J1303">
        <v>276</v>
      </c>
      <c r="K1303">
        <v>12747</v>
      </c>
      <c r="L1303">
        <v>9825000</v>
      </c>
      <c r="M1303" t="b">
        <v>0</v>
      </c>
      <c r="N1303" t="b">
        <v>0</v>
      </c>
      <c r="O1303">
        <v>16000</v>
      </c>
      <c r="P1303" t="b">
        <v>0</v>
      </c>
      <c r="Q1303" t="b">
        <v>0</v>
      </c>
      <c r="R1303" t="b">
        <v>0</v>
      </c>
      <c r="S1303" t="s">
        <v>101</v>
      </c>
      <c r="T1303" t="s">
        <v>1640</v>
      </c>
      <c r="U1303">
        <v>79.668750000000003</v>
      </c>
      <c r="V1303">
        <v>0</v>
      </c>
      <c r="W1303">
        <v>0</v>
      </c>
      <c r="X1303">
        <v>4</v>
      </c>
      <c r="Y1303" s="6">
        <v>46082</v>
      </c>
      <c r="Z1303">
        <v>2</v>
      </c>
    </row>
    <row r="1304" spans="1:26" x14ac:dyDescent="0.3">
      <c r="A1304" t="s">
        <v>1409</v>
      </c>
      <c r="B1304" s="5">
        <v>46089</v>
      </c>
      <c r="C1304" s="5">
        <v>46089</v>
      </c>
      <c r="D1304" s="5">
        <v>46092</v>
      </c>
      <c r="E1304" s="5">
        <v>46095</v>
      </c>
      <c r="F1304" t="s">
        <v>31</v>
      </c>
      <c r="G1304" t="s">
        <v>58</v>
      </c>
      <c r="H1304" t="s">
        <v>22</v>
      </c>
      <c r="I1304" t="s">
        <v>44</v>
      </c>
      <c r="J1304">
        <v>181.7</v>
      </c>
      <c r="K1304">
        <v>1368.8</v>
      </c>
      <c r="L1304">
        <v>2941000</v>
      </c>
      <c r="M1304" t="b">
        <v>0</v>
      </c>
      <c r="N1304" t="b">
        <v>0</v>
      </c>
      <c r="O1304">
        <v>1500</v>
      </c>
      <c r="P1304" t="b">
        <v>0</v>
      </c>
      <c r="Q1304" t="b">
        <v>0</v>
      </c>
      <c r="R1304" t="b">
        <v>0</v>
      </c>
      <c r="S1304" t="s">
        <v>101</v>
      </c>
      <c r="T1304" t="s">
        <v>1621</v>
      </c>
      <c r="U1304">
        <v>91.253333333333316</v>
      </c>
      <c r="V1304">
        <v>0</v>
      </c>
      <c r="W1304">
        <v>0</v>
      </c>
      <c r="X1304">
        <v>6</v>
      </c>
      <c r="Y1304" s="6">
        <v>46082</v>
      </c>
      <c r="Z1304">
        <v>3</v>
      </c>
    </row>
    <row r="1305" spans="1:26" x14ac:dyDescent="0.3">
      <c r="A1305" t="s">
        <v>1410</v>
      </c>
      <c r="B1305" s="5">
        <v>46101</v>
      </c>
      <c r="C1305" s="5">
        <v>46101</v>
      </c>
      <c r="D1305" s="5">
        <v>46104</v>
      </c>
      <c r="E1305" s="5">
        <v>46104</v>
      </c>
      <c r="F1305" t="s">
        <v>34</v>
      </c>
      <c r="G1305" t="s">
        <v>63</v>
      </c>
      <c r="H1305" t="s">
        <v>23</v>
      </c>
      <c r="I1305" t="s">
        <v>44</v>
      </c>
      <c r="J1305">
        <v>307.5</v>
      </c>
      <c r="K1305">
        <v>1357.7</v>
      </c>
      <c r="L1305">
        <v>3691000</v>
      </c>
      <c r="M1305" t="b">
        <v>0</v>
      </c>
      <c r="N1305" t="b">
        <v>0</v>
      </c>
      <c r="O1305">
        <v>1500</v>
      </c>
      <c r="P1305" t="b">
        <v>0</v>
      </c>
      <c r="Q1305" t="b">
        <v>0</v>
      </c>
      <c r="R1305" t="b">
        <v>0</v>
      </c>
      <c r="S1305" t="s">
        <v>96</v>
      </c>
      <c r="T1305" t="s">
        <v>1613</v>
      </c>
      <c r="U1305">
        <v>90.513333333333335</v>
      </c>
      <c r="V1305">
        <v>0</v>
      </c>
      <c r="W1305">
        <v>0</v>
      </c>
      <c r="X1305">
        <v>3</v>
      </c>
      <c r="Y1305" s="6">
        <v>46082</v>
      </c>
    </row>
    <row r="1306" spans="1:26" x14ac:dyDescent="0.3">
      <c r="A1306" t="s">
        <v>1411</v>
      </c>
      <c r="B1306" s="5">
        <v>46069</v>
      </c>
      <c r="C1306" s="5">
        <v>46070</v>
      </c>
      <c r="D1306" s="5">
        <v>46073</v>
      </c>
      <c r="E1306" s="5">
        <v>46073</v>
      </c>
      <c r="F1306" t="s">
        <v>33</v>
      </c>
      <c r="G1306" t="s">
        <v>57</v>
      </c>
      <c r="H1306" t="s">
        <v>24</v>
      </c>
      <c r="I1306" t="s">
        <v>42</v>
      </c>
      <c r="J1306">
        <v>439.7</v>
      </c>
      <c r="K1306">
        <v>6891.8</v>
      </c>
      <c r="L1306">
        <v>11950000</v>
      </c>
      <c r="M1306" t="b">
        <v>0</v>
      </c>
      <c r="N1306" t="b">
        <v>0</v>
      </c>
      <c r="O1306">
        <v>16000</v>
      </c>
      <c r="P1306" t="b">
        <v>0</v>
      </c>
      <c r="Q1306" t="b">
        <v>0</v>
      </c>
      <c r="R1306" t="b">
        <v>0</v>
      </c>
      <c r="S1306" t="s">
        <v>96</v>
      </c>
      <c r="T1306" t="s">
        <v>1624</v>
      </c>
      <c r="U1306">
        <v>43.073749999999997</v>
      </c>
      <c r="V1306">
        <v>0</v>
      </c>
      <c r="W1306">
        <v>0</v>
      </c>
      <c r="X1306">
        <v>3</v>
      </c>
      <c r="Y1306" s="6">
        <v>46054</v>
      </c>
    </row>
    <row r="1307" spans="1:26" x14ac:dyDescent="0.3">
      <c r="A1307" t="s">
        <v>1412</v>
      </c>
      <c r="B1307" s="5">
        <v>46081</v>
      </c>
      <c r="C1307" s="5">
        <v>46083</v>
      </c>
      <c r="D1307" s="5">
        <v>46085</v>
      </c>
      <c r="E1307" s="5">
        <v>46086</v>
      </c>
      <c r="F1307" t="s">
        <v>34</v>
      </c>
      <c r="G1307" t="s">
        <v>58</v>
      </c>
      <c r="H1307" t="s">
        <v>20</v>
      </c>
      <c r="I1307" t="s">
        <v>45</v>
      </c>
      <c r="J1307">
        <v>152.19999999999999</v>
      </c>
      <c r="K1307">
        <v>109.7</v>
      </c>
      <c r="L1307">
        <v>1785000</v>
      </c>
      <c r="M1307" t="b">
        <v>0</v>
      </c>
      <c r="N1307" t="b">
        <v>0</v>
      </c>
      <c r="O1307">
        <v>1000</v>
      </c>
      <c r="P1307" t="b">
        <v>0</v>
      </c>
      <c r="Q1307" t="b">
        <v>0</v>
      </c>
      <c r="R1307" t="b">
        <v>0</v>
      </c>
      <c r="S1307" t="s">
        <v>101</v>
      </c>
      <c r="T1307" t="s">
        <v>1637</v>
      </c>
      <c r="U1307">
        <v>10.97</v>
      </c>
      <c r="V1307">
        <v>0</v>
      </c>
      <c r="W1307">
        <v>0</v>
      </c>
      <c r="X1307">
        <v>3</v>
      </c>
      <c r="Y1307" s="6">
        <v>46082</v>
      </c>
      <c r="Z1307">
        <v>1</v>
      </c>
    </row>
    <row r="1308" spans="1:26" x14ac:dyDescent="0.3">
      <c r="A1308" t="s">
        <v>1413</v>
      </c>
      <c r="B1308" s="5">
        <v>46079</v>
      </c>
      <c r="C1308" s="5">
        <v>46080</v>
      </c>
      <c r="D1308" s="5">
        <v>46084</v>
      </c>
      <c r="E1308" s="5">
        <v>46084</v>
      </c>
      <c r="F1308" t="s">
        <v>34</v>
      </c>
      <c r="G1308" t="s">
        <v>59</v>
      </c>
      <c r="H1308" t="s">
        <v>21</v>
      </c>
      <c r="I1308" t="s">
        <v>44</v>
      </c>
      <c r="J1308">
        <v>342</v>
      </c>
      <c r="K1308">
        <v>315.10000000000002</v>
      </c>
      <c r="L1308">
        <v>4227000</v>
      </c>
      <c r="M1308" t="b">
        <v>0</v>
      </c>
      <c r="N1308" t="b">
        <v>0</v>
      </c>
      <c r="O1308">
        <v>1500</v>
      </c>
      <c r="P1308" t="b">
        <v>0</v>
      </c>
      <c r="Q1308" t="b">
        <v>0</v>
      </c>
      <c r="R1308" t="b">
        <v>0</v>
      </c>
      <c r="S1308" t="s">
        <v>96</v>
      </c>
      <c r="T1308" t="s">
        <v>1616</v>
      </c>
      <c r="U1308">
        <v>21.006666666666671</v>
      </c>
      <c r="V1308">
        <v>0</v>
      </c>
      <c r="W1308">
        <v>0</v>
      </c>
      <c r="X1308">
        <v>4</v>
      </c>
      <c r="Y1308" s="6">
        <v>46054</v>
      </c>
    </row>
    <row r="1309" spans="1:26" x14ac:dyDescent="0.3">
      <c r="A1309" t="s">
        <v>1414</v>
      </c>
      <c r="B1309" s="5">
        <v>46140</v>
      </c>
      <c r="C1309" s="5">
        <v>46141</v>
      </c>
      <c r="D1309" s="5">
        <v>46143</v>
      </c>
      <c r="E1309" s="5">
        <v>46143</v>
      </c>
      <c r="F1309" t="s">
        <v>34</v>
      </c>
      <c r="G1309" t="s">
        <v>58</v>
      </c>
      <c r="H1309" t="s">
        <v>23</v>
      </c>
      <c r="I1309" t="s">
        <v>44</v>
      </c>
      <c r="J1309">
        <v>150.30000000000001</v>
      </c>
      <c r="K1309">
        <v>1320.7</v>
      </c>
      <c r="L1309">
        <v>2239000</v>
      </c>
      <c r="M1309" t="b">
        <v>0</v>
      </c>
      <c r="N1309" t="b">
        <v>0</v>
      </c>
      <c r="O1309">
        <v>1500</v>
      </c>
      <c r="P1309" t="b">
        <v>0</v>
      </c>
      <c r="Q1309" t="b">
        <v>0</v>
      </c>
      <c r="R1309" t="b">
        <v>0</v>
      </c>
      <c r="S1309" t="s">
        <v>96</v>
      </c>
      <c r="T1309" t="s">
        <v>1637</v>
      </c>
      <c r="U1309">
        <v>88.046666666666667</v>
      </c>
      <c r="V1309">
        <v>0</v>
      </c>
      <c r="W1309">
        <v>0</v>
      </c>
      <c r="X1309">
        <v>2</v>
      </c>
      <c r="Y1309" s="6">
        <v>46113</v>
      </c>
    </row>
    <row r="1310" spans="1:26" x14ac:dyDescent="0.3">
      <c r="A1310" t="s">
        <v>1415</v>
      </c>
      <c r="B1310" s="5">
        <v>46185</v>
      </c>
      <c r="C1310" s="5">
        <v>46185</v>
      </c>
      <c r="D1310" s="5">
        <v>46189</v>
      </c>
      <c r="E1310" s="5">
        <v>46189</v>
      </c>
      <c r="F1310" t="s">
        <v>34</v>
      </c>
      <c r="G1310" t="s">
        <v>56</v>
      </c>
      <c r="H1310" t="s">
        <v>20</v>
      </c>
      <c r="I1310" t="s">
        <v>45</v>
      </c>
      <c r="J1310">
        <v>853.4</v>
      </c>
      <c r="K1310">
        <v>705.3</v>
      </c>
      <c r="L1310">
        <v>8379000</v>
      </c>
      <c r="M1310" t="b">
        <v>0</v>
      </c>
      <c r="N1310" t="b">
        <v>0</v>
      </c>
      <c r="O1310">
        <v>1000</v>
      </c>
      <c r="P1310" t="b">
        <v>0</v>
      </c>
      <c r="Q1310" t="b">
        <v>0</v>
      </c>
      <c r="R1310" t="b">
        <v>0</v>
      </c>
      <c r="S1310" t="s">
        <v>96</v>
      </c>
      <c r="T1310" t="s">
        <v>1646</v>
      </c>
      <c r="U1310">
        <v>70.529999999999987</v>
      </c>
      <c r="V1310">
        <v>0</v>
      </c>
      <c r="W1310">
        <v>0</v>
      </c>
      <c r="X1310">
        <v>4</v>
      </c>
      <c r="Y1310" s="6">
        <v>46174</v>
      </c>
    </row>
    <row r="1311" spans="1:26" x14ac:dyDescent="0.3">
      <c r="A1311" t="s">
        <v>1416</v>
      </c>
      <c r="B1311" s="5">
        <v>46076</v>
      </c>
      <c r="C1311" s="5">
        <v>46076</v>
      </c>
      <c r="D1311" s="5">
        <v>46079</v>
      </c>
      <c r="E1311" s="5">
        <v>46080</v>
      </c>
      <c r="F1311" t="s">
        <v>34</v>
      </c>
      <c r="G1311" t="s">
        <v>59</v>
      </c>
      <c r="H1311" t="s">
        <v>24</v>
      </c>
      <c r="I1311" t="s">
        <v>45</v>
      </c>
      <c r="J1311">
        <v>335.2</v>
      </c>
      <c r="K1311">
        <v>162.80000000000001</v>
      </c>
      <c r="L1311">
        <v>3170000</v>
      </c>
      <c r="M1311" t="b">
        <v>0</v>
      </c>
      <c r="N1311" t="b">
        <v>0</v>
      </c>
      <c r="O1311">
        <v>1000</v>
      </c>
      <c r="P1311" t="b">
        <v>0</v>
      </c>
      <c r="Q1311" t="b">
        <v>0</v>
      </c>
      <c r="R1311" t="b">
        <v>0</v>
      </c>
      <c r="S1311" t="s">
        <v>101</v>
      </c>
      <c r="T1311" t="s">
        <v>1616</v>
      </c>
      <c r="U1311">
        <v>16.28</v>
      </c>
      <c r="V1311">
        <v>0</v>
      </c>
      <c r="W1311">
        <v>0</v>
      </c>
      <c r="X1311">
        <v>4</v>
      </c>
      <c r="Y1311" s="6">
        <v>46054</v>
      </c>
      <c r="Z1311">
        <v>1</v>
      </c>
    </row>
    <row r="1312" spans="1:26" x14ac:dyDescent="0.3">
      <c r="A1312" t="s">
        <v>1417</v>
      </c>
      <c r="B1312" s="5">
        <v>46082</v>
      </c>
      <c r="C1312" s="5">
        <v>46084</v>
      </c>
      <c r="D1312" s="5">
        <v>46087</v>
      </c>
      <c r="E1312" s="5">
        <v>46088</v>
      </c>
      <c r="F1312" t="s">
        <v>31</v>
      </c>
      <c r="G1312" t="s">
        <v>54</v>
      </c>
      <c r="H1312" t="s">
        <v>21</v>
      </c>
      <c r="I1312" t="s">
        <v>44</v>
      </c>
      <c r="J1312">
        <v>455.1</v>
      </c>
      <c r="K1312">
        <v>888</v>
      </c>
      <c r="L1312">
        <v>5265000</v>
      </c>
      <c r="M1312" t="b">
        <v>0</v>
      </c>
      <c r="N1312" t="b">
        <v>0</v>
      </c>
      <c r="O1312">
        <v>1500</v>
      </c>
      <c r="P1312" t="b">
        <v>0</v>
      </c>
      <c r="Q1312" t="b">
        <v>0</v>
      </c>
      <c r="R1312" t="b">
        <v>0</v>
      </c>
      <c r="S1312" t="s">
        <v>101</v>
      </c>
      <c r="T1312" t="s">
        <v>1631</v>
      </c>
      <c r="U1312">
        <v>59.2</v>
      </c>
      <c r="V1312">
        <v>0</v>
      </c>
      <c r="W1312">
        <v>0</v>
      </c>
      <c r="X1312">
        <v>4</v>
      </c>
      <c r="Y1312" s="6">
        <v>46082</v>
      </c>
      <c r="Z1312">
        <v>1</v>
      </c>
    </row>
    <row r="1313" spans="1:26" x14ac:dyDescent="0.3">
      <c r="A1313" t="s">
        <v>1418</v>
      </c>
      <c r="B1313" s="5">
        <v>46067</v>
      </c>
      <c r="C1313" s="5">
        <v>46067</v>
      </c>
      <c r="D1313" s="5">
        <v>46068</v>
      </c>
      <c r="E1313" s="5">
        <v>46070</v>
      </c>
      <c r="F1313" t="s">
        <v>31</v>
      </c>
      <c r="G1313" t="s">
        <v>61</v>
      </c>
      <c r="H1313" t="s">
        <v>24</v>
      </c>
      <c r="I1313" t="s">
        <v>42</v>
      </c>
      <c r="J1313">
        <v>54.4</v>
      </c>
      <c r="K1313">
        <v>4414.2</v>
      </c>
      <c r="L1313">
        <v>3825000</v>
      </c>
      <c r="M1313" t="b">
        <v>0</v>
      </c>
      <c r="N1313" t="b">
        <v>0</v>
      </c>
      <c r="O1313">
        <v>16000</v>
      </c>
      <c r="P1313" t="b">
        <v>0</v>
      </c>
      <c r="Q1313" t="b">
        <v>0</v>
      </c>
      <c r="R1313" t="b">
        <v>0</v>
      </c>
      <c r="S1313" t="s">
        <v>101</v>
      </c>
      <c r="T1313" t="s">
        <v>1645</v>
      </c>
      <c r="U1313">
        <v>27.588750000000001</v>
      </c>
      <c r="V1313">
        <v>0</v>
      </c>
      <c r="W1313">
        <v>0</v>
      </c>
      <c r="X1313">
        <v>3</v>
      </c>
      <c r="Y1313" s="6">
        <v>46054</v>
      </c>
      <c r="Z1313">
        <v>2</v>
      </c>
    </row>
    <row r="1314" spans="1:26" x14ac:dyDescent="0.3">
      <c r="A1314" t="s">
        <v>1419</v>
      </c>
      <c r="B1314" s="5">
        <v>46156</v>
      </c>
      <c r="C1314" s="5">
        <v>46157</v>
      </c>
      <c r="D1314" s="5">
        <v>46161</v>
      </c>
      <c r="E1314" s="5">
        <v>46161</v>
      </c>
      <c r="F1314" t="s">
        <v>33</v>
      </c>
      <c r="G1314" t="s">
        <v>57</v>
      </c>
      <c r="H1314" t="s">
        <v>21</v>
      </c>
      <c r="I1314" t="s">
        <v>44</v>
      </c>
      <c r="J1314">
        <v>485.3</v>
      </c>
      <c r="K1314">
        <v>774.6</v>
      </c>
      <c r="L1314">
        <v>5261000</v>
      </c>
      <c r="M1314" t="b">
        <v>0</v>
      </c>
      <c r="N1314" t="b">
        <v>0</v>
      </c>
      <c r="O1314">
        <v>1500</v>
      </c>
      <c r="P1314" t="b">
        <v>0</v>
      </c>
      <c r="Q1314" t="b">
        <v>0</v>
      </c>
      <c r="R1314" t="b">
        <v>0</v>
      </c>
      <c r="S1314" t="s">
        <v>96</v>
      </c>
      <c r="T1314" t="s">
        <v>1624</v>
      </c>
      <c r="U1314">
        <v>51.64</v>
      </c>
      <c r="V1314">
        <v>0</v>
      </c>
      <c r="W1314">
        <v>0</v>
      </c>
      <c r="X1314">
        <v>4</v>
      </c>
      <c r="Y1314" s="6">
        <v>46143</v>
      </c>
    </row>
    <row r="1315" spans="1:26" x14ac:dyDescent="0.3">
      <c r="A1315" t="s">
        <v>1420</v>
      </c>
      <c r="B1315" s="5">
        <v>46047</v>
      </c>
      <c r="C1315" s="5">
        <v>46048</v>
      </c>
      <c r="D1315" s="5">
        <v>46051</v>
      </c>
      <c r="E1315" s="5">
        <v>46051</v>
      </c>
      <c r="F1315" t="s">
        <v>31</v>
      </c>
      <c r="G1315" t="s">
        <v>63</v>
      </c>
      <c r="H1315" t="s">
        <v>23</v>
      </c>
      <c r="I1315" t="s">
        <v>43</v>
      </c>
      <c r="J1315">
        <v>270</v>
      </c>
      <c r="K1315">
        <v>1549.3</v>
      </c>
      <c r="L1315">
        <v>5106000</v>
      </c>
      <c r="M1315" t="b">
        <v>0</v>
      </c>
      <c r="N1315" t="b">
        <v>0</v>
      </c>
      <c r="O1315">
        <v>5000</v>
      </c>
      <c r="P1315" t="b">
        <v>0</v>
      </c>
      <c r="Q1315" t="b">
        <v>0</v>
      </c>
      <c r="R1315" t="b">
        <v>0</v>
      </c>
      <c r="S1315" t="s">
        <v>96</v>
      </c>
      <c r="T1315" t="s">
        <v>1640</v>
      </c>
      <c r="U1315">
        <v>30.986000000000001</v>
      </c>
      <c r="V1315">
        <v>0</v>
      </c>
      <c r="W1315">
        <v>0</v>
      </c>
      <c r="X1315">
        <v>3</v>
      </c>
      <c r="Y1315" s="6">
        <v>46023</v>
      </c>
    </row>
    <row r="1316" spans="1:26" x14ac:dyDescent="0.3">
      <c r="A1316" t="s">
        <v>1421</v>
      </c>
      <c r="B1316" s="5">
        <v>46117</v>
      </c>
      <c r="C1316" s="5">
        <v>46118</v>
      </c>
      <c r="D1316" s="5">
        <v>46123</v>
      </c>
      <c r="E1316" s="5">
        <v>46124</v>
      </c>
      <c r="F1316" t="s">
        <v>31</v>
      </c>
      <c r="G1316" t="s">
        <v>56</v>
      </c>
      <c r="H1316" t="s">
        <v>20</v>
      </c>
      <c r="I1316" t="s">
        <v>44</v>
      </c>
      <c r="J1316">
        <v>885</v>
      </c>
      <c r="K1316">
        <v>1126.8</v>
      </c>
      <c r="L1316">
        <v>10708000</v>
      </c>
      <c r="M1316" t="b">
        <v>0</v>
      </c>
      <c r="N1316" t="b">
        <v>0</v>
      </c>
      <c r="O1316">
        <v>1500</v>
      </c>
      <c r="P1316" t="b">
        <v>0</v>
      </c>
      <c r="Q1316" t="b">
        <v>0</v>
      </c>
      <c r="R1316" t="b">
        <v>0</v>
      </c>
      <c r="S1316" t="s">
        <v>101</v>
      </c>
      <c r="T1316" t="s">
        <v>1614</v>
      </c>
      <c r="U1316">
        <v>75.12</v>
      </c>
      <c r="V1316">
        <v>0</v>
      </c>
      <c r="W1316">
        <v>0</v>
      </c>
      <c r="X1316">
        <v>6</v>
      </c>
      <c r="Y1316" s="6">
        <v>46113</v>
      </c>
      <c r="Z1316">
        <v>1</v>
      </c>
    </row>
    <row r="1317" spans="1:26" x14ac:dyDescent="0.3">
      <c r="A1317" t="s">
        <v>1422</v>
      </c>
      <c r="B1317" s="5">
        <v>46031</v>
      </c>
      <c r="C1317" s="5">
        <v>46031</v>
      </c>
      <c r="D1317" s="5">
        <v>46033</v>
      </c>
      <c r="E1317" s="5">
        <v>46033</v>
      </c>
      <c r="F1317" t="s">
        <v>34</v>
      </c>
      <c r="G1317" t="s">
        <v>58</v>
      </c>
      <c r="H1317" t="s">
        <v>21</v>
      </c>
      <c r="I1317" t="s">
        <v>43</v>
      </c>
      <c r="J1317">
        <v>148.4</v>
      </c>
      <c r="K1317">
        <v>1037.3</v>
      </c>
      <c r="L1317">
        <v>3134000</v>
      </c>
      <c r="M1317" t="b">
        <v>0</v>
      </c>
      <c r="N1317" t="b">
        <v>0</v>
      </c>
      <c r="O1317">
        <v>5000</v>
      </c>
      <c r="P1317" t="b">
        <v>0</v>
      </c>
      <c r="Q1317" t="b">
        <v>0</v>
      </c>
      <c r="R1317" t="b">
        <v>0</v>
      </c>
      <c r="S1317" t="s">
        <v>96</v>
      </c>
      <c r="T1317" t="s">
        <v>1637</v>
      </c>
      <c r="U1317">
        <v>20.745999999999999</v>
      </c>
      <c r="V1317">
        <v>0</v>
      </c>
      <c r="W1317">
        <v>0</v>
      </c>
      <c r="X1317">
        <v>2</v>
      </c>
      <c r="Y1317" s="6">
        <v>46023</v>
      </c>
    </row>
    <row r="1318" spans="1:26" x14ac:dyDescent="0.3">
      <c r="A1318" t="s">
        <v>1423</v>
      </c>
      <c r="B1318" s="5">
        <v>46032</v>
      </c>
      <c r="C1318" s="5">
        <v>46033</v>
      </c>
      <c r="D1318" s="5">
        <v>46035</v>
      </c>
      <c r="E1318" s="5">
        <v>46035</v>
      </c>
      <c r="F1318" t="s">
        <v>31</v>
      </c>
      <c r="G1318" t="s">
        <v>58</v>
      </c>
      <c r="H1318" t="s">
        <v>20</v>
      </c>
      <c r="I1318" t="s">
        <v>45</v>
      </c>
      <c r="J1318">
        <v>199.3</v>
      </c>
      <c r="K1318">
        <v>88.6</v>
      </c>
      <c r="L1318">
        <v>2038000</v>
      </c>
      <c r="M1318" t="b">
        <v>0</v>
      </c>
      <c r="N1318" t="b">
        <v>0</v>
      </c>
      <c r="O1318">
        <v>1000</v>
      </c>
      <c r="P1318" t="b">
        <v>0</v>
      </c>
      <c r="Q1318" t="b">
        <v>0</v>
      </c>
      <c r="R1318" t="b">
        <v>0</v>
      </c>
      <c r="S1318" t="s">
        <v>96</v>
      </c>
      <c r="T1318" t="s">
        <v>1621</v>
      </c>
      <c r="U1318">
        <v>8.86</v>
      </c>
      <c r="V1318">
        <v>0</v>
      </c>
      <c r="W1318">
        <v>0</v>
      </c>
      <c r="X1318">
        <v>2</v>
      </c>
      <c r="Y1318" s="6">
        <v>46023</v>
      </c>
    </row>
    <row r="1319" spans="1:26" x14ac:dyDescent="0.3">
      <c r="A1319" t="s">
        <v>1424</v>
      </c>
      <c r="B1319" s="5">
        <v>46104</v>
      </c>
      <c r="C1319" s="5">
        <v>46104</v>
      </c>
      <c r="D1319" s="5">
        <v>46106</v>
      </c>
      <c r="E1319" s="5">
        <v>46106</v>
      </c>
      <c r="F1319" t="s">
        <v>31</v>
      </c>
      <c r="G1319" t="s">
        <v>52</v>
      </c>
      <c r="H1319" t="s">
        <v>23</v>
      </c>
      <c r="I1319" t="s">
        <v>45</v>
      </c>
      <c r="J1319">
        <v>264.2</v>
      </c>
      <c r="K1319">
        <v>696.1</v>
      </c>
      <c r="L1319">
        <v>3342000</v>
      </c>
      <c r="M1319" t="b">
        <v>0</v>
      </c>
      <c r="N1319" t="b">
        <v>0</v>
      </c>
      <c r="O1319">
        <v>1000</v>
      </c>
      <c r="P1319" t="b">
        <v>0</v>
      </c>
      <c r="Q1319" t="b">
        <v>0</v>
      </c>
      <c r="R1319" t="b">
        <v>0</v>
      </c>
      <c r="S1319" t="s">
        <v>96</v>
      </c>
      <c r="T1319" t="s">
        <v>1618</v>
      </c>
      <c r="U1319">
        <v>69.61</v>
      </c>
      <c r="V1319">
        <v>0</v>
      </c>
      <c r="W1319">
        <v>0</v>
      </c>
      <c r="X1319">
        <v>2</v>
      </c>
      <c r="Y1319" s="6">
        <v>46082</v>
      </c>
    </row>
    <row r="1320" spans="1:26" x14ac:dyDescent="0.3">
      <c r="A1320" t="s">
        <v>1425</v>
      </c>
      <c r="B1320" s="5">
        <v>46080</v>
      </c>
      <c r="C1320" s="5">
        <v>46081</v>
      </c>
      <c r="D1320" s="5">
        <v>46083</v>
      </c>
      <c r="E1320" s="5">
        <v>46083</v>
      </c>
      <c r="F1320" t="s">
        <v>32</v>
      </c>
      <c r="G1320" t="s">
        <v>63</v>
      </c>
      <c r="H1320" t="s">
        <v>21</v>
      </c>
      <c r="I1320" t="s">
        <v>43</v>
      </c>
      <c r="J1320">
        <v>174.5</v>
      </c>
      <c r="K1320">
        <v>3288.8</v>
      </c>
      <c r="L1320">
        <v>4588000</v>
      </c>
      <c r="M1320" t="b">
        <v>0</v>
      </c>
      <c r="N1320" t="b">
        <v>0</v>
      </c>
      <c r="O1320">
        <v>5000</v>
      </c>
      <c r="P1320" t="b">
        <v>0</v>
      </c>
      <c r="Q1320" t="b">
        <v>0</v>
      </c>
      <c r="R1320" t="b">
        <v>0</v>
      </c>
      <c r="S1320" t="s">
        <v>96</v>
      </c>
      <c r="T1320" t="s">
        <v>1634</v>
      </c>
      <c r="U1320">
        <v>65.775999999999996</v>
      </c>
      <c r="V1320">
        <v>0</v>
      </c>
      <c r="W1320">
        <v>0</v>
      </c>
      <c r="X1320">
        <v>2</v>
      </c>
      <c r="Y1320" s="6">
        <v>46054</v>
      </c>
    </row>
    <row r="1321" spans="1:26" x14ac:dyDescent="0.3">
      <c r="A1321" t="s">
        <v>1426</v>
      </c>
      <c r="B1321" s="5">
        <v>46079</v>
      </c>
      <c r="C1321" s="5">
        <v>46080</v>
      </c>
      <c r="D1321" s="5">
        <v>46083</v>
      </c>
      <c r="E1321" s="5">
        <v>46084</v>
      </c>
      <c r="F1321" t="s">
        <v>32</v>
      </c>
      <c r="G1321" t="s">
        <v>60</v>
      </c>
      <c r="H1321" t="s">
        <v>20</v>
      </c>
      <c r="I1321" t="s">
        <v>45</v>
      </c>
      <c r="J1321">
        <v>467.7</v>
      </c>
      <c r="K1321">
        <v>725.9</v>
      </c>
      <c r="L1321">
        <v>4566000</v>
      </c>
      <c r="M1321" t="b">
        <v>0</v>
      </c>
      <c r="N1321" t="b">
        <v>0</v>
      </c>
      <c r="O1321">
        <v>1000</v>
      </c>
      <c r="P1321" t="b">
        <v>0</v>
      </c>
      <c r="Q1321" t="b">
        <v>0</v>
      </c>
      <c r="R1321" t="b">
        <v>0</v>
      </c>
      <c r="S1321" t="s">
        <v>101</v>
      </c>
      <c r="T1321" t="s">
        <v>1647</v>
      </c>
      <c r="U1321">
        <v>72.59</v>
      </c>
      <c r="V1321">
        <v>0</v>
      </c>
      <c r="W1321">
        <v>0</v>
      </c>
      <c r="X1321">
        <v>4</v>
      </c>
      <c r="Y1321" s="6">
        <v>46054</v>
      </c>
      <c r="Z1321">
        <v>1</v>
      </c>
    </row>
    <row r="1322" spans="1:26" x14ac:dyDescent="0.3">
      <c r="A1322" t="s">
        <v>1427</v>
      </c>
      <c r="B1322" s="5">
        <v>46151</v>
      </c>
      <c r="C1322" s="5">
        <v>46152</v>
      </c>
      <c r="D1322" s="5">
        <v>46156</v>
      </c>
      <c r="E1322" s="5">
        <v>46156</v>
      </c>
      <c r="F1322" t="s">
        <v>34</v>
      </c>
      <c r="G1322" t="s">
        <v>60</v>
      </c>
      <c r="H1322" t="s">
        <v>22</v>
      </c>
      <c r="I1322" t="s">
        <v>44</v>
      </c>
      <c r="J1322">
        <v>676.6</v>
      </c>
      <c r="K1322">
        <v>449.7</v>
      </c>
      <c r="L1322">
        <v>7306000</v>
      </c>
      <c r="M1322" t="b">
        <v>0</v>
      </c>
      <c r="N1322" t="b">
        <v>0</v>
      </c>
      <c r="O1322">
        <v>1500</v>
      </c>
      <c r="P1322" t="b">
        <v>0</v>
      </c>
      <c r="Q1322" t="b">
        <v>0</v>
      </c>
      <c r="R1322" t="b">
        <v>0</v>
      </c>
      <c r="S1322" t="s">
        <v>96</v>
      </c>
      <c r="T1322" t="s">
        <v>1644</v>
      </c>
      <c r="U1322">
        <v>29.98</v>
      </c>
      <c r="V1322">
        <v>0</v>
      </c>
      <c r="W1322">
        <v>0</v>
      </c>
      <c r="X1322">
        <v>4</v>
      </c>
      <c r="Y1322" s="6">
        <v>46143</v>
      </c>
    </row>
    <row r="1323" spans="1:26" x14ac:dyDescent="0.3">
      <c r="A1323" t="s">
        <v>1428</v>
      </c>
      <c r="B1323" s="5">
        <v>46118</v>
      </c>
      <c r="C1323" s="5">
        <v>46119</v>
      </c>
      <c r="D1323" s="5">
        <v>46121</v>
      </c>
      <c r="E1323" s="5"/>
      <c r="F1323" t="s">
        <v>31</v>
      </c>
      <c r="G1323" t="s">
        <v>52</v>
      </c>
      <c r="H1323" t="s">
        <v>22</v>
      </c>
      <c r="I1323" t="s">
        <v>43</v>
      </c>
      <c r="J1323">
        <v>291.5</v>
      </c>
      <c r="K1323">
        <v>2995.1</v>
      </c>
      <c r="L1323">
        <v>5567000</v>
      </c>
      <c r="M1323" t="b">
        <v>0</v>
      </c>
      <c r="N1323" t="b">
        <v>0</v>
      </c>
      <c r="O1323">
        <v>5000</v>
      </c>
      <c r="P1323" t="b">
        <v>0</v>
      </c>
      <c r="Q1323" t="b">
        <v>0</v>
      </c>
      <c r="R1323" t="b">
        <v>0</v>
      </c>
      <c r="S1323" t="s">
        <v>203</v>
      </c>
      <c r="T1323" t="s">
        <v>1618</v>
      </c>
      <c r="U1323">
        <v>59.902000000000001</v>
      </c>
      <c r="V1323">
        <v>0</v>
      </c>
      <c r="W1323">
        <v>0</v>
      </c>
      <c r="Y1323" s="6">
        <v>46113</v>
      </c>
    </row>
    <row r="1324" spans="1:26" x14ac:dyDescent="0.3">
      <c r="A1324" t="s">
        <v>1429</v>
      </c>
      <c r="B1324" s="5">
        <v>46079</v>
      </c>
      <c r="C1324" s="5">
        <v>46080</v>
      </c>
      <c r="D1324" s="5">
        <v>46082</v>
      </c>
      <c r="E1324" s="5">
        <v>46082</v>
      </c>
      <c r="F1324" t="s">
        <v>34</v>
      </c>
      <c r="G1324" t="s">
        <v>55</v>
      </c>
      <c r="H1324" t="s">
        <v>22</v>
      </c>
      <c r="I1324" t="s">
        <v>43</v>
      </c>
      <c r="J1324">
        <v>54.9</v>
      </c>
      <c r="K1324">
        <v>1225.4000000000001</v>
      </c>
      <c r="L1324">
        <v>1907000</v>
      </c>
      <c r="M1324" t="b">
        <v>0</v>
      </c>
      <c r="N1324" t="b">
        <v>0</v>
      </c>
      <c r="O1324">
        <v>5000</v>
      </c>
      <c r="P1324" t="b">
        <v>0</v>
      </c>
      <c r="Q1324" t="b">
        <v>0</v>
      </c>
      <c r="R1324" t="b">
        <v>0</v>
      </c>
      <c r="S1324" t="s">
        <v>96</v>
      </c>
      <c r="T1324" t="s">
        <v>1639</v>
      </c>
      <c r="U1324">
        <v>24.507999999999999</v>
      </c>
      <c r="V1324">
        <v>0</v>
      </c>
      <c r="W1324">
        <v>0</v>
      </c>
      <c r="X1324">
        <v>2</v>
      </c>
      <c r="Y1324" s="6">
        <v>46054</v>
      </c>
    </row>
    <row r="1325" spans="1:26" x14ac:dyDescent="0.3">
      <c r="A1325" t="s">
        <v>1430</v>
      </c>
      <c r="B1325" s="5">
        <v>46124</v>
      </c>
      <c r="C1325" s="5">
        <v>46125</v>
      </c>
      <c r="D1325" s="5">
        <v>46128</v>
      </c>
      <c r="E1325" s="5">
        <v>46128</v>
      </c>
      <c r="F1325" t="s">
        <v>34</v>
      </c>
      <c r="G1325" t="s">
        <v>54</v>
      </c>
      <c r="H1325" t="s">
        <v>20</v>
      </c>
      <c r="I1325" t="s">
        <v>43</v>
      </c>
      <c r="J1325">
        <v>447.1</v>
      </c>
      <c r="K1325">
        <v>3625.8</v>
      </c>
      <c r="L1325">
        <v>7880000</v>
      </c>
      <c r="M1325" t="b">
        <v>0</v>
      </c>
      <c r="N1325" t="b">
        <v>0</v>
      </c>
      <c r="O1325">
        <v>5000</v>
      </c>
      <c r="P1325" t="b">
        <v>0</v>
      </c>
      <c r="Q1325" t="b">
        <v>0</v>
      </c>
      <c r="R1325" t="b">
        <v>0</v>
      </c>
      <c r="S1325" t="s">
        <v>96</v>
      </c>
      <c r="T1325" t="s">
        <v>1635</v>
      </c>
      <c r="U1325">
        <v>72.516000000000005</v>
      </c>
      <c r="V1325">
        <v>0</v>
      </c>
      <c r="W1325">
        <v>0</v>
      </c>
      <c r="X1325">
        <v>3</v>
      </c>
      <c r="Y1325" s="6">
        <v>46113</v>
      </c>
    </row>
    <row r="1326" spans="1:26" x14ac:dyDescent="0.3">
      <c r="A1326" t="s">
        <v>1431</v>
      </c>
      <c r="B1326" s="5">
        <v>46106</v>
      </c>
      <c r="C1326" s="5">
        <v>46108</v>
      </c>
      <c r="D1326" s="5">
        <v>46111</v>
      </c>
      <c r="E1326" s="5">
        <v>46111</v>
      </c>
      <c r="F1326" t="s">
        <v>34</v>
      </c>
      <c r="G1326" t="s">
        <v>59</v>
      </c>
      <c r="H1326" t="s">
        <v>20</v>
      </c>
      <c r="I1326" t="s">
        <v>43</v>
      </c>
      <c r="J1326">
        <v>307</v>
      </c>
      <c r="K1326">
        <v>2013.8</v>
      </c>
      <c r="L1326">
        <v>5497000</v>
      </c>
      <c r="M1326" t="b">
        <v>0</v>
      </c>
      <c r="N1326" t="b">
        <v>0</v>
      </c>
      <c r="O1326">
        <v>5000</v>
      </c>
      <c r="P1326" t="b">
        <v>0</v>
      </c>
      <c r="Q1326" t="b">
        <v>0</v>
      </c>
      <c r="R1326" t="b">
        <v>0</v>
      </c>
      <c r="S1326" t="s">
        <v>96</v>
      </c>
      <c r="T1326" t="s">
        <v>1616</v>
      </c>
      <c r="U1326">
        <v>40.276000000000003</v>
      </c>
      <c r="V1326">
        <v>0</v>
      </c>
      <c r="W1326">
        <v>0</v>
      </c>
      <c r="X1326">
        <v>3</v>
      </c>
      <c r="Y1326" s="6">
        <v>46082</v>
      </c>
    </row>
    <row r="1327" spans="1:26" x14ac:dyDescent="0.3">
      <c r="A1327" t="s">
        <v>1432</v>
      </c>
      <c r="B1327" s="5">
        <v>46075</v>
      </c>
      <c r="C1327" s="5">
        <v>46076</v>
      </c>
      <c r="D1327" s="5">
        <v>46079</v>
      </c>
      <c r="E1327" s="5">
        <v>46080</v>
      </c>
      <c r="F1327" t="s">
        <v>31</v>
      </c>
      <c r="G1327" t="s">
        <v>63</v>
      </c>
      <c r="H1327" t="s">
        <v>21</v>
      </c>
      <c r="I1327" t="s">
        <v>44</v>
      </c>
      <c r="J1327">
        <v>304.10000000000002</v>
      </c>
      <c r="K1327">
        <v>1106.3</v>
      </c>
      <c r="L1327">
        <v>3648000</v>
      </c>
      <c r="M1327" t="b">
        <v>0</v>
      </c>
      <c r="N1327" t="b">
        <v>0</v>
      </c>
      <c r="O1327">
        <v>1500</v>
      </c>
      <c r="P1327" t="b">
        <v>0</v>
      </c>
      <c r="Q1327" t="b">
        <v>0</v>
      </c>
      <c r="R1327" t="b">
        <v>0</v>
      </c>
      <c r="S1327" t="s">
        <v>101</v>
      </c>
      <c r="T1327" t="s">
        <v>1640</v>
      </c>
      <c r="U1327">
        <v>73.75333333333333</v>
      </c>
      <c r="V1327">
        <v>0</v>
      </c>
      <c r="W1327">
        <v>0</v>
      </c>
      <c r="X1327">
        <v>4</v>
      </c>
      <c r="Y1327" s="6">
        <v>46054</v>
      </c>
      <c r="Z1327">
        <v>1</v>
      </c>
    </row>
    <row r="1328" spans="1:26" x14ac:dyDescent="0.3">
      <c r="A1328" t="s">
        <v>1433</v>
      </c>
      <c r="B1328" s="5">
        <v>46033</v>
      </c>
      <c r="C1328" s="5">
        <v>46034</v>
      </c>
      <c r="D1328" s="5">
        <v>46038</v>
      </c>
      <c r="E1328" s="5">
        <v>46040</v>
      </c>
      <c r="F1328" t="s">
        <v>31</v>
      </c>
      <c r="G1328" t="s">
        <v>56</v>
      </c>
      <c r="H1328" t="s">
        <v>23</v>
      </c>
      <c r="I1328" t="s">
        <v>44</v>
      </c>
      <c r="J1328">
        <v>966.4</v>
      </c>
      <c r="K1328">
        <v>357.7</v>
      </c>
      <c r="L1328">
        <v>9018000</v>
      </c>
      <c r="M1328" t="b">
        <v>0</v>
      </c>
      <c r="N1328" t="b">
        <v>0</v>
      </c>
      <c r="O1328">
        <v>1500</v>
      </c>
      <c r="P1328" t="b">
        <v>0</v>
      </c>
      <c r="Q1328" t="b">
        <v>0</v>
      </c>
      <c r="R1328" t="b">
        <v>0</v>
      </c>
      <c r="S1328" t="s">
        <v>101</v>
      </c>
      <c r="T1328" t="s">
        <v>1614</v>
      </c>
      <c r="U1328">
        <v>23.846666666666671</v>
      </c>
      <c r="V1328">
        <v>0</v>
      </c>
      <c r="W1328">
        <v>0</v>
      </c>
      <c r="X1328">
        <v>6</v>
      </c>
      <c r="Y1328" s="6">
        <v>46023</v>
      </c>
      <c r="Z1328">
        <v>2</v>
      </c>
    </row>
    <row r="1329" spans="1:26" x14ac:dyDescent="0.3">
      <c r="A1329" t="s">
        <v>1434</v>
      </c>
      <c r="B1329" s="5">
        <v>46055</v>
      </c>
      <c r="C1329" s="5">
        <v>46056</v>
      </c>
      <c r="D1329" s="5">
        <v>46058</v>
      </c>
      <c r="E1329" s="5">
        <v>46058</v>
      </c>
      <c r="F1329" t="s">
        <v>33</v>
      </c>
      <c r="G1329" t="s">
        <v>62</v>
      </c>
      <c r="H1329" t="s">
        <v>21</v>
      </c>
      <c r="I1329" t="s">
        <v>42</v>
      </c>
      <c r="J1329">
        <v>142.69999999999999</v>
      </c>
      <c r="K1329">
        <v>6954</v>
      </c>
      <c r="L1329">
        <v>5622000</v>
      </c>
      <c r="M1329" t="b">
        <v>0</v>
      </c>
      <c r="N1329" t="b">
        <v>0</v>
      </c>
      <c r="O1329">
        <v>16000</v>
      </c>
      <c r="P1329" t="b">
        <v>0</v>
      </c>
      <c r="Q1329" t="b">
        <v>0</v>
      </c>
      <c r="R1329" t="b">
        <v>0</v>
      </c>
      <c r="S1329" t="s">
        <v>96</v>
      </c>
      <c r="T1329" t="s">
        <v>1657</v>
      </c>
      <c r="U1329">
        <v>43.462499999999999</v>
      </c>
      <c r="V1329">
        <v>0</v>
      </c>
      <c r="W1329">
        <v>0</v>
      </c>
      <c r="X1329">
        <v>2</v>
      </c>
      <c r="Y1329" s="6">
        <v>46054</v>
      </c>
    </row>
    <row r="1330" spans="1:26" x14ac:dyDescent="0.3">
      <c r="A1330" t="s">
        <v>1435</v>
      </c>
      <c r="B1330" s="5">
        <v>46066</v>
      </c>
      <c r="C1330" s="5">
        <v>46068</v>
      </c>
      <c r="D1330" s="5">
        <v>46071</v>
      </c>
      <c r="E1330" s="5">
        <v>46071</v>
      </c>
      <c r="F1330" t="s">
        <v>31</v>
      </c>
      <c r="G1330" t="s">
        <v>59</v>
      </c>
      <c r="H1330" t="s">
        <v>21</v>
      </c>
      <c r="I1330" t="s">
        <v>43</v>
      </c>
      <c r="J1330">
        <v>311.2</v>
      </c>
      <c r="K1330">
        <v>1804.5</v>
      </c>
      <c r="L1330">
        <v>4644000</v>
      </c>
      <c r="M1330" t="b">
        <v>0</v>
      </c>
      <c r="N1330" t="b">
        <v>0</v>
      </c>
      <c r="O1330">
        <v>5000</v>
      </c>
      <c r="P1330" t="b">
        <v>0</v>
      </c>
      <c r="Q1330" t="b">
        <v>0</v>
      </c>
      <c r="R1330" t="b">
        <v>0</v>
      </c>
      <c r="S1330" t="s">
        <v>96</v>
      </c>
      <c r="T1330" t="s">
        <v>1628</v>
      </c>
      <c r="U1330">
        <v>36.090000000000003</v>
      </c>
      <c r="V1330">
        <v>0</v>
      </c>
      <c r="W1330">
        <v>0</v>
      </c>
      <c r="X1330">
        <v>3</v>
      </c>
      <c r="Y1330" s="6">
        <v>46054</v>
      </c>
    </row>
    <row r="1331" spans="1:26" x14ac:dyDescent="0.3">
      <c r="A1331" t="s">
        <v>1436</v>
      </c>
      <c r="B1331" s="5">
        <v>46137</v>
      </c>
      <c r="C1331" s="5">
        <v>46137</v>
      </c>
      <c r="D1331" s="5">
        <v>46140</v>
      </c>
      <c r="E1331" s="5">
        <v>46140</v>
      </c>
      <c r="F1331" t="s">
        <v>32</v>
      </c>
      <c r="G1331" t="s">
        <v>60</v>
      </c>
      <c r="H1331" t="s">
        <v>23</v>
      </c>
      <c r="I1331" t="s">
        <v>43</v>
      </c>
      <c r="J1331">
        <v>444.2</v>
      </c>
      <c r="K1331">
        <v>3397.6</v>
      </c>
      <c r="L1331">
        <v>6558000</v>
      </c>
      <c r="M1331" t="b">
        <v>0</v>
      </c>
      <c r="N1331" t="b">
        <v>0</v>
      </c>
      <c r="O1331">
        <v>5000</v>
      </c>
      <c r="P1331" t="b">
        <v>0</v>
      </c>
      <c r="Q1331" t="b">
        <v>0</v>
      </c>
      <c r="R1331" t="b">
        <v>0</v>
      </c>
      <c r="S1331" t="s">
        <v>96</v>
      </c>
      <c r="T1331" t="s">
        <v>1647</v>
      </c>
      <c r="U1331">
        <v>67.951999999999998</v>
      </c>
      <c r="V1331">
        <v>0</v>
      </c>
      <c r="W1331">
        <v>0</v>
      </c>
      <c r="X1331">
        <v>3</v>
      </c>
      <c r="Y1331" s="6">
        <v>46113</v>
      </c>
    </row>
    <row r="1332" spans="1:26" x14ac:dyDescent="0.3">
      <c r="A1332" t="s">
        <v>1437</v>
      </c>
      <c r="B1332" s="5">
        <v>46162</v>
      </c>
      <c r="C1332" s="5">
        <v>46162</v>
      </c>
      <c r="D1332" s="5">
        <v>46165</v>
      </c>
      <c r="E1332" s="5">
        <v>46166</v>
      </c>
      <c r="F1332" t="s">
        <v>33</v>
      </c>
      <c r="G1332" t="s">
        <v>59</v>
      </c>
      <c r="H1332" t="s">
        <v>20</v>
      </c>
      <c r="I1332" t="s">
        <v>42</v>
      </c>
      <c r="J1332">
        <v>450.1</v>
      </c>
      <c r="K1332">
        <v>7552.9</v>
      </c>
      <c r="L1332">
        <v>10964000</v>
      </c>
      <c r="M1332" t="b">
        <v>0</v>
      </c>
      <c r="N1332" t="b">
        <v>0</v>
      </c>
      <c r="O1332">
        <v>16000</v>
      </c>
      <c r="P1332" t="b">
        <v>0</v>
      </c>
      <c r="Q1332" t="b">
        <v>0</v>
      </c>
      <c r="R1332" t="b">
        <v>0</v>
      </c>
      <c r="S1332" t="s">
        <v>101</v>
      </c>
      <c r="T1332" t="s">
        <v>1648</v>
      </c>
      <c r="U1332">
        <v>47.205624999999998</v>
      </c>
      <c r="V1332">
        <v>0</v>
      </c>
      <c r="W1332">
        <v>0</v>
      </c>
      <c r="X1332">
        <v>4</v>
      </c>
      <c r="Y1332" s="6">
        <v>46143</v>
      </c>
      <c r="Z1332">
        <v>1</v>
      </c>
    </row>
    <row r="1333" spans="1:26" x14ac:dyDescent="0.3">
      <c r="A1333" t="s">
        <v>1438</v>
      </c>
      <c r="B1333" s="5">
        <v>46151</v>
      </c>
      <c r="C1333" s="5">
        <v>46152</v>
      </c>
      <c r="D1333" s="5">
        <v>46156</v>
      </c>
      <c r="E1333" s="5">
        <v>46156</v>
      </c>
      <c r="F1333" t="s">
        <v>34</v>
      </c>
      <c r="G1333" t="s">
        <v>56</v>
      </c>
      <c r="H1333" t="s">
        <v>22</v>
      </c>
      <c r="I1333" t="s">
        <v>43</v>
      </c>
      <c r="J1333">
        <v>924.5</v>
      </c>
      <c r="K1333">
        <v>3138</v>
      </c>
      <c r="L1333">
        <v>13680000</v>
      </c>
      <c r="M1333" t="b">
        <v>0</v>
      </c>
      <c r="N1333" t="b">
        <v>0</v>
      </c>
      <c r="O1333">
        <v>5000</v>
      </c>
      <c r="P1333" t="b">
        <v>0</v>
      </c>
      <c r="Q1333" t="b">
        <v>0</v>
      </c>
      <c r="R1333" t="b">
        <v>0</v>
      </c>
      <c r="S1333" t="s">
        <v>96</v>
      </c>
      <c r="T1333" t="s">
        <v>1646</v>
      </c>
      <c r="U1333">
        <v>62.760000000000012</v>
      </c>
      <c r="V1333">
        <v>0</v>
      </c>
      <c r="W1333">
        <v>0</v>
      </c>
      <c r="X1333">
        <v>4</v>
      </c>
      <c r="Y1333" s="6">
        <v>46143</v>
      </c>
    </row>
    <row r="1334" spans="1:26" x14ac:dyDescent="0.3">
      <c r="A1334" t="s">
        <v>1439</v>
      </c>
      <c r="B1334" s="5">
        <v>46102</v>
      </c>
      <c r="C1334" s="5">
        <v>46103</v>
      </c>
      <c r="D1334" s="5">
        <v>46105</v>
      </c>
      <c r="E1334" s="5">
        <v>46107</v>
      </c>
      <c r="F1334" t="s">
        <v>32</v>
      </c>
      <c r="G1334" t="s">
        <v>59</v>
      </c>
      <c r="H1334" t="s">
        <v>22</v>
      </c>
      <c r="I1334" t="s">
        <v>43</v>
      </c>
      <c r="J1334">
        <v>175</v>
      </c>
      <c r="K1334">
        <v>3493.3</v>
      </c>
      <c r="L1334">
        <v>3898000</v>
      </c>
      <c r="M1334" t="b">
        <v>0</v>
      </c>
      <c r="N1334" t="b">
        <v>0</v>
      </c>
      <c r="O1334">
        <v>5000</v>
      </c>
      <c r="P1334" t="b">
        <v>0</v>
      </c>
      <c r="Q1334" t="b">
        <v>0</v>
      </c>
      <c r="R1334" t="b">
        <v>0</v>
      </c>
      <c r="S1334" t="s">
        <v>101</v>
      </c>
      <c r="T1334" t="s">
        <v>1619</v>
      </c>
      <c r="U1334">
        <v>69.866</v>
      </c>
      <c r="V1334">
        <v>0</v>
      </c>
      <c r="W1334">
        <v>0</v>
      </c>
      <c r="X1334">
        <v>4</v>
      </c>
      <c r="Y1334" s="6">
        <v>46082</v>
      </c>
      <c r="Z1334">
        <v>2</v>
      </c>
    </row>
    <row r="1335" spans="1:26" x14ac:dyDescent="0.3">
      <c r="A1335" t="s">
        <v>1440</v>
      </c>
      <c r="B1335" s="5">
        <v>46161</v>
      </c>
      <c r="C1335" s="5">
        <v>46162</v>
      </c>
      <c r="D1335" s="5">
        <v>46166</v>
      </c>
      <c r="E1335" s="5">
        <v>46166</v>
      </c>
      <c r="F1335" t="s">
        <v>31</v>
      </c>
      <c r="G1335" t="s">
        <v>60</v>
      </c>
      <c r="H1335" t="s">
        <v>21</v>
      </c>
      <c r="I1335" t="s">
        <v>45</v>
      </c>
      <c r="J1335">
        <v>438.4</v>
      </c>
      <c r="K1335">
        <v>765.7</v>
      </c>
      <c r="L1335">
        <v>4894000</v>
      </c>
      <c r="M1335" t="b">
        <v>0</v>
      </c>
      <c r="N1335" t="b">
        <v>0</v>
      </c>
      <c r="O1335">
        <v>1000</v>
      </c>
      <c r="P1335" t="b">
        <v>0</v>
      </c>
      <c r="Q1335" t="b">
        <v>0</v>
      </c>
      <c r="R1335" t="b">
        <v>0</v>
      </c>
      <c r="S1335" t="s">
        <v>96</v>
      </c>
      <c r="T1335" t="s">
        <v>1652</v>
      </c>
      <c r="U1335">
        <v>76.570000000000007</v>
      </c>
      <c r="V1335">
        <v>0</v>
      </c>
      <c r="W1335">
        <v>0</v>
      </c>
      <c r="X1335">
        <v>4</v>
      </c>
      <c r="Y1335" s="6">
        <v>46143</v>
      </c>
    </row>
    <row r="1336" spans="1:26" x14ac:dyDescent="0.3">
      <c r="A1336" t="s">
        <v>1441</v>
      </c>
      <c r="B1336" s="5">
        <v>46089</v>
      </c>
      <c r="C1336" s="5">
        <v>46090</v>
      </c>
      <c r="D1336" s="5">
        <v>46093</v>
      </c>
      <c r="E1336" s="5">
        <v>46093</v>
      </c>
      <c r="F1336" t="s">
        <v>33</v>
      </c>
      <c r="G1336" t="s">
        <v>57</v>
      </c>
      <c r="H1336" t="s">
        <v>107</v>
      </c>
      <c r="I1336" t="s">
        <v>45</v>
      </c>
      <c r="J1336">
        <v>458.4</v>
      </c>
      <c r="K1336">
        <v>322.2</v>
      </c>
      <c r="L1336">
        <v>4559000</v>
      </c>
      <c r="M1336" t="b">
        <v>0</v>
      </c>
      <c r="N1336" t="b">
        <v>0</v>
      </c>
      <c r="O1336">
        <v>1000</v>
      </c>
      <c r="P1336" t="b">
        <v>0</v>
      </c>
      <c r="Q1336" t="b">
        <v>0</v>
      </c>
      <c r="R1336" t="b">
        <v>0</v>
      </c>
      <c r="S1336" t="s">
        <v>96</v>
      </c>
      <c r="T1336" t="s">
        <v>1624</v>
      </c>
      <c r="U1336">
        <v>32.22</v>
      </c>
      <c r="V1336">
        <v>0</v>
      </c>
      <c r="W1336">
        <v>0</v>
      </c>
      <c r="X1336">
        <v>3</v>
      </c>
      <c r="Y1336" s="6">
        <v>46082</v>
      </c>
    </row>
    <row r="1337" spans="1:26" x14ac:dyDescent="0.3">
      <c r="A1337" t="s">
        <v>1442</v>
      </c>
      <c r="B1337" s="5">
        <v>46101</v>
      </c>
      <c r="C1337" s="5">
        <v>46102</v>
      </c>
      <c r="D1337" s="5">
        <v>46104</v>
      </c>
      <c r="E1337" s="5">
        <v>46104</v>
      </c>
      <c r="F1337" t="s">
        <v>34</v>
      </c>
      <c r="G1337" t="s">
        <v>58</v>
      </c>
      <c r="H1337" t="s">
        <v>20</v>
      </c>
      <c r="I1337" t="s">
        <v>45</v>
      </c>
      <c r="J1337">
        <v>148.6</v>
      </c>
      <c r="K1337">
        <v>813.7</v>
      </c>
      <c r="L1337">
        <v>2366000</v>
      </c>
      <c r="M1337" t="b">
        <v>0</v>
      </c>
      <c r="N1337" t="b">
        <v>0</v>
      </c>
      <c r="O1337">
        <v>1000</v>
      </c>
      <c r="P1337" t="b">
        <v>0</v>
      </c>
      <c r="Q1337" t="b">
        <v>0</v>
      </c>
      <c r="R1337" t="b">
        <v>0</v>
      </c>
      <c r="S1337" t="s">
        <v>96</v>
      </c>
      <c r="T1337" t="s">
        <v>1637</v>
      </c>
      <c r="U1337">
        <v>81.37</v>
      </c>
      <c r="V1337">
        <v>0</v>
      </c>
      <c r="W1337">
        <v>0</v>
      </c>
      <c r="X1337">
        <v>2</v>
      </c>
      <c r="Y1337" s="6">
        <v>46082</v>
      </c>
    </row>
    <row r="1338" spans="1:26" x14ac:dyDescent="0.3">
      <c r="A1338" t="s">
        <v>1443</v>
      </c>
      <c r="B1338" s="5">
        <v>46105</v>
      </c>
      <c r="C1338" s="5">
        <v>46105</v>
      </c>
      <c r="D1338" s="5">
        <v>46108</v>
      </c>
      <c r="E1338" s="5">
        <v>46110</v>
      </c>
      <c r="F1338" t="s">
        <v>34</v>
      </c>
      <c r="G1338" t="s">
        <v>53</v>
      </c>
      <c r="H1338" t="s">
        <v>22</v>
      </c>
      <c r="I1338" t="s">
        <v>42</v>
      </c>
      <c r="J1338">
        <v>332.1</v>
      </c>
      <c r="K1338">
        <v>13077.5</v>
      </c>
      <c r="L1338">
        <v>11765000</v>
      </c>
      <c r="M1338" t="b">
        <v>0</v>
      </c>
      <c r="N1338" t="b">
        <v>0</v>
      </c>
      <c r="O1338">
        <v>16000</v>
      </c>
      <c r="P1338" t="b">
        <v>0</v>
      </c>
      <c r="Q1338" t="b">
        <v>0</v>
      </c>
      <c r="R1338" t="b">
        <v>0</v>
      </c>
      <c r="S1338" t="s">
        <v>101</v>
      </c>
      <c r="T1338" t="s">
        <v>1636</v>
      </c>
      <c r="U1338">
        <v>81.734375</v>
      </c>
      <c r="V1338">
        <v>0</v>
      </c>
      <c r="W1338">
        <v>0</v>
      </c>
      <c r="X1338">
        <v>5</v>
      </c>
      <c r="Y1338" s="6">
        <v>46082</v>
      </c>
      <c r="Z1338">
        <v>2</v>
      </c>
    </row>
    <row r="1339" spans="1:26" x14ac:dyDescent="0.3">
      <c r="A1339" t="s">
        <v>1444</v>
      </c>
      <c r="B1339" s="5">
        <v>46058</v>
      </c>
      <c r="C1339" s="5">
        <v>46059</v>
      </c>
      <c r="D1339" s="5">
        <v>46062</v>
      </c>
      <c r="E1339" s="5">
        <v>46062</v>
      </c>
      <c r="F1339" t="s">
        <v>34</v>
      </c>
      <c r="G1339" t="s">
        <v>54</v>
      </c>
      <c r="H1339" t="s">
        <v>24</v>
      </c>
      <c r="I1339" t="s">
        <v>43</v>
      </c>
      <c r="J1339">
        <v>462.5</v>
      </c>
      <c r="K1339">
        <v>2875.2</v>
      </c>
      <c r="L1339">
        <v>7587000</v>
      </c>
      <c r="M1339" t="b">
        <v>0</v>
      </c>
      <c r="N1339" t="b">
        <v>0</v>
      </c>
      <c r="O1339">
        <v>5000</v>
      </c>
      <c r="P1339" t="b">
        <v>0</v>
      </c>
      <c r="Q1339" t="b">
        <v>0</v>
      </c>
      <c r="R1339" t="b">
        <v>0</v>
      </c>
      <c r="S1339" t="s">
        <v>96</v>
      </c>
      <c r="T1339" t="s">
        <v>1635</v>
      </c>
      <c r="U1339">
        <v>57.503999999999998</v>
      </c>
      <c r="V1339">
        <v>0</v>
      </c>
      <c r="W1339">
        <v>0</v>
      </c>
      <c r="X1339">
        <v>3</v>
      </c>
      <c r="Y1339" s="6">
        <v>46054</v>
      </c>
    </row>
    <row r="1340" spans="1:26" x14ac:dyDescent="0.3">
      <c r="A1340" t="s">
        <v>1445</v>
      </c>
      <c r="B1340" s="5">
        <v>46133</v>
      </c>
      <c r="C1340" s="5">
        <v>46133</v>
      </c>
      <c r="D1340" s="5">
        <v>46134</v>
      </c>
      <c r="E1340" s="5">
        <v>46136</v>
      </c>
      <c r="F1340" t="s">
        <v>32</v>
      </c>
      <c r="G1340" t="s">
        <v>57</v>
      </c>
      <c r="H1340" t="s">
        <v>23</v>
      </c>
      <c r="I1340" t="s">
        <v>44</v>
      </c>
      <c r="J1340">
        <v>23</v>
      </c>
      <c r="K1340">
        <v>214.7</v>
      </c>
      <c r="L1340">
        <v>802000</v>
      </c>
      <c r="M1340" t="b">
        <v>0</v>
      </c>
      <c r="N1340" t="b">
        <v>0</v>
      </c>
      <c r="O1340">
        <v>1500</v>
      </c>
      <c r="P1340" t="b">
        <v>0</v>
      </c>
      <c r="Q1340" t="b">
        <v>0</v>
      </c>
      <c r="R1340" t="b">
        <v>0</v>
      </c>
      <c r="S1340" t="s">
        <v>101</v>
      </c>
      <c r="T1340" t="s">
        <v>1630</v>
      </c>
      <c r="U1340">
        <v>14.313333333333331</v>
      </c>
      <c r="V1340">
        <v>0</v>
      </c>
      <c r="W1340">
        <v>0</v>
      </c>
      <c r="X1340">
        <v>3</v>
      </c>
      <c r="Y1340" s="6">
        <v>46113</v>
      </c>
      <c r="Z1340">
        <v>2</v>
      </c>
    </row>
    <row r="1341" spans="1:26" x14ac:dyDescent="0.3">
      <c r="A1341" t="s">
        <v>1446</v>
      </c>
      <c r="B1341" s="5">
        <v>46197</v>
      </c>
      <c r="C1341" s="5">
        <v>46198</v>
      </c>
      <c r="D1341" s="5">
        <v>46201</v>
      </c>
      <c r="E1341" s="5">
        <v>46201</v>
      </c>
      <c r="F1341" t="s">
        <v>31</v>
      </c>
      <c r="G1341" t="s">
        <v>52</v>
      </c>
      <c r="H1341" t="s">
        <v>24</v>
      </c>
      <c r="I1341" t="s">
        <v>42</v>
      </c>
      <c r="J1341">
        <v>3</v>
      </c>
      <c r="K1341">
        <v>11744.9</v>
      </c>
      <c r="L1341">
        <v>9159000</v>
      </c>
      <c r="M1341" t="b">
        <v>0</v>
      </c>
      <c r="N1341" t="b">
        <v>0</v>
      </c>
      <c r="O1341">
        <v>16000</v>
      </c>
      <c r="P1341" t="b">
        <v>0</v>
      </c>
      <c r="Q1341" t="b">
        <v>0</v>
      </c>
      <c r="R1341" t="b">
        <v>0</v>
      </c>
      <c r="S1341" t="s">
        <v>96</v>
      </c>
      <c r="T1341" t="s">
        <v>1618</v>
      </c>
      <c r="U1341">
        <v>73.405625000000001</v>
      </c>
      <c r="V1341">
        <v>0</v>
      </c>
      <c r="W1341">
        <v>0</v>
      </c>
      <c r="X1341">
        <v>3</v>
      </c>
      <c r="Y1341" s="6">
        <v>46174</v>
      </c>
    </row>
    <row r="1342" spans="1:26" x14ac:dyDescent="0.3">
      <c r="A1342" t="s">
        <v>1447</v>
      </c>
      <c r="B1342" s="5">
        <v>46163</v>
      </c>
      <c r="C1342" s="5">
        <v>46163</v>
      </c>
      <c r="D1342" s="5">
        <v>46166</v>
      </c>
      <c r="E1342" s="5">
        <v>46166</v>
      </c>
      <c r="F1342" t="s">
        <v>31</v>
      </c>
      <c r="G1342" t="s">
        <v>53</v>
      </c>
      <c r="H1342" t="s">
        <v>20</v>
      </c>
      <c r="I1342" t="s">
        <v>43</v>
      </c>
      <c r="J1342">
        <v>300.60000000000002</v>
      </c>
      <c r="K1342">
        <v>2487.8000000000002</v>
      </c>
      <c r="L1342">
        <v>5973000</v>
      </c>
      <c r="M1342" t="b">
        <v>0</v>
      </c>
      <c r="N1342" t="b">
        <v>0</v>
      </c>
      <c r="O1342">
        <v>5000</v>
      </c>
      <c r="P1342" t="b">
        <v>0</v>
      </c>
      <c r="Q1342" t="b">
        <v>0</v>
      </c>
      <c r="R1342" t="b">
        <v>0</v>
      </c>
      <c r="S1342" t="s">
        <v>96</v>
      </c>
      <c r="T1342" t="s">
        <v>1627</v>
      </c>
      <c r="U1342">
        <v>49.756000000000007</v>
      </c>
      <c r="V1342">
        <v>0</v>
      </c>
      <c r="W1342">
        <v>0</v>
      </c>
      <c r="X1342">
        <v>3</v>
      </c>
      <c r="Y1342" s="6">
        <v>46143</v>
      </c>
    </row>
    <row r="1343" spans="1:26" x14ac:dyDescent="0.3">
      <c r="A1343" t="s">
        <v>1448</v>
      </c>
      <c r="B1343" s="5">
        <v>46125</v>
      </c>
      <c r="C1343" s="5">
        <v>46127</v>
      </c>
      <c r="D1343" s="5">
        <v>46130</v>
      </c>
      <c r="E1343" s="5">
        <v>46132</v>
      </c>
      <c r="F1343" t="s">
        <v>34</v>
      </c>
      <c r="G1343" t="s">
        <v>59</v>
      </c>
      <c r="H1343" t="s">
        <v>22</v>
      </c>
      <c r="I1343" t="s">
        <v>42</v>
      </c>
      <c r="J1343">
        <v>331</v>
      </c>
      <c r="K1343">
        <v>12855</v>
      </c>
      <c r="L1343">
        <v>10440000</v>
      </c>
      <c r="M1343" t="b">
        <v>0</v>
      </c>
      <c r="N1343" t="b">
        <v>0</v>
      </c>
      <c r="O1343">
        <v>16000</v>
      </c>
      <c r="P1343" t="b">
        <v>0</v>
      </c>
      <c r="Q1343" t="b">
        <v>0</v>
      </c>
      <c r="R1343" t="b">
        <v>0</v>
      </c>
      <c r="S1343" t="s">
        <v>101</v>
      </c>
      <c r="T1343" t="s">
        <v>1616</v>
      </c>
      <c r="U1343">
        <v>80.34375</v>
      </c>
      <c r="V1343">
        <v>0</v>
      </c>
      <c r="W1343">
        <v>0</v>
      </c>
      <c r="X1343">
        <v>5</v>
      </c>
      <c r="Y1343" s="6">
        <v>46113</v>
      </c>
      <c r="Z1343">
        <v>2</v>
      </c>
    </row>
    <row r="1344" spans="1:26" x14ac:dyDescent="0.3">
      <c r="A1344" t="s">
        <v>1449</v>
      </c>
      <c r="B1344" s="5">
        <v>46177</v>
      </c>
      <c r="C1344" s="5">
        <v>46177</v>
      </c>
      <c r="D1344" s="5">
        <v>46181</v>
      </c>
      <c r="E1344" s="5">
        <v>46176</v>
      </c>
      <c r="F1344" t="s">
        <v>32</v>
      </c>
      <c r="G1344" t="s">
        <v>56</v>
      </c>
      <c r="H1344" t="s">
        <v>23</v>
      </c>
      <c r="I1344" t="s">
        <v>43</v>
      </c>
      <c r="J1344">
        <v>1017</v>
      </c>
      <c r="K1344">
        <v>2086.6999999999998</v>
      </c>
      <c r="L1344">
        <v>13333000</v>
      </c>
      <c r="M1344" t="b">
        <v>1</v>
      </c>
      <c r="N1344" t="b">
        <v>0</v>
      </c>
      <c r="O1344">
        <v>5000</v>
      </c>
      <c r="P1344" t="b">
        <v>0</v>
      </c>
      <c r="Q1344" t="b">
        <v>0</v>
      </c>
      <c r="R1344" t="b">
        <v>1</v>
      </c>
      <c r="S1344" t="s">
        <v>260</v>
      </c>
      <c r="T1344" t="s">
        <v>1658</v>
      </c>
      <c r="U1344">
        <v>41.734000000000002</v>
      </c>
      <c r="V1344">
        <v>0</v>
      </c>
      <c r="W1344">
        <v>1</v>
      </c>
      <c r="Y1344" s="6">
        <v>46174</v>
      </c>
    </row>
    <row r="1345" spans="1:26" x14ac:dyDescent="0.3">
      <c r="A1345" t="s">
        <v>1450</v>
      </c>
      <c r="B1345" s="5">
        <v>46164</v>
      </c>
      <c r="C1345" s="5">
        <v>46165</v>
      </c>
      <c r="D1345" s="5">
        <v>46168</v>
      </c>
      <c r="E1345" s="5">
        <v>46168</v>
      </c>
      <c r="F1345" t="s">
        <v>34</v>
      </c>
      <c r="G1345" t="s">
        <v>53</v>
      </c>
      <c r="H1345" t="s">
        <v>23</v>
      </c>
      <c r="I1345" t="s">
        <v>42</v>
      </c>
      <c r="J1345">
        <v>302.10000000000002</v>
      </c>
      <c r="K1345">
        <v>13465.5</v>
      </c>
      <c r="L1345">
        <v>10509000</v>
      </c>
      <c r="M1345" t="b">
        <v>0</v>
      </c>
      <c r="N1345" t="b">
        <v>0</v>
      </c>
      <c r="O1345">
        <v>16000</v>
      </c>
      <c r="P1345" t="b">
        <v>0</v>
      </c>
      <c r="Q1345" t="b">
        <v>0</v>
      </c>
      <c r="R1345" t="b">
        <v>0</v>
      </c>
      <c r="S1345" t="s">
        <v>96</v>
      </c>
      <c r="T1345" t="s">
        <v>1636</v>
      </c>
      <c r="U1345">
        <v>84.159374999999997</v>
      </c>
      <c r="V1345">
        <v>0</v>
      </c>
      <c r="W1345">
        <v>0</v>
      </c>
      <c r="X1345">
        <v>3</v>
      </c>
      <c r="Y1345" s="6">
        <v>46143</v>
      </c>
    </row>
    <row r="1346" spans="1:26" x14ac:dyDescent="0.3">
      <c r="A1346" t="s">
        <v>1451</v>
      </c>
      <c r="B1346" s="5">
        <v>46050</v>
      </c>
      <c r="C1346" s="5">
        <v>46051</v>
      </c>
      <c r="D1346" s="5">
        <v>46055</v>
      </c>
      <c r="E1346" s="5">
        <v>46055</v>
      </c>
      <c r="F1346" t="s">
        <v>31</v>
      </c>
      <c r="G1346" t="s">
        <v>62</v>
      </c>
      <c r="H1346" t="s">
        <v>20</v>
      </c>
      <c r="I1346" t="s">
        <v>45</v>
      </c>
      <c r="J1346">
        <v>673.4</v>
      </c>
      <c r="K1346">
        <v>441.4</v>
      </c>
      <c r="L1346">
        <v>6591000</v>
      </c>
      <c r="M1346" t="b">
        <v>0</v>
      </c>
      <c r="N1346" t="b">
        <v>0</v>
      </c>
      <c r="O1346">
        <v>1000</v>
      </c>
      <c r="P1346" t="b">
        <v>0</v>
      </c>
      <c r="Q1346" t="b">
        <v>0</v>
      </c>
      <c r="R1346" t="b">
        <v>0</v>
      </c>
      <c r="S1346" t="s">
        <v>96</v>
      </c>
      <c r="T1346" t="s">
        <v>1615</v>
      </c>
      <c r="U1346">
        <v>44.139999999999993</v>
      </c>
      <c r="V1346">
        <v>0</v>
      </c>
      <c r="W1346">
        <v>0</v>
      </c>
      <c r="X1346">
        <v>4</v>
      </c>
      <c r="Y1346" s="6">
        <v>46023</v>
      </c>
    </row>
    <row r="1347" spans="1:26" x14ac:dyDescent="0.3">
      <c r="A1347" t="s">
        <v>1452</v>
      </c>
      <c r="B1347" s="5">
        <v>46044</v>
      </c>
      <c r="C1347" s="5">
        <v>46044</v>
      </c>
      <c r="D1347" s="5">
        <v>46048</v>
      </c>
      <c r="E1347" s="5">
        <v>46049</v>
      </c>
      <c r="F1347" t="s">
        <v>33</v>
      </c>
      <c r="G1347" t="s">
        <v>55</v>
      </c>
      <c r="H1347" t="s">
        <v>23</v>
      </c>
      <c r="I1347" t="s">
        <v>43</v>
      </c>
      <c r="J1347">
        <v>613.5</v>
      </c>
      <c r="K1347">
        <v>3372.4</v>
      </c>
      <c r="L1347">
        <v>10874000</v>
      </c>
      <c r="M1347" t="b">
        <v>0</v>
      </c>
      <c r="N1347" t="b">
        <v>0</v>
      </c>
      <c r="O1347">
        <v>5000</v>
      </c>
      <c r="P1347" t="b">
        <v>0</v>
      </c>
      <c r="Q1347" t="b">
        <v>0</v>
      </c>
      <c r="R1347" t="b">
        <v>0</v>
      </c>
      <c r="S1347" t="s">
        <v>101</v>
      </c>
      <c r="T1347" t="s">
        <v>1626</v>
      </c>
      <c r="U1347">
        <v>67.447999999999993</v>
      </c>
      <c r="V1347">
        <v>0</v>
      </c>
      <c r="W1347">
        <v>0</v>
      </c>
      <c r="X1347">
        <v>5</v>
      </c>
      <c r="Y1347" s="6">
        <v>46023</v>
      </c>
      <c r="Z1347">
        <v>1</v>
      </c>
    </row>
    <row r="1348" spans="1:26" x14ac:dyDescent="0.3">
      <c r="A1348" t="s">
        <v>1453</v>
      </c>
      <c r="B1348" s="5">
        <v>46196</v>
      </c>
      <c r="C1348" s="5">
        <v>46198</v>
      </c>
      <c r="D1348" s="5">
        <v>46202</v>
      </c>
      <c r="E1348" s="5">
        <v>46202</v>
      </c>
      <c r="F1348" t="s">
        <v>32</v>
      </c>
      <c r="G1348" t="s">
        <v>56</v>
      </c>
      <c r="H1348" t="s">
        <v>24</v>
      </c>
      <c r="I1348" t="s">
        <v>44</v>
      </c>
      <c r="J1348">
        <v>1011</v>
      </c>
      <c r="K1348">
        <v>948.8</v>
      </c>
      <c r="L1348">
        <v>9754000</v>
      </c>
      <c r="M1348" t="b">
        <v>0</v>
      </c>
      <c r="N1348" t="b">
        <v>0</v>
      </c>
      <c r="O1348">
        <v>1500</v>
      </c>
      <c r="P1348" t="b">
        <v>0</v>
      </c>
      <c r="Q1348" t="b">
        <v>0</v>
      </c>
      <c r="R1348" t="b">
        <v>0</v>
      </c>
      <c r="S1348" t="s">
        <v>96</v>
      </c>
      <c r="T1348" t="s">
        <v>1658</v>
      </c>
      <c r="U1348">
        <v>63.25333333333333</v>
      </c>
      <c r="V1348">
        <v>0</v>
      </c>
      <c r="W1348">
        <v>0</v>
      </c>
      <c r="X1348">
        <v>4</v>
      </c>
      <c r="Y1348" s="6">
        <v>46174</v>
      </c>
    </row>
    <row r="1349" spans="1:26" x14ac:dyDescent="0.3">
      <c r="A1349" t="s">
        <v>1454</v>
      </c>
      <c r="B1349" s="5">
        <v>46138</v>
      </c>
      <c r="C1349" s="5">
        <v>46138</v>
      </c>
      <c r="D1349" s="5">
        <v>46139</v>
      </c>
      <c r="E1349" s="5">
        <v>46141</v>
      </c>
      <c r="F1349" t="s">
        <v>33</v>
      </c>
      <c r="G1349" t="s">
        <v>60</v>
      </c>
      <c r="H1349" t="s">
        <v>20</v>
      </c>
      <c r="I1349" t="s">
        <v>43</v>
      </c>
      <c r="J1349">
        <v>27.8</v>
      </c>
      <c r="K1349">
        <v>713.2</v>
      </c>
      <c r="L1349">
        <v>1314000</v>
      </c>
      <c r="M1349" t="b">
        <v>0</v>
      </c>
      <c r="N1349" t="b">
        <v>0</v>
      </c>
      <c r="O1349">
        <v>5000</v>
      </c>
      <c r="P1349" t="b">
        <v>0</v>
      </c>
      <c r="Q1349" t="b">
        <v>0</v>
      </c>
      <c r="R1349" t="b">
        <v>0</v>
      </c>
      <c r="S1349" t="s">
        <v>101</v>
      </c>
      <c r="T1349" t="s">
        <v>1650</v>
      </c>
      <c r="U1349">
        <v>14.263999999999999</v>
      </c>
      <c r="V1349">
        <v>0</v>
      </c>
      <c r="W1349">
        <v>0</v>
      </c>
      <c r="X1349">
        <v>3</v>
      </c>
      <c r="Y1349" s="6">
        <v>46113</v>
      </c>
      <c r="Z1349">
        <v>2</v>
      </c>
    </row>
    <row r="1350" spans="1:26" x14ac:dyDescent="0.3">
      <c r="A1350" t="s">
        <v>1455</v>
      </c>
      <c r="B1350" s="5">
        <v>46156</v>
      </c>
      <c r="C1350" s="5">
        <v>46157</v>
      </c>
      <c r="D1350" s="5">
        <v>46161</v>
      </c>
      <c r="E1350" s="5">
        <v>46162</v>
      </c>
      <c r="F1350" t="s">
        <v>31</v>
      </c>
      <c r="G1350" t="s">
        <v>62</v>
      </c>
      <c r="H1350" t="s">
        <v>20</v>
      </c>
      <c r="I1350" t="s">
        <v>43</v>
      </c>
      <c r="J1350">
        <v>782.3</v>
      </c>
      <c r="K1350">
        <v>1152.2</v>
      </c>
      <c r="L1350">
        <v>11979000</v>
      </c>
      <c r="M1350" t="b">
        <v>0</v>
      </c>
      <c r="N1350" t="b">
        <v>0</v>
      </c>
      <c r="O1350">
        <v>5000</v>
      </c>
      <c r="P1350" t="b">
        <v>0</v>
      </c>
      <c r="Q1350" t="b">
        <v>0</v>
      </c>
      <c r="R1350" t="b">
        <v>0</v>
      </c>
      <c r="S1350" t="s">
        <v>101</v>
      </c>
      <c r="T1350" t="s">
        <v>1615</v>
      </c>
      <c r="U1350">
        <v>23.044</v>
      </c>
      <c r="V1350">
        <v>0</v>
      </c>
      <c r="W1350">
        <v>0</v>
      </c>
      <c r="X1350">
        <v>5</v>
      </c>
      <c r="Y1350" s="6">
        <v>46143</v>
      </c>
      <c r="Z1350">
        <v>1</v>
      </c>
    </row>
    <row r="1351" spans="1:26" x14ac:dyDescent="0.3">
      <c r="A1351" t="s">
        <v>1456</v>
      </c>
      <c r="B1351" s="5">
        <v>46101</v>
      </c>
      <c r="C1351" s="5">
        <v>46102</v>
      </c>
      <c r="D1351" s="5">
        <v>46107</v>
      </c>
      <c r="E1351" s="5"/>
      <c r="F1351" t="s">
        <v>33</v>
      </c>
      <c r="G1351" t="s">
        <v>54</v>
      </c>
      <c r="H1351" t="s">
        <v>21</v>
      </c>
      <c r="I1351" t="s">
        <v>44</v>
      </c>
      <c r="J1351">
        <v>960.5</v>
      </c>
      <c r="K1351">
        <v>1181.7</v>
      </c>
      <c r="L1351">
        <v>9971000</v>
      </c>
      <c r="M1351" t="b">
        <v>0</v>
      </c>
      <c r="N1351" t="b">
        <v>0</v>
      </c>
      <c r="O1351">
        <v>1500</v>
      </c>
      <c r="P1351" t="b">
        <v>0</v>
      </c>
      <c r="Q1351" t="b">
        <v>0</v>
      </c>
      <c r="R1351" t="b">
        <v>0</v>
      </c>
      <c r="S1351" t="s">
        <v>203</v>
      </c>
      <c r="T1351" t="s">
        <v>1642</v>
      </c>
      <c r="U1351">
        <v>78.78</v>
      </c>
      <c r="V1351">
        <v>0</v>
      </c>
      <c r="W1351">
        <v>0</v>
      </c>
      <c r="Y1351" s="6">
        <v>46082</v>
      </c>
    </row>
    <row r="1352" spans="1:26" x14ac:dyDescent="0.3">
      <c r="A1352" t="s">
        <v>1457</v>
      </c>
      <c r="B1352" s="5">
        <v>46197</v>
      </c>
      <c r="C1352" s="5">
        <v>46198</v>
      </c>
      <c r="D1352" s="5">
        <v>46200</v>
      </c>
      <c r="E1352" s="5">
        <v>46200</v>
      </c>
      <c r="F1352" t="s">
        <v>31</v>
      </c>
      <c r="G1352" t="s">
        <v>61</v>
      </c>
      <c r="H1352" t="s">
        <v>20</v>
      </c>
      <c r="I1352" t="s">
        <v>44</v>
      </c>
      <c r="J1352">
        <v>55.1</v>
      </c>
      <c r="K1352">
        <v>1120.9000000000001</v>
      </c>
      <c r="L1352">
        <v>1676000</v>
      </c>
      <c r="M1352" t="b">
        <v>0</v>
      </c>
      <c r="N1352" t="b">
        <v>0</v>
      </c>
      <c r="O1352">
        <v>1500</v>
      </c>
      <c r="P1352" t="b">
        <v>0</v>
      </c>
      <c r="Q1352" t="b">
        <v>0</v>
      </c>
      <c r="R1352" t="b">
        <v>0</v>
      </c>
      <c r="S1352" t="s">
        <v>96</v>
      </c>
      <c r="T1352" t="s">
        <v>1645</v>
      </c>
      <c r="U1352">
        <v>74.726666666666674</v>
      </c>
      <c r="V1352">
        <v>0</v>
      </c>
      <c r="W1352">
        <v>0</v>
      </c>
      <c r="X1352">
        <v>2</v>
      </c>
      <c r="Y1352" s="6">
        <v>46174</v>
      </c>
    </row>
    <row r="1353" spans="1:26" x14ac:dyDescent="0.3">
      <c r="A1353" t="s">
        <v>1458</v>
      </c>
      <c r="B1353" s="5">
        <v>46060</v>
      </c>
      <c r="C1353" s="5">
        <v>46062</v>
      </c>
      <c r="D1353" s="5">
        <v>46063</v>
      </c>
      <c r="E1353" s="5">
        <v>46063</v>
      </c>
      <c r="F1353" t="s">
        <v>34</v>
      </c>
      <c r="G1353" t="s">
        <v>55</v>
      </c>
      <c r="H1353" t="s">
        <v>20</v>
      </c>
      <c r="I1353" t="s">
        <v>45</v>
      </c>
      <c r="J1353">
        <v>62.4</v>
      </c>
      <c r="K1353">
        <v>810.9</v>
      </c>
      <c r="L1353">
        <v>1378000</v>
      </c>
      <c r="M1353" t="b">
        <v>0</v>
      </c>
      <c r="N1353" t="b">
        <v>0</v>
      </c>
      <c r="O1353">
        <v>1000</v>
      </c>
      <c r="P1353" t="b">
        <v>0</v>
      </c>
      <c r="Q1353" t="b">
        <v>0</v>
      </c>
      <c r="R1353" t="b">
        <v>0</v>
      </c>
      <c r="S1353" t="s">
        <v>96</v>
      </c>
      <c r="T1353" t="s">
        <v>1639</v>
      </c>
      <c r="U1353">
        <v>81.089999999999989</v>
      </c>
      <c r="V1353">
        <v>0</v>
      </c>
      <c r="W1353">
        <v>0</v>
      </c>
      <c r="X1353">
        <v>1</v>
      </c>
      <c r="Y1353" s="6">
        <v>46054</v>
      </c>
    </row>
    <row r="1354" spans="1:26" x14ac:dyDescent="0.3">
      <c r="A1354" t="s">
        <v>1459</v>
      </c>
      <c r="B1354" s="5">
        <v>46104</v>
      </c>
      <c r="C1354" s="5">
        <v>46106</v>
      </c>
      <c r="D1354" s="5">
        <v>46107</v>
      </c>
      <c r="E1354" s="5">
        <v>46107</v>
      </c>
      <c r="F1354" t="s">
        <v>34</v>
      </c>
      <c r="G1354" t="s">
        <v>61</v>
      </c>
      <c r="H1354" t="s">
        <v>20</v>
      </c>
      <c r="I1354" t="s">
        <v>42</v>
      </c>
      <c r="J1354">
        <v>21.6</v>
      </c>
      <c r="K1354">
        <v>9989.5</v>
      </c>
      <c r="L1354">
        <v>4097000</v>
      </c>
      <c r="M1354" t="b">
        <v>0</v>
      </c>
      <c r="N1354" t="b">
        <v>0</v>
      </c>
      <c r="O1354">
        <v>16000</v>
      </c>
      <c r="P1354" t="b">
        <v>0</v>
      </c>
      <c r="Q1354" t="b">
        <v>0</v>
      </c>
      <c r="R1354" t="b">
        <v>0</v>
      </c>
      <c r="S1354" t="s">
        <v>96</v>
      </c>
      <c r="T1354" t="s">
        <v>1638</v>
      </c>
      <c r="U1354">
        <v>62.434375000000003</v>
      </c>
      <c r="V1354">
        <v>0</v>
      </c>
      <c r="W1354">
        <v>0</v>
      </c>
      <c r="X1354">
        <v>1</v>
      </c>
      <c r="Y1354" s="6">
        <v>46082</v>
      </c>
    </row>
    <row r="1355" spans="1:26" x14ac:dyDescent="0.3">
      <c r="A1355" t="s">
        <v>1460</v>
      </c>
      <c r="B1355" s="5">
        <v>46127</v>
      </c>
      <c r="C1355" s="5">
        <v>46128</v>
      </c>
      <c r="D1355" s="5">
        <v>46130</v>
      </c>
      <c r="E1355" s="5">
        <v>46131</v>
      </c>
      <c r="F1355" t="s">
        <v>32</v>
      </c>
      <c r="G1355" t="s">
        <v>59</v>
      </c>
      <c r="H1355" t="s">
        <v>22</v>
      </c>
      <c r="I1355" t="s">
        <v>44</v>
      </c>
      <c r="J1355">
        <v>173.6</v>
      </c>
      <c r="K1355">
        <v>971.9</v>
      </c>
      <c r="L1355">
        <v>2878000</v>
      </c>
      <c r="M1355" t="b">
        <v>0</v>
      </c>
      <c r="N1355" t="b">
        <v>0</v>
      </c>
      <c r="O1355">
        <v>1500</v>
      </c>
      <c r="P1355" t="b">
        <v>0</v>
      </c>
      <c r="Q1355" t="b">
        <v>0</v>
      </c>
      <c r="R1355" t="b">
        <v>0</v>
      </c>
      <c r="S1355" t="s">
        <v>101</v>
      </c>
      <c r="T1355" t="s">
        <v>1619</v>
      </c>
      <c r="U1355">
        <v>64.793333333333337</v>
      </c>
      <c r="V1355">
        <v>0</v>
      </c>
      <c r="W1355">
        <v>0</v>
      </c>
      <c r="X1355">
        <v>3</v>
      </c>
      <c r="Y1355" s="6">
        <v>46113</v>
      </c>
      <c r="Z1355">
        <v>1</v>
      </c>
    </row>
    <row r="1356" spans="1:26" x14ac:dyDescent="0.3">
      <c r="A1356" t="s">
        <v>1461</v>
      </c>
      <c r="B1356" s="5">
        <v>46176</v>
      </c>
      <c r="C1356" s="5">
        <v>46177</v>
      </c>
      <c r="D1356" s="5">
        <v>46180</v>
      </c>
      <c r="E1356" s="5">
        <v>46180</v>
      </c>
      <c r="F1356" t="s">
        <v>32</v>
      </c>
      <c r="G1356" t="s">
        <v>60</v>
      </c>
      <c r="H1356" t="s">
        <v>22</v>
      </c>
      <c r="I1356" t="s">
        <v>43</v>
      </c>
      <c r="J1356">
        <v>508.6</v>
      </c>
      <c r="K1356">
        <v>1943.6</v>
      </c>
      <c r="L1356">
        <v>7834000</v>
      </c>
      <c r="M1356" t="b">
        <v>0</v>
      </c>
      <c r="N1356" t="b">
        <v>0</v>
      </c>
      <c r="O1356">
        <v>5000</v>
      </c>
      <c r="P1356" t="b">
        <v>0</v>
      </c>
      <c r="Q1356" t="b">
        <v>0</v>
      </c>
      <c r="R1356" t="b">
        <v>0</v>
      </c>
      <c r="S1356" t="s">
        <v>96</v>
      </c>
      <c r="T1356" t="s">
        <v>1647</v>
      </c>
      <c r="U1356">
        <v>38.871999999999993</v>
      </c>
      <c r="V1356">
        <v>0</v>
      </c>
      <c r="W1356">
        <v>0</v>
      </c>
      <c r="X1356">
        <v>3</v>
      </c>
      <c r="Y1356" s="6">
        <v>46174</v>
      </c>
    </row>
    <row r="1357" spans="1:26" x14ac:dyDescent="0.3">
      <c r="A1357" t="s">
        <v>1462</v>
      </c>
      <c r="B1357" s="5">
        <v>46089</v>
      </c>
      <c r="C1357" s="5">
        <v>46090</v>
      </c>
      <c r="D1357" s="5">
        <v>46091</v>
      </c>
      <c r="E1357" s="5">
        <v>46093</v>
      </c>
      <c r="F1357" t="s">
        <v>34</v>
      </c>
      <c r="G1357" t="s">
        <v>55</v>
      </c>
      <c r="H1357" t="s">
        <v>23</v>
      </c>
      <c r="I1357" t="s">
        <v>42</v>
      </c>
      <c r="J1357">
        <v>48.1</v>
      </c>
      <c r="K1357">
        <v>14903.4</v>
      </c>
      <c r="L1357">
        <v>6074000</v>
      </c>
      <c r="M1357" t="b">
        <v>0</v>
      </c>
      <c r="N1357" t="b">
        <v>0</v>
      </c>
      <c r="O1357">
        <v>16000</v>
      </c>
      <c r="P1357" t="b">
        <v>0</v>
      </c>
      <c r="Q1357" t="b">
        <v>0</v>
      </c>
      <c r="R1357" t="b">
        <v>0</v>
      </c>
      <c r="S1357" t="s">
        <v>101</v>
      </c>
      <c r="T1357" t="s">
        <v>1639</v>
      </c>
      <c r="U1357">
        <v>93.146249999999995</v>
      </c>
      <c r="V1357">
        <v>0</v>
      </c>
      <c r="W1357">
        <v>0</v>
      </c>
      <c r="X1357">
        <v>3</v>
      </c>
      <c r="Y1357" s="6">
        <v>46082</v>
      </c>
      <c r="Z1357">
        <v>2</v>
      </c>
    </row>
    <row r="1358" spans="1:26" x14ac:dyDescent="0.3">
      <c r="A1358" t="s">
        <v>1463</v>
      </c>
      <c r="B1358" s="5">
        <v>46166</v>
      </c>
      <c r="C1358" s="5">
        <v>46166</v>
      </c>
      <c r="D1358" s="5">
        <v>46169</v>
      </c>
      <c r="E1358" s="5">
        <v>46170</v>
      </c>
      <c r="F1358" t="s">
        <v>34</v>
      </c>
      <c r="G1358" t="s">
        <v>59</v>
      </c>
      <c r="H1358" t="s">
        <v>24</v>
      </c>
      <c r="I1358" t="s">
        <v>44</v>
      </c>
      <c r="J1358">
        <v>330.3</v>
      </c>
      <c r="K1358">
        <v>948.4</v>
      </c>
      <c r="L1358">
        <v>3570000</v>
      </c>
      <c r="M1358" t="b">
        <v>0</v>
      </c>
      <c r="N1358" t="b">
        <v>0</v>
      </c>
      <c r="O1358">
        <v>1500</v>
      </c>
      <c r="P1358" t="b">
        <v>0</v>
      </c>
      <c r="Q1358" t="b">
        <v>0</v>
      </c>
      <c r="R1358" t="b">
        <v>0</v>
      </c>
      <c r="S1358" t="s">
        <v>101</v>
      </c>
      <c r="T1358" t="s">
        <v>1616</v>
      </c>
      <c r="U1358">
        <v>63.226666666666667</v>
      </c>
      <c r="V1358">
        <v>0</v>
      </c>
      <c r="W1358">
        <v>0</v>
      </c>
      <c r="X1358">
        <v>4</v>
      </c>
      <c r="Y1358" s="6">
        <v>46143</v>
      </c>
      <c r="Z1358">
        <v>1</v>
      </c>
    </row>
    <row r="1359" spans="1:26" x14ac:dyDescent="0.3">
      <c r="A1359" t="s">
        <v>1464</v>
      </c>
      <c r="B1359" s="5">
        <v>46089</v>
      </c>
      <c r="C1359" s="5">
        <v>46090</v>
      </c>
      <c r="D1359" s="5">
        <v>46091</v>
      </c>
      <c r="E1359" s="5">
        <v>46093</v>
      </c>
      <c r="F1359" t="s">
        <v>34</v>
      </c>
      <c r="G1359" t="s">
        <v>61</v>
      </c>
      <c r="H1359" t="s">
        <v>23</v>
      </c>
      <c r="I1359" t="s">
        <v>45</v>
      </c>
      <c r="J1359">
        <v>33.9</v>
      </c>
      <c r="K1359">
        <v>835.2</v>
      </c>
      <c r="L1359">
        <v>1191000</v>
      </c>
      <c r="M1359" t="b">
        <v>0</v>
      </c>
      <c r="N1359" t="b">
        <v>0</v>
      </c>
      <c r="O1359">
        <v>1000</v>
      </c>
      <c r="P1359" t="b">
        <v>0</v>
      </c>
      <c r="Q1359" t="b">
        <v>0</v>
      </c>
      <c r="R1359" t="b">
        <v>0</v>
      </c>
      <c r="S1359" t="s">
        <v>101</v>
      </c>
      <c r="T1359" t="s">
        <v>1638</v>
      </c>
      <c r="U1359">
        <v>83.52000000000001</v>
      </c>
      <c r="V1359">
        <v>0</v>
      </c>
      <c r="W1359">
        <v>0</v>
      </c>
      <c r="X1359">
        <v>3</v>
      </c>
      <c r="Y1359" s="6">
        <v>46082</v>
      </c>
      <c r="Z1359">
        <v>2</v>
      </c>
    </row>
    <row r="1360" spans="1:26" x14ac:dyDescent="0.3">
      <c r="A1360" t="s">
        <v>1465</v>
      </c>
      <c r="B1360" s="5">
        <v>46052</v>
      </c>
      <c r="C1360" s="5">
        <v>46053</v>
      </c>
      <c r="D1360" s="5">
        <v>46056</v>
      </c>
      <c r="E1360" s="5">
        <v>46056</v>
      </c>
      <c r="F1360" t="s">
        <v>32</v>
      </c>
      <c r="G1360" t="s">
        <v>54</v>
      </c>
      <c r="H1360" t="s">
        <v>22</v>
      </c>
      <c r="I1360" t="s">
        <v>42</v>
      </c>
      <c r="J1360">
        <v>575.1</v>
      </c>
      <c r="K1360">
        <v>12211.5</v>
      </c>
      <c r="L1360">
        <v>15016000</v>
      </c>
      <c r="M1360" t="b">
        <v>0</v>
      </c>
      <c r="N1360" t="b">
        <v>0</v>
      </c>
      <c r="O1360">
        <v>16000</v>
      </c>
      <c r="P1360" t="b">
        <v>0</v>
      </c>
      <c r="Q1360" t="b">
        <v>0</v>
      </c>
      <c r="R1360" t="b">
        <v>0</v>
      </c>
      <c r="S1360" t="s">
        <v>96</v>
      </c>
      <c r="T1360" t="s">
        <v>1655</v>
      </c>
      <c r="U1360">
        <v>76.321874999999991</v>
      </c>
      <c r="V1360">
        <v>0</v>
      </c>
      <c r="W1360">
        <v>0</v>
      </c>
      <c r="X1360">
        <v>3</v>
      </c>
      <c r="Y1360" s="6">
        <v>46023</v>
      </c>
    </row>
    <row r="1361" spans="1:26" x14ac:dyDescent="0.3">
      <c r="A1361" t="s">
        <v>1466</v>
      </c>
      <c r="B1361" s="5">
        <v>46112</v>
      </c>
      <c r="C1361" s="5">
        <v>46112</v>
      </c>
      <c r="D1361" s="5">
        <v>46114</v>
      </c>
      <c r="E1361" s="5">
        <v>46114</v>
      </c>
      <c r="F1361" t="s">
        <v>32</v>
      </c>
      <c r="G1361" t="s">
        <v>55</v>
      </c>
      <c r="H1361" t="s">
        <v>24</v>
      </c>
      <c r="I1361" t="s">
        <v>42</v>
      </c>
      <c r="J1361">
        <v>131.30000000000001</v>
      </c>
      <c r="K1361">
        <v>7794.1</v>
      </c>
      <c r="L1361">
        <v>5373000</v>
      </c>
      <c r="M1361" t="b">
        <v>0</v>
      </c>
      <c r="N1361" t="b">
        <v>0</v>
      </c>
      <c r="O1361">
        <v>16000</v>
      </c>
      <c r="P1361" t="b">
        <v>0</v>
      </c>
      <c r="Q1361" t="b">
        <v>0</v>
      </c>
      <c r="R1361" t="b">
        <v>0</v>
      </c>
      <c r="S1361" t="s">
        <v>96</v>
      </c>
      <c r="T1361" t="s">
        <v>1633</v>
      </c>
      <c r="U1361">
        <v>48.713125000000012</v>
      </c>
      <c r="V1361">
        <v>0</v>
      </c>
      <c r="W1361">
        <v>0</v>
      </c>
      <c r="X1361">
        <v>2</v>
      </c>
      <c r="Y1361" s="6">
        <v>46082</v>
      </c>
    </row>
    <row r="1362" spans="1:26" x14ac:dyDescent="0.3">
      <c r="A1362" t="s">
        <v>1467</v>
      </c>
      <c r="B1362" s="5">
        <v>46106</v>
      </c>
      <c r="C1362" s="5">
        <v>46106</v>
      </c>
      <c r="D1362" s="5">
        <v>46109</v>
      </c>
      <c r="E1362" s="5">
        <v>46110</v>
      </c>
      <c r="F1362" t="s">
        <v>31</v>
      </c>
      <c r="G1362" t="s">
        <v>54</v>
      </c>
      <c r="H1362" t="s">
        <v>24</v>
      </c>
      <c r="I1362" t="s">
        <v>44</v>
      </c>
      <c r="J1362">
        <v>444.4</v>
      </c>
      <c r="K1362">
        <v>188.1</v>
      </c>
      <c r="L1362">
        <v>4467000</v>
      </c>
      <c r="M1362" t="b">
        <v>0</v>
      </c>
      <c r="N1362" t="b">
        <v>0</v>
      </c>
      <c r="O1362">
        <v>1500</v>
      </c>
      <c r="P1362" t="b">
        <v>0</v>
      </c>
      <c r="Q1362" t="b">
        <v>0</v>
      </c>
      <c r="R1362" t="b">
        <v>0</v>
      </c>
      <c r="S1362" t="s">
        <v>101</v>
      </c>
      <c r="T1362" t="s">
        <v>1631</v>
      </c>
      <c r="U1362">
        <v>12.54</v>
      </c>
      <c r="V1362">
        <v>0</v>
      </c>
      <c r="W1362">
        <v>0</v>
      </c>
      <c r="X1362">
        <v>4</v>
      </c>
      <c r="Y1362" s="6">
        <v>46082</v>
      </c>
      <c r="Z1362">
        <v>1</v>
      </c>
    </row>
    <row r="1363" spans="1:26" x14ac:dyDescent="0.3">
      <c r="A1363" t="s">
        <v>1468</v>
      </c>
      <c r="B1363" s="5">
        <v>46091</v>
      </c>
      <c r="C1363" s="5">
        <v>46092</v>
      </c>
      <c r="D1363" s="5">
        <v>46095</v>
      </c>
      <c r="E1363" s="5">
        <v>46095</v>
      </c>
      <c r="F1363" t="s">
        <v>32</v>
      </c>
      <c r="G1363" t="s">
        <v>60</v>
      </c>
      <c r="H1363" t="s">
        <v>20</v>
      </c>
      <c r="I1363" t="s">
        <v>45</v>
      </c>
      <c r="J1363">
        <v>476.5</v>
      </c>
      <c r="K1363">
        <v>897.8</v>
      </c>
      <c r="L1363">
        <v>4763000</v>
      </c>
      <c r="M1363" t="b">
        <v>0</v>
      </c>
      <c r="N1363" t="b">
        <v>0</v>
      </c>
      <c r="O1363">
        <v>1000</v>
      </c>
      <c r="P1363" t="b">
        <v>0</v>
      </c>
      <c r="Q1363" t="b">
        <v>0</v>
      </c>
      <c r="R1363" t="b">
        <v>0</v>
      </c>
      <c r="S1363" t="s">
        <v>96</v>
      </c>
      <c r="T1363" t="s">
        <v>1647</v>
      </c>
      <c r="U1363">
        <v>89.779999999999987</v>
      </c>
      <c r="V1363">
        <v>0</v>
      </c>
      <c r="W1363">
        <v>0</v>
      </c>
      <c r="X1363">
        <v>3</v>
      </c>
      <c r="Y1363" s="6">
        <v>46082</v>
      </c>
    </row>
    <row r="1364" spans="1:26" x14ac:dyDescent="0.3">
      <c r="A1364" t="s">
        <v>1469</v>
      </c>
      <c r="B1364" s="5">
        <v>46121</v>
      </c>
      <c r="C1364" s="5">
        <v>46122</v>
      </c>
      <c r="D1364" s="5">
        <v>46126</v>
      </c>
      <c r="E1364" s="5">
        <v>46126</v>
      </c>
      <c r="F1364" t="s">
        <v>31</v>
      </c>
      <c r="G1364" t="s">
        <v>60</v>
      </c>
      <c r="H1364" t="s">
        <v>21</v>
      </c>
      <c r="I1364" t="s">
        <v>43</v>
      </c>
      <c r="J1364">
        <v>600.4</v>
      </c>
      <c r="K1364">
        <v>2484</v>
      </c>
      <c r="L1364">
        <v>10320000</v>
      </c>
      <c r="M1364" t="b">
        <v>0</v>
      </c>
      <c r="N1364" t="b">
        <v>0</v>
      </c>
      <c r="O1364">
        <v>5000</v>
      </c>
      <c r="P1364" t="b">
        <v>0</v>
      </c>
      <c r="Q1364" t="b">
        <v>0</v>
      </c>
      <c r="R1364" t="b">
        <v>0</v>
      </c>
      <c r="S1364" t="s">
        <v>96</v>
      </c>
      <c r="T1364" t="s">
        <v>1652</v>
      </c>
      <c r="U1364">
        <v>49.68</v>
      </c>
      <c r="V1364">
        <v>0</v>
      </c>
      <c r="W1364">
        <v>0</v>
      </c>
      <c r="X1364">
        <v>4</v>
      </c>
      <c r="Y1364" s="6">
        <v>46113</v>
      </c>
    </row>
    <row r="1365" spans="1:26" x14ac:dyDescent="0.3">
      <c r="A1365" t="s">
        <v>1470</v>
      </c>
      <c r="B1365" s="5">
        <v>46076</v>
      </c>
      <c r="C1365" s="5">
        <v>46077</v>
      </c>
      <c r="D1365" s="5">
        <v>46081</v>
      </c>
      <c r="E1365" s="5">
        <v>46081</v>
      </c>
      <c r="F1365" t="s">
        <v>34</v>
      </c>
      <c r="G1365" t="s">
        <v>56</v>
      </c>
      <c r="H1365" t="s">
        <v>21</v>
      </c>
      <c r="I1365" t="s">
        <v>42</v>
      </c>
      <c r="J1365">
        <v>856.9</v>
      </c>
      <c r="K1365">
        <v>8371.7000000000007</v>
      </c>
      <c r="L1365">
        <v>20538000</v>
      </c>
      <c r="M1365" t="b">
        <v>0</v>
      </c>
      <c r="N1365" t="b">
        <v>0</v>
      </c>
      <c r="O1365">
        <v>16000</v>
      </c>
      <c r="P1365" t="b">
        <v>0</v>
      </c>
      <c r="Q1365" t="b">
        <v>0</v>
      </c>
      <c r="R1365" t="b">
        <v>0</v>
      </c>
      <c r="S1365" t="s">
        <v>96</v>
      </c>
      <c r="T1365" t="s">
        <v>1646</v>
      </c>
      <c r="U1365">
        <v>52.323124999999997</v>
      </c>
      <c r="V1365">
        <v>0</v>
      </c>
      <c r="W1365">
        <v>0</v>
      </c>
      <c r="X1365">
        <v>4</v>
      </c>
      <c r="Y1365" s="6">
        <v>46054</v>
      </c>
    </row>
    <row r="1366" spans="1:26" x14ac:dyDescent="0.3">
      <c r="A1366" t="s">
        <v>1471</v>
      </c>
      <c r="B1366" s="5">
        <v>46055</v>
      </c>
      <c r="C1366" s="5">
        <v>46056</v>
      </c>
      <c r="D1366" s="5">
        <v>46058</v>
      </c>
      <c r="E1366" s="5">
        <v>46058</v>
      </c>
      <c r="F1366" t="s">
        <v>31</v>
      </c>
      <c r="G1366" t="s">
        <v>52</v>
      </c>
      <c r="H1366" t="s">
        <v>23</v>
      </c>
      <c r="I1366" t="s">
        <v>44</v>
      </c>
      <c r="J1366">
        <v>294.7</v>
      </c>
      <c r="K1366">
        <v>1351.3</v>
      </c>
      <c r="L1366">
        <v>3857000</v>
      </c>
      <c r="M1366" t="b">
        <v>0</v>
      </c>
      <c r="N1366" t="b">
        <v>0</v>
      </c>
      <c r="O1366">
        <v>1500</v>
      </c>
      <c r="P1366" t="b">
        <v>0</v>
      </c>
      <c r="Q1366" t="b">
        <v>0</v>
      </c>
      <c r="R1366" t="b">
        <v>0</v>
      </c>
      <c r="S1366" t="s">
        <v>96</v>
      </c>
      <c r="T1366" t="s">
        <v>1618</v>
      </c>
      <c r="U1366">
        <v>90.086666666666659</v>
      </c>
      <c r="V1366">
        <v>0</v>
      </c>
      <c r="W1366">
        <v>0</v>
      </c>
      <c r="X1366">
        <v>2</v>
      </c>
      <c r="Y1366" s="6">
        <v>46054</v>
      </c>
    </row>
    <row r="1367" spans="1:26" x14ac:dyDescent="0.3">
      <c r="A1367" t="s">
        <v>1472</v>
      </c>
      <c r="B1367" s="5">
        <v>46066</v>
      </c>
      <c r="C1367" s="5">
        <v>46068</v>
      </c>
      <c r="D1367" s="5">
        <v>46071</v>
      </c>
      <c r="E1367" s="5">
        <v>46072</v>
      </c>
      <c r="F1367" t="s">
        <v>31</v>
      </c>
      <c r="G1367" t="s">
        <v>52</v>
      </c>
      <c r="H1367" t="s">
        <v>22</v>
      </c>
      <c r="I1367" t="s">
        <v>43</v>
      </c>
      <c r="J1367">
        <v>321.3</v>
      </c>
      <c r="K1367">
        <v>2752.3</v>
      </c>
      <c r="L1367">
        <v>5032000</v>
      </c>
      <c r="M1367" t="b">
        <v>0</v>
      </c>
      <c r="N1367" t="b">
        <v>0</v>
      </c>
      <c r="O1367">
        <v>5000</v>
      </c>
      <c r="P1367" t="b">
        <v>0</v>
      </c>
      <c r="Q1367" t="b">
        <v>0</v>
      </c>
      <c r="R1367" t="b">
        <v>0</v>
      </c>
      <c r="S1367" t="s">
        <v>101</v>
      </c>
      <c r="T1367" t="s">
        <v>1618</v>
      </c>
      <c r="U1367">
        <v>55.046000000000006</v>
      </c>
      <c r="V1367">
        <v>0</v>
      </c>
      <c r="W1367">
        <v>0</v>
      </c>
      <c r="X1367">
        <v>4</v>
      </c>
      <c r="Y1367" s="6">
        <v>46054</v>
      </c>
      <c r="Z1367">
        <v>1</v>
      </c>
    </row>
    <row r="1368" spans="1:26" x14ac:dyDescent="0.3">
      <c r="A1368" t="s">
        <v>1473</v>
      </c>
      <c r="B1368" s="5">
        <v>46176</v>
      </c>
      <c r="C1368" s="5">
        <v>46176</v>
      </c>
      <c r="D1368" s="5">
        <v>46178</v>
      </c>
      <c r="E1368" s="5">
        <v>46178</v>
      </c>
      <c r="F1368" t="s">
        <v>34</v>
      </c>
      <c r="G1368" t="s">
        <v>57</v>
      </c>
      <c r="H1368" t="s">
        <v>22</v>
      </c>
      <c r="I1368" t="s">
        <v>43</v>
      </c>
      <c r="J1368">
        <v>164.9</v>
      </c>
      <c r="K1368">
        <v>3400.5</v>
      </c>
      <c r="L1368">
        <v>4462000</v>
      </c>
      <c r="M1368" t="b">
        <v>0</v>
      </c>
      <c r="N1368" t="b">
        <v>0</v>
      </c>
      <c r="O1368">
        <v>5000</v>
      </c>
      <c r="P1368" t="b">
        <v>0</v>
      </c>
      <c r="Q1368" t="b">
        <v>0</v>
      </c>
      <c r="R1368" t="b">
        <v>0</v>
      </c>
      <c r="S1368" t="s">
        <v>96</v>
      </c>
      <c r="T1368" t="s">
        <v>1620</v>
      </c>
      <c r="U1368">
        <v>68.010000000000005</v>
      </c>
      <c r="V1368">
        <v>0</v>
      </c>
      <c r="W1368">
        <v>0</v>
      </c>
      <c r="X1368">
        <v>2</v>
      </c>
      <c r="Y1368" s="6">
        <v>46174</v>
      </c>
    </row>
    <row r="1369" spans="1:26" x14ac:dyDescent="0.3">
      <c r="A1369" t="s">
        <v>1474</v>
      </c>
      <c r="B1369" s="5">
        <v>46168</v>
      </c>
      <c r="C1369" s="5">
        <v>46169</v>
      </c>
      <c r="D1369" s="5">
        <v>46173</v>
      </c>
      <c r="E1369" s="5">
        <v>46173</v>
      </c>
      <c r="F1369" t="s">
        <v>31</v>
      </c>
      <c r="G1369" t="s">
        <v>62</v>
      </c>
      <c r="H1369" t="s">
        <v>21</v>
      </c>
      <c r="I1369" t="s">
        <v>43</v>
      </c>
      <c r="J1369">
        <v>727</v>
      </c>
      <c r="K1369">
        <v>13471.3</v>
      </c>
      <c r="L1369">
        <v>15599000</v>
      </c>
      <c r="M1369" t="b">
        <v>0</v>
      </c>
      <c r="N1369" t="b">
        <v>0</v>
      </c>
      <c r="O1369">
        <v>5000</v>
      </c>
      <c r="P1369" t="b">
        <v>1</v>
      </c>
      <c r="Q1369" t="b">
        <v>0</v>
      </c>
      <c r="R1369" t="b">
        <v>1</v>
      </c>
      <c r="S1369" t="s">
        <v>96</v>
      </c>
      <c r="T1369" t="s">
        <v>1615</v>
      </c>
      <c r="V1369">
        <v>1</v>
      </c>
      <c r="W1369">
        <v>1</v>
      </c>
      <c r="X1369">
        <v>4</v>
      </c>
      <c r="Y1369" s="6">
        <v>46143</v>
      </c>
    </row>
    <row r="1370" spans="1:26" x14ac:dyDescent="0.3">
      <c r="A1370" t="s">
        <v>1475</v>
      </c>
      <c r="B1370" s="5">
        <v>46119</v>
      </c>
      <c r="C1370" s="5">
        <v>46119</v>
      </c>
      <c r="D1370" s="5">
        <v>46123</v>
      </c>
      <c r="E1370" s="5">
        <v>46123</v>
      </c>
      <c r="F1370" t="s">
        <v>31</v>
      </c>
      <c r="G1370" t="s">
        <v>62</v>
      </c>
      <c r="H1370" t="s">
        <v>22</v>
      </c>
      <c r="I1370" t="s">
        <v>43</v>
      </c>
      <c r="J1370">
        <v>770.1</v>
      </c>
      <c r="K1370">
        <v>1143.2</v>
      </c>
      <c r="L1370">
        <v>11151000</v>
      </c>
      <c r="M1370" t="b">
        <v>0</v>
      </c>
      <c r="N1370" t="b">
        <v>0</v>
      </c>
      <c r="O1370">
        <v>5000</v>
      </c>
      <c r="P1370" t="b">
        <v>0</v>
      </c>
      <c r="Q1370" t="b">
        <v>0</v>
      </c>
      <c r="R1370" t="b">
        <v>0</v>
      </c>
      <c r="S1370" t="s">
        <v>96</v>
      </c>
      <c r="T1370" t="s">
        <v>1615</v>
      </c>
      <c r="U1370">
        <v>22.864000000000001</v>
      </c>
      <c r="V1370">
        <v>0</v>
      </c>
      <c r="W1370">
        <v>0</v>
      </c>
      <c r="X1370">
        <v>4</v>
      </c>
      <c r="Y1370" s="6">
        <v>46113</v>
      </c>
    </row>
    <row r="1371" spans="1:26" x14ac:dyDescent="0.3">
      <c r="A1371" t="s">
        <v>1476</v>
      </c>
      <c r="B1371" s="5">
        <v>46100</v>
      </c>
      <c r="C1371" s="5">
        <v>46101</v>
      </c>
      <c r="D1371" s="5">
        <v>46105</v>
      </c>
      <c r="E1371" s="5">
        <v>46106</v>
      </c>
      <c r="F1371" t="s">
        <v>34</v>
      </c>
      <c r="G1371" t="s">
        <v>62</v>
      </c>
      <c r="H1371" t="s">
        <v>24</v>
      </c>
      <c r="I1371" t="s">
        <v>45</v>
      </c>
      <c r="J1371">
        <v>738.5</v>
      </c>
      <c r="K1371">
        <v>671</v>
      </c>
      <c r="L1371">
        <v>6536000</v>
      </c>
      <c r="M1371" t="b">
        <v>0</v>
      </c>
      <c r="N1371" t="b">
        <v>0</v>
      </c>
      <c r="O1371">
        <v>1000</v>
      </c>
      <c r="P1371" t="b">
        <v>0</v>
      </c>
      <c r="Q1371" t="b">
        <v>0</v>
      </c>
      <c r="R1371" t="b">
        <v>0</v>
      </c>
      <c r="S1371" t="s">
        <v>101</v>
      </c>
      <c r="T1371" t="s">
        <v>1649</v>
      </c>
      <c r="U1371">
        <v>67.100000000000009</v>
      </c>
      <c r="V1371">
        <v>0</v>
      </c>
      <c r="W1371">
        <v>0</v>
      </c>
      <c r="X1371">
        <v>5</v>
      </c>
      <c r="Y1371" s="6">
        <v>46082</v>
      </c>
      <c r="Z1371">
        <v>1</v>
      </c>
    </row>
    <row r="1372" spans="1:26" x14ac:dyDescent="0.3">
      <c r="A1372" t="s">
        <v>1477</v>
      </c>
      <c r="B1372" s="5">
        <v>46105</v>
      </c>
      <c r="C1372" s="5">
        <v>46106</v>
      </c>
      <c r="D1372" s="5">
        <v>46109</v>
      </c>
      <c r="E1372" s="5">
        <v>46110</v>
      </c>
      <c r="F1372" t="s">
        <v>33</v>
      </c>
      <c r="G1372" t="s">
        <v>55</v>
      </c>
      <c r="H1372" t="s">
        <v>23</v>
      </c>
      <c r="I1372" t="s">
        <v>43</v>
      </c>
      <c r="J1372">
        <v>599</v>
      </c>
      <c r="K1372">
        <v>2748.6</v>
      </c>
      <c r="L1372">
        <v>10245000</v>
      </c>
      <c r="M1372" t="b">
        <v>0</v>
      </c>
      <c r="N1372" t="b">
        <v>0</v>
      </c>
      <c r="O1372">
        <v>5000</v>
      </c>
      <c r="P1372" t="b">
        <v>0</v>
      </c>
      <c r="Q1372" t="b">
        <v>0</v>
      </c>
      <c r="R1372" t="b">
        <v>0</v>
      </c>
      <c r="S1372" t="s">
        <v>101</v>
      </c>
      <c r="T1372" t="s">
        <v>1626</v>
      </c>
      <c r="U1372">
        <v>54.972000000000001</v>
      </c>
      <c r="V1372">
        <v>0</v>
      </c>
      <c r="W1372">
        <v>0</v>
      </c>
      <c r="X1372">
        <v>4</v>
      </c>
      <c r="Y1372" s="6">
        <v>46082</v>
      </c>
      <c r="Z1372">
        <v>1</v>
      </c>
    </row>
    <row r="1373" spans="1:26" x14ac:dyDescent="0.3">
      <c r="A1373" t="s">
        <v>1478</v>
      </c>
      <c r="B1373" s="5">
        <v>46087</v>
      </c>
      <c r="C1373" s="5">
        <v>46087</v>
      </c>
      <c r="D1373" s="5">
        <v>46089</v>
      </c>
      <c r="E1373" s="5">
        <v>46090</v>
      </c>
      <c r="F1373" t="s">
        <v>32</v>
      </c>
      <c r="G1373" t="s">
        <v>61</v>
      </c>
      <c r="H1373" t="s">
        <v>22</v>
      </c>
      <c r="I1373" t="s">
        <v>43</v>
      </c>
      <c r="J1373">
        <v>146.19999999999999</v>
      </c>
      <c r="K1373">
        <v>3560.2</v>
      </c>
      <c r="L1373">
        <v>3956000</v>
      </c>
      <c r="M1373" t="b">
        <v>0</v>
      </c>
      <c r="N1373" t="b">
        <v>0</v>
      </c>
      <c r="O1373">
        <v>5000</v>
      </c>
      <c r="P1373" t="b">
        <v>0</v>
      </c>
      <c r="Q1373" t="b">
        <v>0</v>
      </c>
      <c r="R1373" t="b">
        <v>0</v>
      </c>
      <c r="S1373" t="s">
        <v>101</v>
      </c>
      <c r="T1373" t="s">
        <v>1653</v>
      </c>
      <c r="U1373">
        <v>71.204000000000008</v>
      </c>
      <c r="V1373">
        <v>0</v>
      </c>
      <c r="W1373">
        <v>0</v>
      </c>
      <c r="X1373">
        <v>3</v>
      </c>
      <c r="Y1373" s="6">
        <v>46082</v>
      </c>
      <c r="Z1373">
        <v>1</v>
      </c>
    </row>
    <row r="1374" spans="1:26" x14ac:dyDescent="0.3">
      <c r="A1374" t="s">
        <v>1479</v>
      </c>
      <c r="B1374" s="5">
        <v>46097</v>
      </c>
      <c r="C1374" s="5">
        <v>46097</v>
      </c>
      <c r="D1374" s="5">
        <v>46101</v>
      </c>
      <c r="E1374" s="5">
        <v>46101</v>
      </c>
      <c r="F1374" t="s">
        <v>33</v>
      </c>
      <c r="G1374" t="s">
        <v>54</v>
      </c>
      <c r="H1374" t="s">
        <v>20</v>
      </c>
      <c r="I1374" t="s">
        <v>43</v>
      </c>
      <c r="J1374">
        <v>975</v>
      </c>
      <c r="K1374">
        <v>2982.6</v>
      </c>
      <c r="L1374">
        <v>12647000</v>
      </c>
      <c r="M1374" t="b">
        <v>0</v>
      </c>
      <c r="N1374" t="b">
        <v>0</v>
      </c>
      <c r="O1374">
        <v>5000</v>
      </c>
      <c r="P1374" t="b">
        <v>0</v>
      </c>
      <c r="Q1374" t="b">
        <v>0</v>
      </c>
      <c r="R1374" t="b">
        <v>0</v>
      </c>
      <c r="S1374" t="s">
        <v>96</v>
      </c>
      <c r="T1374" t="s">
        <v>1642</v>
      </c>
      <c r="U1374">
        <v>59.651999999999987</v>
      </c>
      <c r="V1374">
        <v>0</v>
      </c>
      <c r="W1374">
        <v>0</v>
      </c>
      <c r="X1374">
        <v>4</v>
      </c>
      <c r="Y1374" s="6">
        <v>46082</v>
      </c>
    </row>
    <row r="1375" spans="1:26" x14ac:dyDescent="0.3">
      <c r="A1375" t="s">
        <v>1480</v>
      </c>
      <c r="B1375" s="5">
        <v>46152</v>
      </c>
      <c r="C1375" s="5">
        <v>46152</v>
      </c>
      <c r="D1375" s="5">
        <v>46155</v>
      </c>
      <c r="E1375" s="5">
        <v>46156</v>
      </c>
      <c r="F1375" t="s">
        <v>32</v>
      </c>
      <c r="G1375" t="s">
        <v>60</v>
      </c>
      <c r="H1375" t="s">
        <v>22</v>
      </c>
      <c r="I1375" t="s">
        <v>43</v>
      </c>
      <c r="J1375">
        <v>455.5</v>
      </c>
      <c r="K1375">
        <v>3912.9</v>
      </c>
      <c r="L1375">
        <v>8060000</v>
      </c>
      <c r="M1375" t="b">
        <v>0</v>
      </c>
      <c r="N1375" t="b">
        <v>0</v>
      </c>
      <c r="O1375">
        <v>5000</v>
      </c>
      <c r="P1375" t="b">
        <v>0</v>
      </c>
      <c r="Q1375" t="b">
        <v>0</v>
      </c>
      <c r="R1375" t="b">
        <v>0</v>
      </c>
      <c r="S1375" t="s">
        <v>101</v>
      </c>
      <c r="T1375" t="s">
        <v>1647</v>
      </c>
      <c r="U1375">
        <v>78.25800000000001</v>
      </c>
      <c r="V1375">
        <v>0</v>
      </c>
      <c r="W1375">
        <v>0</v>
      </c>
      <c r="X1375">
        <v>4</v>
      </c>
      <c r="Y1375" s="6">
        <v>46143</v>
      </c>
      <c r="Z1375">
        <v>1</v>
      </c>
    </row>
    <row r="1376" spans="1:26" x14ac:dyDescent="0.3">
      <c r="A1376" t="s">
        <v>1481</v>
      </c>
      <c r="B1376" s="5">
        <v>46133</v>
      </c>
      <c r="C1376" s="5">
        <v>46133</v>
      </c>
      <c r="D1376" s="5">
        <v>46134</v>
      </c>
      <c r="E1376" s="5">
        <v>46134</v>
      </c>
      <c r="F1376" t="s">
        <v>34</v>
      </c>
      <c r="G1376" t="s">
        <v>61</v>
      </c>
      <c r="H1376" t="s">
        <v>24</v>
      </c>
      <c r="I1376" t="s">
        <v>43</v>
      </c>
      <c r="J1376">
        <v>29.2</v>
      </c>
      <c r="K1376">
        <v>4017.1</v>
      </c>
      <c r="L1376">
        <v>2507000</v>
      </c>
      <c r="M1376" t="b">
        <v>0</v>
      </c>
      <c r="N1376" t="b">
        <v>0</v>
      </c>
      <c r="O1376">
        <v>5000</v>
      </c>
      <c r="P1376" t="b">
        <v>0</v>
      </c>
      <c r="Q1376" t="b">
        <v>0</v>
      </c>
      <c r="R1376" t="b">
        <v>0</v>
      </c>
      <c r="S1376" t="s">
        <v>96</v>
      </c>
      <c r="T1376" t="s">
        <v>1638</v>
      </c>
      <c r="U1376">
        <v>80.341999999999999</v>
      </c>
      <c r="V1376">
        <v>0</v>
      </c>
      <c r="W1376">
        <v>0</v>
      </c>
      <c r="X1376">
        <v>1</v>
      </c>
      <c r="Y1376" s="6">
        <v>46113</v>
      </c>
    </row>
    <row r="1377" spans="1:26" x14ac:dyDescent="0.3">
      <c r="A1377" t="s">
        <v>1482</v>
      </c>
      <c r="B1377" s="5">
        <v>46159</v>
      </c>
      <c r="C1377" s="5">
        <v>46160</v>
      </c>
      <c r="D1377" s="5">
        <v>46164</v>
      </c>
      <c r="E1377" s="5">
        <v>46164</v>
      </c>
      <c r="F1377" t="s">
        <v>33</v>
      </c>
      <c r="G1377" t="s">
        <v>61</v>
      </c>
      <c r="H1377" t="s">
        <v>22</v>
      </c>
      <c r="I1377" t="s">
        <v>43</v>
      </c>
      <c r="J1377">
        <v>616.6</v>
      </c>
      <c r="K1377">
        <v>4060.5</v>
      </c>
      <c r="L1377">
        <v>10181000</v>
      </c>
      <c r="M1377" t="b">
        <v>0</v>
      </c>
      <c r="N1377" t="b">
        <v>0</v>
      </c>
      <c r="O1377">
        <v>5000</v>
      </c>
      <c r="P1377" t="b">
        <v>0</v>
      </c>
      <c r="Q1377" t="b">
        <v>0</v>
      </c>
      <c r="R1377" t="b">
        <v>0</v>
      </c>
      <c r="S1377" t="s">
        <v>96</v>
      </c>
      <c r="T1377" t="s">
        <v>1643</v>
      </c>
      <c r="U1377">
        <v>81.210000000000008</v>
      </c>
      <c r="V1377">
        <v>0</v>
      </c>
      <c r="W1377">
        <v>0</v>
      </c>
      <c r="X1377">
        <v>4</v>
      </c>
      <c r="Y1377" s="6">
        <v>46143</v>
      </c>
    </row>
    <row r="1378" spans="1:26" x14ac:dyDescent="0.3">
      <c r="A1378" t="s">
        <v>1483</v>
      </c>
      <c r="B1378" s="5">
        <v>46159</v>
      </c>
      <c r="C1378" s="5">
        <v>46161</v>
      </c>
      <c r="D1378" s="5">
        <v>46163</v>
      </c>
      <c r="E1378" s="5">
        <v>46163</v>
      </c>
      <c r="F1378" t="s">
        <v>31</v>
      </c>
      <c r="G1378" t="s">
        <v>52</v>
      </c>
      <c r="H1378" t="s">
        <v>24</v>
      </c>
      <c r="I1378" t="s">
        <v>45</v>
      </c>
      <c r="J1378">
        <v>291.89999999999998</v>
      </c>
      <c r="K1378">
        <v>124.1</v>
      </c>
      <c r="L1378">
        <v>2905000</v>
      </c>
      <c r="M1378" t="b">
        <v>0</v>
      </c>
      <c r="N1378" t="b">
        <v>0</v>
      </c>
      <c r="O1378">
        <v>1000</v>
      </c>
      <c r="P1378" t="b">
        <v>0</v>
      </c>
      <c r="Q1378" t="b">
        <v>0</v>
      </c>
      <c r="R1378" t="b">
        <v>0</v>
      </c>
      <c r="S1378" t="s">
        <v>96</v>
      </c>
      <c r="T1378" t="s">
        <v>1618</v>
      </c>
      <c r="U1378">
        <v>12.41</v>
      </c>
      <c r="V1378">
        <v>0</v>
      </c>
      <c r="W1378">
        <v>0</v>
      </c>
      <c r="X1378">
        <v>2</v>
      </c>
      <c r="Y1378" s="6">
        <v>46143</v>
      </c>
    </row>
    <row r="1379" spans="1:26" x14ac:dyDescent="0.3">
      <c r="A1379" t="s">
        <v>1484</v>
      </c>
      <c r="B1379" s="5">
        <v>46070</v>
      </c>
      <c r="C1379" s="5">
        <v>46071</v>
      </c>
      <c r="D1379" s="5">
        <v>46074</v>
      </c>
      <c r="E1379" s="5">
        <v>46076</v>
      </c>
      <c r="F1379" t="s">
        <v>32</v>
      </c>
      <c r="G1379" t="s">
        <v>52</v>
      </c>
      <c r="H1379" t="s">
        <v>23</v>
      </c>
      <c r="I1379" t="s">
        <v>43</v>
      </c>
      <c r="J1379">
        <v>341.3</v>
      </c>
      <c r="K1379">
        <v>3600.3</v>
      </c>
      <c r="L1379">
        <v>5834000</v>
      </c>
      <c r="M1379" t="b">
        <v>0</v>
      </c>
      <c r="N1379" t="b">
        <v>0</v>
      </c>
      <c r="O1379">
        <v>5000</v>
      </c>
      <c r="P1379" t="b">
        <v>0</v>
      </c>
      <c r="Q1379" t="b">
        <v>0</v>
      </c>
      <c r="R1379" t="b">
        <v>0</v>
      </c>
      <c r="S1379" t="s">
        <v>101</v>
      </c>
      <c r="T1379" t="s">
        <v>1611</v>
      </c>
      <c r="U1379">
        <v>72.006</v>
      </c>
      <c r="V1379">
        <v>0</v>
      </c>
      <c r="W1379">
        <v>0</v>
      </c>
      <c r="X1379">
        <v>5</v>
      </c>
      <c r="Y1379" s="6">
        <v>46054</v>
      </c>
      <c r="Z1379">
        <v>2</v>
      </c>
    </row>
    <row r="1380" spans="1:26" x14ac:dyDescent="0.3">
      <c r="A1380" t="s">
        <v>1485</v>
      </c>
      <c r="B1380" s="5">
        <v>46091</v>
      </c>
      <c r="C1380" s="5">
        <v>46092</v>
      </c>
      <c r="D1380" s="5">
        <v>46093</v>
      </c>
      <c r="E1380" s="5">
        <v>46093</v>
      </c>
      <c r="F1380" t="s">
        <v>31</v>
      </c>
      <c r="G1380" t="s">
        <v>61</v>
      </c>
      <c r="H1380" t="s">
        <v>20</v>
      </c>
      <c r="I1380" t="s">
        <v>44</v>
      </c>
      <c r="J1380">
        <v>58.4</v>
      </c>
      <c r="K1380">
        <v>511.1</v>
      </c>
      <c r="L1380">
        <v>1308000</v>
      </c>
      <c r="M1380" t="b">
        <v>0</v>
      </c>
      <c r="N1380" t="b">
        <v>0</v>
      </c>
      <c r="O1380">
        <v>1500</v>
      </c>
      <c r="P1380" t="b">
        <v>0</v>
      </c>
      <c r="Q1380" t="b">
        <v>0</v>
      </c>
      <c r="R1380" t="b">
        <v>0</v>
      </c>
      <c r="S1380" t="s">
        <v>96</v>
      </c>
      <c r="T1380" t="s">
        <v>1645</v>
      </c>
      <c r="U1380">
        <v>34.073333333333331</v>
      </c>
      <c r="V1380">
        <v>0</v>
      </c>
      <c r="W1380">
        <v>0</v>
      </c>
      <c r="X1380">
        <v>1</v>
      </c>
      <c r="Y1380" s="6">
        <v>46082</v>
      </c>
    </row>
    <row r="1381" spans="1:26" x14ac:dyDescent="0.3">
      <c r="A1381" t="s">
        <v>1486</v>
      </c>
      <c r="B1381" s="5">
        <v>46192</v>
      </c>
      <c r="C1381" s="5">
        <v>46193</v>
      </c>
      <c r="D1381" s="5">
        <v>46196</v>
      </c>
      <c r="E1381" s="5">
        <v>46196</v>
      </c>
      <c r="F1381" t="s">
        <v>34</v>
      </c>
      <c r="G1381" t="s">
        <v>63</v>
      </c>
      <c r="H1381" t="s">
        <v>21</v>
      </c>
      <c r="I1381" t="s">
        <v>45</v>
      </c>
      <c r="J1381">
        <v>317.89999999999998</v>
      </c>
      <c r="K1381">
        <v>649.79999999999995</v>
      </c>
      <c r="L1381">
        <v>3936000</v>
      </c>
      <c r="M1381" t="b">
        <v>0</v>
      </c>
      <c r="N1381" t="b">
        <v>0</v>
      </c>
      <c r="O1381">
        <v>1000</v>
      </c>
      <c r="P1381" t="b">
        <v>0</v>
      </c>
      <c r="Q1381" t="b">
        <v>0</v>
      </c>
      <c r="R1381" t="b">
        <v>0</v>
      </c>
      <c r="S1381" t="s">
        <v>96</v>
      </c>
      <c r="T1381" t="s">
        <v>1613</v>
      </c>
      <c r="U1381">
        <v>64.97999999999999</v>
      </c>
      <c r="V1381">
        <v>0</v>
      </c>
      <c r="W1381">
        <v>0</v>
      </c>
      <c r="X1381">
        <v>3</v>
      </c>
      <c r="Y1381" s="6">
        <v>46174</v>
      </c>
    </row>
    <row r="1382" spans="1:26" x14ac:dyDescent="0.3">
      <c r="A1382" t="s">
        <v>1487</v>
      </c>
      <c r="B1382" s="5">
        <v>46037</v>
      </c>
      <c r="C1382" s="5">
        <v>46037</v>
      </c>
      <c r="D1382" s="5">
        <v>46038</v>
      </c>
      <c r="E1382" s="5">
        <v>46038</v>
      </c>
      <c r="F1382" t="s">
        <v>34</v>
      </c>
      <c r="G1382" t="s">
        <v>61</v>
      </c>
      <c r="H1382" t="s">
        <v>20</v>
      </c>
      <c r="I1382" t="s">
        <v>42</v>
      </c>
      <c r="J1382">
        <v>18</v>
      </c>
      <c r="K1382">
        <v>4938.5</v>
      </c>
      <c r="L1382">
        <v>2788000</v>
      </c>
      <c r="M1382" t="b">
        <v>0</v>
      </c>
      <c r="N1382" t="b">
        <v>0</v>
      </c>
      <c r="O1382">
        <v>16000</v>
      </c>
      <c r="P1382" t="b">
        <v>0</v>
      </c>
      <c r="Q1382" t="b">
        <v>0</v>
      </c>
      <c r="R1382" t="b">
        <v>0</v>
      </c>
      <c r="S1382" t="s">
        <v>96</v>
      </c>
      <c r="T1382" t="s">
        <v>1638</v>
      </c>
      <c r="U1382">
        <v>30.865625000000001</v>
      </c>
      <c r="V1382">
        <v>0</v>
      </c>
      <c r="W1382">
        <v>0</v>
      </c>
      <c r="X1382">
        <v>1</v>
      </c>
      <c r="Y1382" s="6">
        <v>46023</v>
      </c>
    </row>
    <row r="1383" spans="1:26" x14ac:dyDescent="0.3">
      <c r="A1383" t="s">
        <v>1488</v>
      </c>
      <c r="B1383" s="5">
        <v>46105</v>
      </c>
      <c r="C1383" s="5">
        <v>46106</v>
      </c>
      <c r="D1383" s="5">
        <v>46109</v>
      </c>
      <c r="E1383" s="5">
        <v>46109</v>
      </c>
      <c r="F1383" t="s">
        <v>34</v>
      </c>
      <c r="G1383" t="s">
        <v>63</v>
      </c>
      <c r="H1383" t="s">
        <v>24</v>
      </c>
      <c r="I1383" t="s">
        <v>45</v>
      </c>
      <c r="J1383">
        <v>312</v>
      </c>
      <c r="K1383">
        <v>322.2</v>
      </c>
      <c r="L1383">
        <v>3350000</v>
      </c>
      <c r="M1383" t="b">
        <v>0</v>
      </c>
      <c r="N1383" t="b">
        <v>0</v>
      </c>
      <c r="O1383">
        <v>1000</v>
      </c>
      <c r="P1383" t="b">
        <v>0</v>
      </c>
      <c r="Q1383" t="b">
        <v>0</v>
      </c>
      <c r="R1383" t="b">
        <v>0</v>
      </c>
      <c r="S1383" t="s">
        <v>96</v>
      </c>
      <c r="T1383" t="s">
        <v>1613</v>
      </c>
      <c r="U1383">
        <v>32.22</v>
      </c>
      <c r="V1383">
        <v>0</v>
      </c>
      <c r="W1383">
        <v>0</v>
      </c>
      <c r="X1383">
        <v>3</v>
      </c>
      <c r="Y1383" s="6">
        <v>46082</v>
      </c>
    </row>
    <row r="1384" spans="1:26" x14ac:dyDescent="0.3">
      <c r="A1384" t="s">
        <v>1489</v>
      </c>
      <c r="B1384" s="5">
        <v>46151</v>
      </c>
      <c r="C1384" s="5">
        <v>46152</v>
      </c>
      <c r="D1384" s="5">
        <v>46154</v>
      </c>
      <c r="E1384" s="5">
        <v>46154</v>
      </c>
      <c r="F1384" t="s">
        <v>31</v>
      </c>
      <c r="G1384" t="s">
        <v>57</v>
      </c>
      <c r="H1384" t="s">
        <v>23</v>
      </c>
      <c r="I1384" t="s">
        <v>42</v>
      </c>
      <c r="J1384">
        <v>138.5</v>
      </c>
      <c r="K1384">
        <v>3696.4</v>
      </c>
      <c r="L1384">
        <v>5523000</v>
      </c>
      <c r="M1384" t="b">
        <v>0</v>
      </c>
      <c r="N1384" t="b">
        <v>0</v>
      </c>
      <c r="O1384">
        <v>16000</v>
      </c>
      <c r="P1384" t="b">
        <v>0</v>
      </c>
      <c r="Q1384" t="b">
        <v>0</v>
      </c>
      <c r="R1384" t="b">
        <v>0</v>
      </c>
      <c r="S1384" t="s">
        <v>96</v>
      </c>
      <c r="T1384" t="s">
        <v>1617</v>
      </c>
      <c r="U1384">
        <v>23.102499999999999</v>
      </c>
      <c r="V1384">
        <v>0</v>
      </c>
      <c r="W1384">
        <v>0</v>
      </c>
      <c r="X1384">
        <v>2</v>
      </c>
      <c r="Y1384" s="6">
        <v>46143</v>
      </c>
    </row>
    <row r="1385" spans="1:26" x14ac:dyDescent="0.3">
      <c r="A1385" t="s">
        <v>1490</v>
      </c>
      <c r="B1385" s="5">
        <v>46122</v>
      </c>
      <c r="C1385" s="5">
        <v>46123</v>
      </c>
      <c r="D1385" s="5">
        <v>46127</v>
      </c>
      <c r="E1385" s="5">
        <v>46126</v>
      </c>
      <c r="F1385" t="s">
        <v>34</v>
      </c>
      <c r="G1385" t="s">
        <v>60</v>
      </c>
      <c r="H1385" t="s">
        <v>21</v>
      </c>
      <c r="I1385" t="s">
        <v>44</v>
      </c>
      <c r="J1385">
        <v>641.79999999999995</v>
      </c>
      <c r="K1385">
        <v>450.3</v>
      </c>
      <c r="L1385">
        <v>6251000</v>
      </c>
      <c r="M1385" t="b">
        <v>0</v>
      </c>
      <c r="N1385" t="b">
        <v>0</v>
      </c>
      <c r="O1385">
        <v>1500</v>
      </c>
      <c r="P1385" t="b">
        <v>0</v>
      </c>
      <c r="Q1385" t="b">
        <v>0</v>
      </c>
      <c r="R1385" t="b">
        <v>0</v>
      </c>
      <c r="S1385" t="s">
        <v>96</v>
      </c>
      <c r="T1385" t="s">
        <v>1644</v>
      </c>
      <c r="U1385">
        <v>30.02</v>
      </c>
      <c r="V1385">
        <v>0</v>
      </c>
      <c r="W1385">
        <v>0</v>
      </c>
      <c r="X1385">
        <v>3</v>
      </c>
      <c r="Y1385" s="6">
        <v>46113</v>
      </c>
    </row>
    <row r="1386" spans="1:26" x14ac:dyDescent="0.3">
      <c r="A1386" t="s">
        <v>1491</v>
      </c>
      <c r="B1386" s="5">
        <v>46080</v>
      </c>
      <c r="C1386" s="5">
        <v>46081</v>
      </c>
      <c r="D1386" s="5">
        <v>46084</v>
      </c>
      <c r="E1386" s="5">
        <v>46085</v>
      </c>
      <c r="F1386" t="s">
        <v>31</v>
      </c>
      <c r="G1386" t="s">
        <v>60</v>
      </c>
      <c r="H1386" t="s">
        <v>22</v>
      </c>
      <c r="I1386" t="s">
        <v>43</v>
      </c>
      <c r="J1386">
        <v>567.20000000000005</v>
      </c>
      <c r="K1386">
        <v>4440.2</v>
      </c>
      <c r="L1386">
        <v>10258000</v>
      </c>
      <c r="M1386" t="b">
        <v>0</v>
      </c>
      <c r="N1386" t="b">
        <v>0</v>
      </c>
      <c r="O1386">
        <v>5000</v>
      </c>
      <c r="P1386" t="b">
        <v>0</v>
      </c>
      <c r="Q1386" t="b">
        <v>0</v>
      </c>
      <c r="R1386" t="b">
        <v>0</v>
      </c>
      <c r="S1386" t="s">
        <v>101</v>
      </c>
      <c r="T1386" t="s">
        <v>1652</v>
      </c>
      <c r="U1386">
        <v>88.803999999999988</v>
      </c>
      <c r="V1386">
        <v>0</v>
      </c>
      <c r="W1386">
        <v>0</v>
      </c>
      <c r="X1386">
        <v>4</v>
      </c>
      <c r="Y1386" s="6">
        <v>46054</v>
      </c>
      <c r="Z1386">
        <v>1</v>
      </c>
    </row>
    <row r="1387" spans="1:26" x14ac:dyDescent="0.3">
      <c r="A1387" t="s">
        <v>1492</v>
      </c>
      <c r="B1387" s="5">
        <v>46131</v>
      </c>
      <c r="C1387" s="5">
        <v>46132</v>
      </c>
      <c r="D1387" s="5">
        <v>46134</v>
      </c>
      <c r="E1387" s="5">
        <v>46134</v>
      </c>
      <c r="F1387" t="s">
        <v>34</v>
      </c>
      <c r="G1387" t="s">
        <v>52</v>
      </c>
      <c r="H1387" t="s">
        <v>20</v>
      </c>
      <c r="I1387" t="s">
        <v>42</v>
      </c>
      <c r="J1387">
        <v>273.3</v>
      </c>
      <c r="K1387">
        <v>12634.6</v>
      </c>
      <c r="L1387">
        <v>8676000</v>
      </c>
      <c r="M1387" t="b">
        <v>0</v>
      </c>
      <c r="N1387" t="b">
        <v>0</v>
      </c>
      <c r="O1387">
        <v>16000</v>
      </c>
      <c r="P1387" t="b">
        <v>0</v>
      </c>
      <c r="Q1387" t="b">
        <v>0</v>
      </c>
      <c r="R1387" t="b">
        <v>0</v>
      </c>
      <c r="S1387" t="s">
        <v>96</v>
      </c>
      <c r="T1387" t="s">
        <v>1623</v>
      </c>
      <c r="U1387">
        <v>78.966250000000002</v>
      </c>
      <c r="V1387">
        <v>0</v>
      </c>
      <c r="W1387">
        <v>0</v>
      </c>
      <c r="X1387">
        <v>2</v>
      </c>
      <c r="Y1387" s="6">
        <v>46113</v>
      </c>
    </row>
    <row r="1388" spans="1:26" x14ac:dyDescent="0.3">
      <c r="A1388" t="s">
        <v>1493</v>
      </c>
      <c r="B1388" s="5">
        <v>46117</v>
      </c>
      <c r="C1388" s="5">
        <v>46119</v>
      </c>
      <c r="D1388" s="5">
        <v>46121</v>
      </c>
      <c r="E1388" s="5">
        <v>46121</v>
      </c>
      <c r="F1388" t="s">
        <v>31</v>
      </c>
      <c r="G1388" t="s">
        <v>57</v>
      </c>
      <c r="H1388" t="s">
        <v>20</v>
      </c>
      <c r="I1388" t="s">
        <v>44</v>
      </c>
      <c r="J1388">
        <v>135.5</v>
      </c>
      <c r="K1388">
        <v>994.8</v>
      </c>
      <c r="L1388">
        <v>2439000</v>
      </c>
      <c r="M1388" t="b">
        <v>0</v>
      </c>
      <c r="N1388" t="b">
        <v>0</v>
      </c>
      <c r="O1388">
        <v>1500</v>
      </c>
      <c r="P1388" t="b">
        <v>0</v>
      </c>
      <c r="Q1388" t="b">
        <v>0</v>
      </c>
      <c r="R1388" t="b">
        <v>0</v>
      </c>
      <c r="S1388" t="s">
        <v>96</v>
      </c>
      <c r="T1388" t="s">
        <v>1617</v>
      </c>
      <c r="U1388">
        <v>66.320000000000007</v>
      </c>
      <c r="V1388">
        <v>0</v>
      </c>
      <c r="W1388">
        <v>0</v>
      </c>
      <c r="X1388">
        <v>2</v>
      </c>
      <c r="Y1388" s="6">
        <v>46113</v>
      </c>
    </row>
    <row r="1389" spans="1:26" x14ac:dyDescent="0.3">
      <c r="A1389" t="s">
        <v>1494</v>
      </c>
      <c r="B1389" s="5">
        <v>46092</v>
      </c>
      <c r="C1389" s="5">
        <v>46094</v>
      </c>
      <c r="D1389" s="5">
        <v>46098</v>
      </c>
      <c r="E1389" s="5">
        <v>46099</v>
      </c>
      <c r="F1389" t="s">
        <v>34</v>
      </c>
      <c r="G1389" t="s">
        <v>62</v>
      </c>
      <c r="H1389" t="s">
        <v>24</v>
      </c>
      <c r="I1389" t="s">
        <v>42</v>
      </c>
      <c r="J1389">
        <v>785.1</v>
      </c>
      <c r="K1389">
        <v>3225.3</v>
      </c>
      <c r="L1389">
        <v>14482000</v>
      </c>
      <c r="M1389" t="b">
        <v>0</v>
      </c>
      <c r="N1389" t="b">
        <v>0</v>
      </c>
      <c r="O1389">
        <v>16000</v>
      </c>
      <c r="P1389" t="b">
        <v>0</v>
      </c>
      <c r="Q1389" t="b">
        <v>0</v>
      </c>
      <c r="R1389" t="b">
        <v>0</v>
      </c>
      <c r="S1389" t="s">
        <v>101</v>
      </c>
      <c r="T1389" t="s">
        <v>1649</v>
      </c>
      <c r="U1389">
        <v>20.158124999999998</v>
      </c>
      <c r="V1389">
        <v>0</v>
      </c>
      <c r="W1389">
        <v>0</v>
      </c>
      <c r="X1389">
        <v>5</v>
      </c>
      <c r="Y1389" s="6">
        <v>46082</v>
      </c>
      <c r="Z1389">
        <v>1</v>
      </c>
    </row>
    <row r="1390" spans="1:26" x14ac:dyDescent="0.3">
      <c r="A1390" t="s">
        <v>1495</v>
      </c>
      <c r="B1390" s="5">
        <v>46152</v>
      </c>
      <c r="C1390" s="5">
        <v>46153</v>
      </c>
      <c r="D1390" s="5">
        <v>46156</v>
      </c>
      <c r="E1390" s="5">
        <v>46158</v>
      </c>
      <c r="F1390" t="s">
        <v>34</v>
      </c>
      <c r="G1390" t="s">
        <v>59</v>
      </c>
      <c r="H1390" t="s">
        <v>20</v>
      </c>
      <c r="I1390" t="s">
        <v>45</v>
      </c>
      <c r="J1390">
        <v>336.8</v>
      </c>
      <c r="K1390">
        <v>183.9</v>
      </c>
      <c r="L1390">
        <v>3960000</v>
      </c>
      <c r="M1390" t="b">
        <v>0</v>
      </c>
      <c r="N1390" t="b">
        <v>0</v>
      </c>
      <c r="O1390">
        <v>1000</v>
      </c>
      <c r="P1390" t="b">
        <v>0</v>
      </c>
      <c r="Q1390" t="b">
        <v>0</v>
      </c>
      <c r="R1390" t="b">
        <v>0</v>
      </c>
      <c r="S1390" t="s">
        <v>101</v>
      </c>
      <c r="T1390" t="s">
        <v>1616</v>
      </c>
      <c r="U1390">
        <v>18.39</v>
      </c>
      <c r="V1390">
        <v>0</v>
      </c>
      <c r="W1390">
        <v>0</v>
      </c>
      <c r="X1390">
        <v>5</v>
      </c>
      <c r="Y1390" s="6">
        <v>46143</v>
      </c>
      <c r="Z1390">
        <v>2</v>
      </c>
    </row>
    <row r="1391" spans="1:26" x14ac:dyDescent="0.3">
      <c r="A1391" t="s">
        <v>1496</v>
      </c>
      <c r="B1391" s="5">
        <v>46123</v>
      </c>
      <c r="C1391" s="5">
        <v>46124</v>
      </c>
      <c r="D1391" s="5">
        <v>46126</v>
      </c>
      <c r="E1391" s="5">
        <v>46128</v>
      </c>
      <c r="F1391" t="s">
        <v>31</v>
      </c>
      <c r="G1391" t="s">
        <v>52</v>
      </c>
      <c r="H1391" t="s">
        <v>24</v>
      </c>
      <c r="I1391" t="s">
        <v>45</v>
      </c>
      <c r="J1391">
        <v>274.7</v>
      </c>
      <c r="K1391">
        <v>547.4</v>
      </c>
      <c r="L1391">
        <v>2672000</v>
      </c>
      <c r="M1391" t="b">
        <v>0</v>
      </c>
      <c r="N1391" t="b">
        <v>0</v>
      </c>
      <c r="O1391">
        <v>1000</v>
      </c>
      <c r="P1391" t="b">
        <v>0</v>
      </c>
      <c r="Q1391" t="b">
        <v>0</v>
      </c>
      <c r="R1391" t="b">
        <v>0</v>
      </c>
      <c r="S1391" t="s">
        <v>101</v>
      </c>
      <c r="T1391" t="s">
        <v>1618</v>
      </c>
      <c r="U1391">
        <v>54.74</v>
      </c>
      <c r="V1391">
        <v>0</v>
      </c>
      <c r="W1391">
        <v>0</v>
      </c>
      <c r="X1391">
        <v>4</v>
      </c>
      <c r="Y1391" s="6">
        <v>46113</v>
      </c>
      <c r="Z1391">
        <v>2</v>
      </c>
    </row>
    <row r="1392" spans="1:26" x14ac:dyDescent="0.3">
      <c r="A1392" t="s">
        <v>1497</v>
      </c>
      <c r="B1392" s="5">
        <v>46174</v>
      </c>
      <c r="C1392" s="5">
        <v>46175</v>
      </c>
      <c r="D1392" s="5">
        <v>46179</v>
      </c>
      <c r="E1392" s="5">
        <v>46179</v>
      </c>
      <c r="F1392" t="s">
        <v>34</v>
      </c>
      <c r="G1392" t="s">
        <v>59</v>
      </c>
      <c r="H1392" t="s">
        <v>23</v>
      </c>
      <c r="I1392" t="s">
        <v>43</v>
      </c>
      <c r="J1392">
        <v>323.89999999999998</v>
      </c>
      <c r="K1392">
        <v>3839</v>
      </c>
      <c r="L1392">
        <v>6517000</v>
      </c>
      <c r="M1392" t="b">
        <v>0</v>
      </c>
      <c r="N1392" t="b">
        <v>0</v>
      </c>
      <c r="O1392">
        <v>5000</v>
      </c>
      <c r="P1392" t="b">
        <v>0</v>
      </c>
      <c r="Q1392" t="b">
        <v>0</v>
      </c>
      <c r="R1392" t="b">
        <v>0</v>
      </c>
      <c r="S1392" t="s">
        <v>96</v>
      </c>
      <c r="T1392" t="s">
        <v>1616</v>
      </c>
      <c r="U1392">
        <v>76.78</v>
      </c>
      <c r="V1392">
        <v>0</v>
      </c>
      <c r="W1392">
        <v>0</v>
      </c>
      <c r="X1392">
        <v>4</v>
      </c>
      <c r="Y1392" s="6">
        <v>46174</v>
      </c>
    </row>
    <row r="1393" spans="1:26" x14ac:dyDescent="0.3">
      <c r="A1393" t="s">
        <v>1498</v>
      </c>
      <c r="B1393" s="5">
        <v>46129</v>
      </c>
      <c r="C1393" s="5">
        <v>46130</v>
      </c>
      <c r="D1393" s="5">
        <v>46135</v>
      </c>
      <c r="E1393" s="5">
        <v>46136</v>
      </c>
      <c r="F1393" t="s">
        <v>33</v>
      </c>
      <c r="G1393" t="s">
        <v>61</v>
      </c>
      <c r="H1393" t="s">
        <v>20</v>
      </c>
      <c r="I1393" t="s">
        <v>42</v>
      </c>
      <c r="J1393">
        <v>616.6</v>
      </c>
      <c r="K1393">
        <v>9595.7999999999993</v>
      </c>
      <c r="L1393">
        <v>14270000</v>
      </c>
      <c r="M1393" t="b">
        <v>0</v>
      </c>
      <c r="N1393" t="b">
        <v>0</v>
      </c>
      <c r="O1393">
        <v>16000</v>
      </c>
      <c r="P1393" t="b">
        <v>0</v>
      </c>
      <c r="Q1393" t="b">
        <v>0</v>
      </c>
      <c r="R1393" t="b">
        <v>0</v>
      </c>
      <c r="S1393" t="s">
        <v>101</v>
      </c>
      <c r="T1393" t="s">
        <v>1643</v>
      </c>
      <c r="U1393">
        <v>59.973750000000003</v>
      </c>
      <c r="V1393">
        <v>0</v>
      </c>
      <c r="W1393">
        <v>0</v>
      </c>
      <c r="X1393">
        <v>6</v>
      </c>
      <c r="Y1393" s="6">
        <v>46113</v>
      </c>
      <c r="Z1393">
        <v>1</v>
      </c>
    </row>
    <row r="1394" spans="1:26" x14ac:dyDescent="0.3">
      <c r="A1394" t="s">
        <v>1499</v>
      </c>
      <c r="B1394" s="5">
        <v>46136</v>
      </c>
      <c r="C1394" s="5">
        <v>46137</v>
      </c>
      <c r="D1394" s="5">
        <v>46139</v>
      </c>
      <c r="E1394" s="5">
        <v>46139</v>
      </c>
      <c r="F1394" t="s">
        <v>32</v>
      </c>
      <c r="G1394" t="s">
        <v>63</v>
      </c>
      <c r="H1394" t="s">
        <v>23</v>
      </c>
      <c r="I1394" t="s">
        <v>43</v>
      </c>
      <c r="J1394">
        <v>169.8</v>
      </c>
      <c r="K1394">
        <v>3057.8</v>
      </c>
      <c r="L1394">
        <v>3980000</v>
      </c>
      <c r="M1394" t="b">
        <v>0</v>
      </c>
      <c r="N1394" t="b">
        <v>0</v>
      </c>
      <c r="O1394">
        <v>5000</v>
      </c>
      <c r="P1394" t="b">
        <v>0</v>
      </c>
      <c r="Q1394" t="b">
        <v>0</v>
      </c>
      <c r="R1394" t="b">
        <v>0</v>
      </c>
      <c r="S1394" t="s">
        <v>96</v>
      </c>
      <c r="T1394" t="s">
        <v>1634</v>
      </c>
      <c r="U1394">
        <v>61.155999999999999</v>
      </c>
      <c r="V1394">
        <v>0</v>
      </c>
      <c r="W1394">
        <v>0</v>
      </c>
      <c r="X1394">
        <v>2</v>
      </c>
      <c r="Y1394" s="6">
        <v>46113</v>
      </c>
    </row>
    <row r="1395" spans="1:26" x14ac:dyDescent="0.3">
      <c r="A1395" t="s">
        <v>1500</v>
      </c>
      <c r="B1395" s="5">
        <v>46187</v>
      </c>
      <c r="C1395" s="5">
        <v>46187</v>
      </c>
      <c r="D1395" s="5">
        <v>46191</v>
      </c>
      <c r="E1395" s="5">
        <v>46191</v>
      </c>
      <c r="F1395" t="s">
        <v>32</v>
      </c>
      <c r="G1395" t="s">
        <v>60</v>
      </c>
      <c r="H1395" t="s">
        <v>20</v>
      </c>
      <c r="I1395" t="s">
        <v>44</v>
      </c>
      <c r="J1395">
        <v>449.4</v>
      </c>
      <c r="K1395">
        <v>641.20000000000005</v>
      </c>
      <c r="L1395">
        <v>5677000</v>
      </c>
      <c r="M1395" t="b">
        <v>0</v>
      </c>
      <c r="N1395" t="b">
        <v>0</v>
      </c>
      <c r="O1395">
        <v>1500</v>
      </c>
      <c r="P1395" t="b">
        <v>0</v>
      </c>
      <c r="Q1395" t="b">
        <v>0</v>
      </c>
      <c r="R1395" t="b">
        <v>0</v>
      </c>
      <c r="S1395" t="s">
        <v>96</v>
      </c>
      <c r="T1395" t="s">
        <v>1647</v>
      </c>
      <c r="U1395">
        <v>42.74666666666667</v>
      </c>
      <c r="V1395">
        <v>0</v>
      </c>
      <c r="W1395">
        <v>0</v>
      </c>
      <c r="X1395">
        <v>4</v>
      </c>
      <c r="Y1395" s="6">
        <v>46174</v>
      </c>
    </row>
    <row r="1396" spans="1:26" x14ac:dyDescent="0.3">
      <c r="A1396" t="s">
        <v>1501</v>
      </c>
      <c r="B1396" s="5">
        <v>46143</v>
      </c>
      <c r="C1396" s="5">
        <v>46143</v>
      </c>
      <c r="D1396" s="5">
        <v>46145</v>
      </c>
      <c r="E1396" s="5">
        <v>46145</v>
      </c>
      <c r="F1396" t="s">
        <v>34</v>
      </c>
      <c r="G1396" t="s">
        <v>55</v>
      </c>
      <c r="H1396" t="s">
        <v>20</v>
      </c>
      <c r="I1396" t="s">
        <v>42</v>
      </c>
      <c r="J1396">
        <v>64.900000000000006</v>
      </c>
      <c r="K1396">
        <v>2902.9</v>
      </c>
      <c r="L1396">
        <v>3313000</v>
      </c>
      <c r="M1396" t="b">
        <v>0</v>
      </c>
      <c r="N1396" t="b">
        <v>0</v>
      </c>
      <c r="O1396">
        <v>16000</v>
      </c>
      <c r="P1396" t="b">
        <v>0</v>
      </c>
      <c r="Q1396" t="b">
        <v>0</v>
      </c>
      <c r="R1396" t="b">
        <v>0</v>
      </c>
      <c r="S1396" t="s">
        <v>96</v>
      </c>
      <c r="T1396" t="s">
        <v>1639</v>
      </c>
      <c r="U1396">
        <v>18.143125000000001</v>
      </c>
      <c r="V1396">
        <v>0</v>
      </c>
      <c r="W1396">
        <v>0</v>
      </c>
      <c r="X1396">
        <v>2</v>
      </c>
      <c r="Y1396" s="6">
        <v>46143</v>
      </c>
    </row>
    <row r="1397" spans="1:26" x14ac:dyDescent="0.3">
      <c r="A1397" t="s">
        <v>1502</v>
      </c>
      <c r="B1397" s="5">
        <v>46142</v>
      </c>
      <c r="C1397" s="5">
        <v>46142</v>
      </c>
      <c r="D1397" s="5">
        <v>46146</v>
      </c>
      <c r="E1397" s="5">
        <v>46146</v>
      </c>
      <c r="F1397" t="s">
        <v>33</v>
      </c>
      <c r="G1397" t="s">
        <v>56</v>
      </c>
      <c r="H1397" t="s">
        <v>22</v>
      </c>
      <c r="I1397" t="s">
        <v>42</v>
      </c>
      <c r="J1397">
        <v>1573.9</v>
      </c>
      <c r="K1397">
        <v>11029.8</v>
      </c>
      <c r="L1397">
        <v>31361000</v>
      </c>
      <c r="M1397" t="b">
        <v>0</v>
      </c>
      <c r="N1397" t="b">
        <v>0</v>
      </c>
      <c r="O1397">
        <v>16000</v>
      </c>
      <c r="P1397" t="b">
        <v>0</v>
      </c>
      <c r="Q1397" t="b">
        <v>0</v>
      </c>
      <c r="R1397" t="b">
        <v>0</v>
      </c>
      <c r="S1397" t="s">
        <v>96</v>
      </c>
      <c r="T1397" t="s">
        <v>1654</v>
      </c>
      <c r="U1397">
        <v>68.936250000000001</v>
      </c>
      <c r="V1397">
        <v>0</v>
      </c>
      <c r="W1397">
        <v>0</v>
      </c>
      <c r="X1397">
        <v>4</v>
      </c>
      <c r="Y1397" s="6">
        <v>46113</v>
      </c>
    </row>
    <row r="1398" spans="1:26" x14ac:dyDescent="0.3">
      <c r="A1398" t="s">
        <v>1503</v>
      </c>
      <c r="B1398" s="5">
        <v>46163</v>
      </c>
      <c r="C1398" s="5">
        <v>46164</v>
      </c>
      <c r="D1398" s="5">
        <v>46166</v>
      </c>
      <c r="E1398" s="5">
        <v>46166</v>
      </c>
      <c r="F1398" t="s">
        <v>31</v>
      </c>
      <c r="G1398" t="s">
        <v>57</v>
      </c>
      <c r="H1398" t="s">
        <v>24</v>
      </c>
      <c r="I1398" t="s">
        <v>43</v>
      </c>
      <c r="J1398">
        <v>132.9</v>
      </c>
      <c r="K1398">
        <v>3814.5</v>
      </c>
      <c r="L1398">
        <v>3622000</v>
      </c>
      <c r="M1398" t="b">
        <v>0</v>
      </c>
      <c r="N1398" t="b">
        <v>0</v>
      </c>
      <c r="O1398">
        <v>5000</v>
      </c>
      <c r="P1398" t="b">
        <v>0</v>
      </c>
      <c r="Q1398" t="b">
        <v>0</v>
      </c>
      <c r="R1398" t="b">
        <v>0</v>
      </c>
      <c r="S1398" t="s">
        <v>96</v>
      </c>
      <c r="T1398" t="s">
        <v>1617</v>
      </c>
      <c r="U1398">
        <v>76.290000000000006</v>
      </c>
      <c r="V1398">
        <v>0</v>
      </c>
      <c r="W1398">
        <v>0</v>
      </c>
      <c r="X1398">
        <v>2</v>
      </c>
      <c r="Y1398" s="6">
        <v>46143</v>
      </c>
    </row>
    <row r="1399" spans="1:26" x14ac:dyDescent="0.3">
      <c r="A1399" t="s">
        <v>1504</v>
      </c>
      <c r="B1399" s="5">
        <v>46053</v>
      </c>
      <c r="C1399" s="5">
        <v>46054</v>
      </c>
      <c r="D1399" s="5">
        <v>46058</v>
      </c>
      <c r="E1399" s="5">
        <v>46057</v>
      </c>
      <c r="F1399" t="s">
        <v>31</v>
      </c>
      <c r="G1399" t="s">
        <v>56</v>
      </c>
      <c r="H1399" t="s">
        <v>107</v>
      </c>
      <c r="I1399" t="s">
        <v>43</v>
      </c>
      <c r="J1399">
        <v>939.7</v>
      </c>
      <c r="K1399">
        <v>4176.7</v>
      </c>
      <c r="L1399">
        <v>13480000</v>
      </c>
      <c r="M1399" t="b">
        <v>0</v>
      </c>
      <c r="N1399" t="b">
        <v>0</v>
      </c>
      <c r="O1399">
        <v>5000</v>
      </c>
      <c r="P1399" t="b">
        <v>0</v>
      </c>
      <c r="Q1399" t="b">
        <v>0</v>
      </c>
      <c r="R1399" t="b">
        <v>0</v>
      </c>
      <c r="S1399" t="s">
        <v>96</v>
      </c>
      <c r="T1399" t="s">
        <v>1614</v>
      </c>
      <c r="U1399">
        <v>83.533999999999992</v>
      </c>
      <c r="V1399">
        <v>0</v>
      </c>
      <c r="W1399">
        <v>0</v>
      </c>
      <c r="X1399">
        <v>3</v>
      </c>
      <c r="Y1399" s="6">
        <v>46054</v>
      </c>
    </row>
    <row r="1400" spans="1:26" x14ac:dyDescent="0.3">
      <c r="A1400" t="s">
        <v>1505</v>
      </c>
      <c r="B1400" s="5">
        <v>46140</v>
      </c>
      <c r="C1400" s="5">
        <v>46141</v>
      </c>
      <c r="D1400" s="5">
        <v>46145</v>
      </c>
      <c r="E1400" s="5">
        <v>46146</v>
      </c>
      <c r="F1400" t="s">
        <v>33</v>
      </c>
      <c r="G1400" t="s">
        <v>56</v>
      </c>
      <c r="H1400" t="s">
        <v>20</v>
      </c>
      <c r="I1400" t="s">
        <v>45</v>
      </c>
      <c r="J1400">
        <v>1464.8</v>
      </c>
      <c r="K1400">
        <v>769.2</v>
      </c>
      <c r="L1400">
        <v>11534000</v>
      </c>
      <c r="M1400" t="b">
        <v>0</v>
      </c>
      <c r="N1400" t="b">
        <v>0</v>
      </c>
      <c r="O1400">
        <v>1000</v>
      </c>
      <c r="P1400" t="b">
        <v>0</v>
      </c>
      <c r="Q1400" t="b">
        <v>0</v>
      </c>
      <c r="R1400" t="b">
        <v>0</v>
      </c>
      <c r="S1400" t="s">
        <v>101</v>
      </c>
      <c r="T1400" t="s">
        <v>1654</v>
      </c>
      <c r="U1400">
        <v>76.92</v>
      </c>
      <c r="V1400">
        <v>0</v>
      </c>
      <c r="W1400">
        <v>0</v>
      </c>
      <c r="X1400">
        <v>5</v>
      </c>
      <c r="Y1400" s="6">
        <v>46113</v>
      </c>
      <c r="Z1400">
        <v>1</v>
      </c>
    </row>
    <row r="1401" spans="1:26" x14ac:dyDescent="0.3">
      <c r="A1401" t="s">
        <v>1506</v>
      </c>
      <c r="B1401" s="5">
        <v>46065</v>
      </c>
      <c r="C1401" s="5">
        <v>46065</v>
      </c>
      <c r="D1401" s="5">
        <v>46069</v>
      </c>
      <c r="E1401" s="5">
        <v>46070</v>
      </c>
      <c r="F1401" t="s">
        <v>34</v>
      </c>
      <c r="G1401" t="s">
        <v>62</v>
      </c>
      <c r="H1401" t="s">
        <v>22</v>
      </c>
      <c r="I1401" t="s">
        <v>43</v>
      </c>
      <c r="J1401">
        <v>743.4</v>
      </c>
      <c r="K1401">
        <v>4347.7</v>
      </c>
      <c r="L1401">
        <v>9591000</v>
      </c>
      <c r="M1401" t="b">
        <v>0</v>
      </c>
      <c r="N1401" t="b">
        <v>0</v>
      </c>
      <c r="O1401">
        <v>5000</v>
      </c>
      <c r="P1401" t="b">
        <v>0</v>
      </c>
      <c r="Q1401" t="b">
        <v>0</v>
      </c>
      <c r="R1401" t="b">
        <v>0</v>
      </c>
      <c r="S1401" t="s">
        <v>101</v>
      </c>
      <c r="T1401" t="s">
        <v>1649</v>
      </c>
      <c r="U1401">
        <v>86.953999999999994</v>
      </c>
      <c r="V1401">
        <v>0</v>
      </c>
      <c r="W1401">
        <v>0</v>
      </c>
      <c r="X1401">
        <v>5</v>
      </c>
      <c r="Y1401" s="6">
        <v>46054</v>
      </c>
      <c r="Z1401">
        <v>1</v>
      </c>
    </row>
    <row r="1402" spans="1:26" x14ac:dyDescent="0.3">
      <c r="A1402" t="s">
        <v>1507</v>
      </c>
      <c r="B1402" s="5">
        <v>46166</v>
      </c>
      <c r="C1402" s="5">
        <v>46166</v>
      </c>
      <c r="D1402" s="5">
        <v>46170</v>
      </c>
      <c r="E1402" s="5">
        <v>46169</v>
      </c>
      <c r="F1402" t="s">
        <v>33</v>
      </c>
      <c r="G1402" t="s">
        <v>55</v>
      </c>
      <c r="H1402" t="s">
        <v>20</v>
      </c>
      <c r="I1402" t="s">
        <v>45</v>
      </c>
      <c r="J1402">
        <v>626.20000000000005</v>
      </c>
      <c r="K1402">
        <v>872.5</v>
      </c>
      <c r="L1402">
        <v>5878000</v>
      </c>
      <c r="M1402" t="b">
        <v>0</v>
      </c>
      <c r="N1402" t="b">
        <v>0</v>
      </c>
      <c r="O1402">
        <v>1000</v>
      </c>
      <c r="P1402" t="b">
        <v>0</v>
      </c>
      <c r="Q1402" t="b">
        <v>0</v>
      </c>
      <c r="R1402" t="b">
        <v>0</v>
      </c>
      <c r="S1402" t="s">
        <v>96</v>
      </c>
      <c r="T1402" t="s">
        <v>1626</v>
      </c>
      <c r="U1402">
        <v>87.25</v>
      </c>
      <c r="V1402">
        <v>0</v>
      </c>
      <c r="W1402">
        <v>0</v>
      </c>
      <c r="X1402">
        <v>3</v>
      </c>
      <c r="Y1402" s="6">
        <v>46143</v>
      </c>
    </row>
    <row r="1403" spans="1:26" x14ac:dyDescent="0.3">
      <c r="A1403" t="s">
        <v>1508</v>
      </c>
      <c r="B1403" s="5">
        <v>46036</v>
      </c>
      <c r="C1403" s="5">
        <v>46037</v>
      </c>
      <c r="D1403" s="5">
        <v>46039</v>
      </c>
      <c r="E1403" s="5">
        <v>46039</v>
      </c>
      <c r="F1403" t="s">
        <v>34</v>
      </c>
      <c r="G1403" t="s">
        <v>57</v>
      </c>
      <c r="H1403" t="s">
        <v>20</v>
      </c>
      <c r="I1403" t="s">
        <v>43</v>
      </c>
      <c r="J1403">
        <v>150.69999999999999</v>
      </c>
      <c r="K1403">
        <v>4199.7</v>
      </c>
      <c r="L1403">
        <v>4763000</v>
      </c>
      <c r="M1403" t="b">
        <v>0</v>
      </c>
      <c r="N1403" t="b">
        <v>0</v>
      </c>
      <c r="O1403">
        <v>5000</v>
      </c>
      <c r="P1403" t="b">
        <v>0</v>
      </c>
      <c r="Q1403" t="b">
        <v>0</v>
      </c>
      <c r="R1403" t="b">
        <v>0</v>
      </c>
      <c r="S1403" t="s">
        <v>96</v>
      </c>
      <c r="T1403" t="s">
        <v>1620</v>
      </c>
      <c r="U1403">
        <v>83.993999999999986</v>
      </c>
      <c r="V1403">
        <v>0</v>
      </c>
      <c r="W1403">
        <v>0</v>
      </c>
      <c r="X1403">
        <v>2</v>
      </c>
      <c r="Y1403" s="6">
        <v>46023</v>
      </c>
    </row>
    <row r="1404" spans="1:26" x14ac:dyDescent="0.3">
      <c r="A1404" t="s">
        <v>1509</v>
      </c>
      <c r="B1404" s="5">
        <v>46033</v>
      </c>
      <c r="C1404" s="5">
        <v>46034</v>
      </c>
      <c r="D1404" s="5">
        <v>46038</v>
      </c>
      <c r="E1404" s="5">
        <v>46038</v>
      </c>
      <c r="F1404" t="s">
        <v>34</v>
      </c>
      <c r="G1404" t="s">
        <v>56</v>
      </c>
      <c r="H1404" t="s">
        <v>20</v>
      </c>
      <c r="I1404" t="s">
        <v>45</v>
      </c>
      <c r="J1404">
        <v>841.8</v>
      </c>
      <c r="L1404">
        <v>6465000</v>
      </c>
      <c r="M1404" t="b">
        <v>0</v>
      </c>
      <c r="N1404" t="b">
        <v>1</v>
      </c>
      <c r="O1404">
        <v>1000</v>
      </c>
      <c r="P1404" t="b">
        <v>0</v>
      </c>
      <c r="Q1404" t="b">
        <v>0</v>
      </c>
      <c r="R1404" t="b">
        <v>1</v>
      </c>
      <c r="S1404" t="s">
        <v>96</v>
      </c>
      <c r="T1404" t="s">
        <v>1646</v>
      </c>
      <c r="V1404">
        <v>0</v>
      </c>
      <c r="W1404">
        <v>1</v>
      </c>
      <c r="X1404">
        <v>4</v>
      </c>
      <c r="Y1404" s="6">
        <v>46023</v>
      </c>
    </row>
    <row r="1405" spans="1:26" x14ac:dyDescent="0.3">
      <c r="A1405" t="s">
        <v>1510</v>
      </c>
      <c r="B1405" s="5">
        <v>46124</v>
      </c>
      <c r="C1405" s="5">
        <v>46125</v>
      </c>
      <c r="D1405" s="5">
        <v>46128</v>
      </c>
      <c r="E1405" s="5">
        <v>46128</v>
      </c>
      <c r="F1405" t="s">
        <v>34</v>
      </c>
      <c r="G1405" t="s">
        <v>53</v>
      </c>
      <c r="H1405" t="s">
        <v>20</v>
      </c>
      <c r="I1405" t="s">
        <v>42</v>
      </c>
      <c r="J1405">
        <v>300.89999999999998</v>
      </c>
      <c r="K1405">
        <v>13925.9</v>
      </c>
      <c r="L1405">
        <v>9717000</v>
      </c>
      <c r="M1405" t="b">
        <v>0</v>
      </c>
      <c r="N1405" t="b">
        <v>0</v>
      </c>
      <c r="O1405">
        <v>16000</v>
      </c>
      <c r="P1405" t="b">
        <v>0</v>
      </c>
      <c r="Q1405" t="b">
        <v>0</v>
      </c>
      <c r="R1405" t="b">
        <v>0</v>
      </c>
      <c r="S1405" t="s">
        <v>96</v>
      </c>
      <c r="T1405" t="s">
        <v>1636</v>
      </c>
      <c r="U1405">
        <v>87.036875000000009</v>
      </c>
      <c r="V1405">
        <v>0</v>
      </c>
      <c r="W1405">
        <v>0</v>
      </c>
      <c r="X1405">
        <v>3</v>
      </c>
      <c r="Y1405" s="6">
        <v>46113</v>
      </c>
    </row>
    <row r="1406" spans="1:26" x14ac:dyDescent="0.3">
      <c r="A1406" t="s">
        <v>1511</v>
      </c>
      <c r="B1406" s="5">
        <v>46078</v>
      </c>
      <c r="C1406" s="5">
        <v>46079</v>
      </c>
      <c r="D1406" s="5">
        <v>46083</v>
      </c>
      <c r="E1406" s="5"/>
      <c r="F1406" t="s">
        <v>33</v>
      </c>
      <c r="G1406" t="s">
        <v>58</v>
      </c>
      <c r="H1406" t="s">
        <v>22</v>
      </c>
      <c r="I1406" t="s">
        <v>45</v>
      </c>
      <c r="J1406">
        <v>655.7</v>
      </c>
      <c r="K1406">
        <v>747.8</v>
      </c>
      <c r="L1406">
        <v>6578000</v>
      </c>
      <c r="M1406" t="b">
        <v>0</v>
      </c>
      <c r="N1406" t="b">
        <v>0</v>
      </c>
      <c r="O1406">
        <v>1000</v>
      </c>
      <c r="P1406" t="b">
        <v>0</v>
      </c>
      <c r="Q1406" t="b">
        <v>0</v>
      </c>
      <c r="R1406" t="b">
        <v>0</v>
      </c>
      <c r="S1406" t="s">
        <v>203</v>
      </c>
      <c r="T1406" t="s">
        <v>1651</v>
      </c>
      <c r="U1406">
        <v>74.779999999999987</v>
      </c>
      <c r="V1406">
        <v>0</v>
      </c>
      <c r="W1406">
        <v>0</v>
      </c>
      <c r="Y1406" s="6">
        <v>46054</v>
      </c>
    </row>
    <row r="1407" spans="1:26" x14ac:dyDescent="0.3">
      <c r="A1407" t="s">
        <v>1512</v>
      </c>
      <c r="B1407" s="5">
        <v>46071</v>
      </c>
      <c r="C1407" s="5">
        <v>46072</v>
      </c>
      <c r="D1407" s="5">
        <v>46074</v>
      </c>
      <c r="E1407" s="5">
        <v>46074</v>
      </c>
      <c r="F1407" t="s">
        <v>34</v>
      </c>
      <c r="G1407" t="s">
        <v>59</v>
      </c>
      <c r="H1407" t="s">
        <v>21</v>
      </c>
      <c r="I1407" t="s">
        <v>44</v>
      </c>
      <c r="J1407">
        <v>294.60000000000002</v>
      </c>
      <c r="K1407">
        <v>1133.4000000000001</v>
      </c>
      <c r="L1407">
        <v>4017000</v>
      </c>
      <c r="M1407" t="b">
        <v>0</v>
      </c>
      <c r="N1407" t="b">
        <v>0</v>
      </c>
      <c r="O1407">
        <v>1500</v>
      </c>
      <c r="P1407" t="b">
        <v>0</v>
      </c>
      <c r="Q1407" t="b">
        <v>0</v>
      </c>
      <c r="R1407" t="b">
        <v>0</v>
      </c>
      <c r="S1407" t="s">
        <v>96</v>
      </c>
      <c r="T1407" t="s">
        <v>1616</v>
      </c>
      <c r="U1407">
        <v>75.56</v>
      </c>
      <c r="V1407">
        <v>0</v>
      </c>
      <c r="W1407">
        <v>0</v>
      </c>
      <c r="X1407">
        <v>2</v>
      </c>
      <c r="Y1407" s="6">
        <v>46054</v>
      </c>
    </row>
    <row r="1408" spans="1:26" x14ac:dyDescent="0.3">
      <c r="A1408" t="s">
        <v>1513</v>
      </c>
      <c r="B1408" s="5">
        <v>46183</v>
      </c>
      <c r="C1408" s="5">
        <v>46184</v>
      </c>
      <c r="D1408" s="5">
        <v>46187</v>
      </c>
      <c r="E1408" s="5">
        <v>46188</v>
      </c>
      <c r="F1408" t="s">
        <v>33</v>
      </c>
      <c r="G1408" t="s">
        <v>53</v>
      </c>
      <c r="H1408" t="s">
        <v>22</v>
      </c>
      <c r="I1408" t="s">
        <v>45</v>
      </c>
      <c r="J1408">
        <v>596.1</v>
      </c>
      <c r="K1408">
        <v>600.1</v>
      </c>
      <c r="L1408">
        <v>5774000</v>
      </c>
      <c r="M1408" t="b">
        <v>0</v>
      </c>
      <c r="N1408" t="b">
        <v>0</v>
      </c>
      <c r="O1408">
        <v>1000</v>
      </c>
      <c r="P1408" t="b">
        <v>0</v>
      </c>
      <c r="Q1408" t="b">
        <v>0</v>
      </c>
      <c r="R1408" t="b">
        <v>0</v>
      </c>
      <c r="S1408" t="s">
        <v>101</v>
      </c>
      <c r="T1408" t="s">
        <v>1632</v>
      </c>
      <c r="U1408">
        <v>60.010000000000012</v>
      </c>
      <c r="V1408">
        <v>0</v>
      </c>
      <c r="W1408">
        <v>0</v>
      </c>
      <c r="X1408">
        <v>4</v>
      </c>
      <c r="Y1408" s="6">
        <v>46174</v>
      </c>
      <c r="Z1408">
        <v>1</v>
      </c>
    </row>
    <row r="1409" spans="1:26" x14ac:dyDescent="0.3">
      <c r="A1409" t="s">
        <v>1514</v>
      </c>
      <c r="B1409" s="5">
        <v>46195</v>
      </c>
      <c r="C1409" s="5">
        <v>46196</v>
      </c>
      <c r="D1409" s="5">
        <v>46198</v>
      </c>
      <c r="E1409" s="5">
        <v>46201</v>
      </c>
      <c r="F1409" t="s">
        <v>34</v>
      </c>
      <c r="G1409" t="s">
        <v>52</v>
      </c>
      <c r="H1409" t="s">
        <v>24</v>
      </c>
      <c r="I1409" t="s">
        <v>42</v>
      </c>
      <c r="J1409">
        <v>280.60000000000002</v>
      </c>
      <c r="K1409">
        <v>11789.7</v>
      </c>
      <c r="L1409">
        <v>8593000</v>
      </c>
      <c r="M1409" t="b">
        <v>0</v>
      </c>
      <c r="N1409" t="b">
        <v>0</v>
      </c>
      <c r="O1409">
        <v>16000</v>
      </c>
      <c r="P1409" t="b">
        <v>0</v>
      </c>
      <c r="Q1409" t="b">
        <v>0</v>
      </c>
      <c r="R1409" t="b">
        <v>0</v>
      </c>
      <c r="S1409" t="s">
        <v>101</v>
      </c>
      <c r="T1409" t="s">
        <v>1623</v>
      </c>
      <c r="U1409">
        <v>73.685625000000002</v>
      </c>
      <c r="V1409">
        <v>0</v>
      </c>
      <c r="W1409">
        <v>0</v>
      </c>
      <c r="X1409">
        <v>5</v>
      </c>
      <c r="Y1409" s="6">
        <v>46174</v>
      </c>
      <c r="Z1409">
        <v>3</v>
      </c>
    </row>
    <row r="1410" spans="1:26" x14ac:dyDescent="0.3">
      <c r="A1410" t="s">
        <v>1515</v>
      </c>
      <c r="B1410" s="5">
        <v>46071</v>
      </c>
      <c r="C1410" s="5">
        <v>46073</v>
      </c>
      <c r="D1410" s="5">
        <v>46076</v>
      </c>
      <c r="E1410" s="5">
        <v>46078</v>
      </c>
      <c r="F1410" t="s">
        <v>34</v>
      </c>
      <c r="G1410" t="s">
        <v>54</v>
      </c>
      <c r="H1410" t="s">
        <v>23</v>
      </c>
      <c r="I1410" t="s">
        <v>42</v>
      </c>
      <c r="J1410">
        <v>443.5</v>
      </c>
      <c r="K1410">
        <v>14788</v>
      </c>
      <c r="L1410">
        <v>13147000</v>
      </c>
      <c r="M1410" t="b">
        <v>0</v>
      </c>
      <c r="N1410" t="b">
        <v>0</v>
      </c>
      <c r="O1410">
        <v>16000</v>
      </c>
      <c r="P1410" t="b">
        <v>0</v>
      </c>
      <c r="Q1410" t="b">
        <v>0</v>
      </c>
      <c r="R1410" t="b">
        <v>0</v>
      </c>
      <c r="S1410" t="s">
        <v>101</v>
      </c>
      <c r="T1410" t="s">
        <v>1635</v>
      </c>
      <c r="U1410">
        <v>92.424999999999997</v>
      </c>
      <c r="V1410">
        <v>0</v>
      </c>
      <c r="W1410">
        <v>0</v>
      </c>
      <c r="X1410">
        <v>5</v>
      </c>
      <c r="Y1410" s="6">
        <v>46054</v>
      </c>
      <c r="Z1410">
        <v>2</v>
      </c>
    </row>
    <row r="1411" spans="1:26" x14ac:dyDescent="0.3">
      <c r="A1411" t="s">
        <v>1516</v>
      </c>
      <c r="B1411" s="5">
        <v>46078</v>
      </c>
      <c r="C1411" s="5">
        <v>46080</v>
      </c>
      <c r="D1411" s="5">
        <v>46081</v>
      </c>
      <c r="E1411" s="5">
        <v>46081</v>
      </c>
      <c r="F1411" t="s">
        <v>31</v>
      </c>
      <c r="G1411" t="s">
        <v>55</v>
      </c>
      <c r="H1411" t="s">
        <v>20</v>
      </c>
      <c r="I1411" t="s">
        <v>43</v>
      </c>
      <c r="J1411">
        <v>17.8</v>
      </c>
      <c r="K1411">
        <v>1937.9</v>
      </c>
      <c r="L1411">
        <v>1795000</v>
      </c>
      <c r="M1411" t="b">
        <v>0</v>
      </c>
      <c r="N1411" t="b">
        <v>0</v>
      </c>
      <c r="O1411">
        <v>5000</v>
      </c>
      <c r="P1411" t="b">
        <v>0</v>
      </c>
      <c r="Q1411" t="b">
        <v>0</v>
      </c>
      <c r="R1411" t="b">
        <v>0</v>
      </c>
      <c r="S1411" t="s">
        <v>96</v>
      </c>
      <c r="T1411" t="s">
        <v>1629</v>
      </c>
      <c r="U1411">
        <v>38.758000000000003</v>
      </c>
      <c r="V1411">
        <v>0</v>
      </c>
      <c r="W1411">
        <v>0</v>
      </c>
      <c r="X1411">
        <v>1</v>
      </c>
      <c r="Y1411" s="6">
        <v>46054</v>
      </c>
    </row>
    <row r="1412" spans="1:26" x14ac:dyDescent="0.3">
      <c r="A1412" t="s">
        <v>1517</v>
      </c>
      <c r="B1412" s="5">
        <v>46168</v>
      </c>
      <c r="C1412" s="5">
        <v>46168</v>
      </c>
      <c r="D1412" s="5">
        <v>46170</v>
      </c>
      <c r="E1412" s="5">
        <v>46170</v>
      </c>
      <c r="F1412" t="s">
        <v>31</v>
      </c>
      <c r="G1412" t="s">
        <v>58</v>
      </c>
      <c r="H1412" t="s">
        <v>20</v>
      </c>
      <c r="I1412" t="s">
        <v>43</v>
      </c>
      <c r="J1412">
        <v>186</v>
      </c>
      <c r="K1412">
        <v>4234.3999999999996</v>
      </c>
      <c r="L1412">
        <v>5159000</v>
      </c>
      <c r="M1412" t="b">
        <v>0</v>
      </c>
      <c r="N1412" t="b">
        <v>0</v>
      </c>
      <c r="O1412">
        <v>5000</v>
      </c>
      <c r="P1412" t="b">
        <v>0</v>
      </c>
      <c r="Q1412" t="b">
        <v>0</v>
      </c>
      <c r="R1412" t="b">
        <v>0</v>
      </c>
      <c r="S1412" t="s">
        <v>96</v>
      </c>
      <c r="T1412" t="s">
        <v>1621</v>
      </c>
      <c r="U1412">
        <v>84.688000000000002</v>
      </c>
      <c r="V1412">
        <v>0</v>
      </c>
      <c r="W1412">
        <v>0</v>
      </c>
      <c r="X1412">
        <v>2</v>
      </c>
      <c r="Y1412" s="6">
        <v>46143</v>
      </c>
    </row>
    <row r="1413" spans="1:26" x14ac:dyDescent="0.3">
      <c r="A1413" t="s">
        <v>1518</v>
      </c>
      <c r="B1413" s="5">
        <v>46059</v>
      </c>
      <c r="C1413" s="5">
        <v>46060</v>
      </c>
      <c r="D1413" s="5">
        <v>46061</v>
      </c>
      <c r="E1413" s="5">
        <v>46062</v>
      </c>
      <c r="F1413" t="s">
        <v>34</v>
      </c>
      <c r="G1413" t="s">
        <v>61</v>
      </c>
      <c r="H1413" t="s">
        <v>23</v>
      </c>
      <c r="I1413" t="s">
        <v>43</v>
      </c>
      <c r="J1413">
        <v>22.1</v>
      </c>
      <c r="K1413">
        <v>2169.5</v>
      </c>
      <c r="L1413">
        <v>1794000</v>
      </c>
      <c r="M1413" t="b">
        <v>0</v>
      </c>
      <c r="N1413" t="b">
        <v>0</v>
      </c>
      <c r="O1413">
        <v>5000</v>
      </c>
      <c r="P1413" t="b">
        <v>0</v>
      </c>
      <c r="Q1413" t="b">
        <v>0</v>
      </c>
      <c r="R1413" t="b">
        <v>0</v>
      </c>
      <c r="S1413" t="s">
        <v>101</v>
      </c>
      <c r="T1413" t="s">
        <v>1638</v>
      </c>
      <c r="U1413">
        <v>43.39</v>
      </c>
      <c r="V1413">
        <v>0</v>
      </c>
      <c r="W1413">
        <v>0</v>
      </c>
      <c r="X1413">
        <v>2</v>
      </c>
      <c r="Y1413" s="6">
        <v>46054</v>
      </c>
      <c r="Z1413">
        <v>1</v>
      </c>
    </row>
    <row r="1414" spans="1:26" x14ac:dyDescent="0.3">
      <c r="A1414" t="s">
        <v>1519</v>
      </c>
      <c r="B1414" s="5">
        <v>46032</v>
      </c>
      <c r="C1414" s="5">
        <v>46033</v>
      </c>
      <c r="D1414" s="5">
        <v>46036</v>
      </c>
      <c r="E1414" s="5">
        <v>46036</v>
      </c>
      <c r="F1414" t="s">
        <v>33</v>
      </c>
      <c r="G1414" t="s">
        <v>53</v>
      </c>
      <c r="H1414" t="s">
        <v>20</v>
      </c>
      <c r="I1414" t="s">
        <v>44</v>
      </c>
      <c r="J1414">
        <v>598.6</v>
      </c>
      <c r="K1414">
        <v>1140.9000000000001</v>
      </c>
      <c r="L1414">
        <v>6546000</v>
      </c>
      <c r="M1414" t="b">
        <v>0</v>
      </c>
      <c r="N1414" t="b">
        <v>0</v>
      </c>
      <c r="O1414">
        <v>1500</v>
      </c>
      <c r="P1414" t="b">
        <v>0</v>
      </c>
      <c r="Q1414" t="b">
        <v>0</v>
      </c>
      <c r="R1414" t="b">
        <v>0</v>
      </c>
      <c r="S1414" t="s">
        <v>96</v>
      </c>
      <c r="T1414" t="s">
        <v>1632</v>
      </c>
      <c r="U1414">
        <v>76.06</v>
      </c>
      <c r="V1414">
        <v>0</v>
      </c>
      <c r="W1414">
        <v>0</v>
      </c>
      <c r="X1414">
        <v>3</v>
      </c>
      <c r="Y1414" s="6">
        <v>46023</v>
      </c>
    </row>
    <row r="1415" spans="1:26" x14ac:dyDescent="0.3">
      <c r="A1415" t="s">
        <v>1520</v>
      </c>
      <c r="B1415" s="5">
        <v>46183</v>
      </c>
      <c r="C1415" s="5">
        <v>46184</v>
      </c>
      <c r="D1415" s="5">
        <v>46188</v>
      </c>
      <c r="E1415" s="5">
        <v>46188</v>
      </c>
      <c r="F1415" t="s">
        <v>31</v>
      </c>
      <c r="G1415" t="s">
        <v>62</v>
      </c>
      <c r="H1415" t="s">
        <v>21</v>
      </c>
      <c r="I1415" t="s">
        <v>43</v>
      </c>
      <c r="J1415">
        <v>758.8</v>
      </c>
      <c r="K1415">
        <v>1486.9</v>
      </c>
      <c r="L1415">
        <v>9688000</v>
      </c>
      <c r="M1415" t="b">
        <v>0</v>
      </c>
      <c r="N1415" t="b">
        <v>0</v>
      </c>
      <c r="O1415">
        <v>5000</v>
      </c>
      <c r="P1415" t="b">
        <v>0</v>
      </c>
      <c r="Q1415" t="b">
        <v>0</v>
      </c>
      <c r="R1415" t="b">
        <v>0</v>
      </c>
      <c r="S1415" t="s">
        <v>96</v>
      </c>
      <c r="T1415" t="s">
        <v>1615</v>
      </c>
      <c r="U1415">
        <v>29.738</v>
      </c>
      <c r="V1415">
        <v>0</v>
      </c>
      <c r="W1415">
        <v>0</v>
      </c>
      <c r="X1415">
        <v>4</v>
      </c>
      <c r="Y1415" s="6">
        <v>46174</v>
      </c>
    </row>
    <row r="1416" spans="1:26" x14ac:dyDescent="0.3">
      <c r="A1416" t="s">
        <v>1521</v>
      </c>
      <c r="B1416" s="5">
        <v>46099</v>
      </c>
      <c r="C1416" s="5">
        <v>46100</v>
      </c>
      <c r="D1416" s="5">
        <v>46103</v>
      </c>
      <c r="E1416" s="5">
        <v>46103</v>
      </c>
      <c r="F1416" t="s">
        <v>34</v>
      </c>
      <c r="G1416" t="s">
        <v>54</v>
      </c>
      <c r="H1416" t="s">
        <v>21</v>
      </c>
      <c r="I1416" t="s">
        <v>45</v>
      </c>
      <c r="J1416">
        <v>440.7</v>
      </c>
      <c r="K1416">
        <v>723.5</v>
      </c>
      <c r="L1416">
        <v>5164000</v>
      </c>
      <c r="M1416" t="b">
        <v>0</v>
      </c>
      <c r="N1416" t="b">
        <v>0</v>
      </c>
      <c r="O1416">
        <v>1000</v>
      </c>
      <c r="P1416" t="b">
        <v>0</v>
      </c>
      <c r="Q1416" t="b">
        <v>0</v>
      </c>
      <c r="R1416" t="b">
        <v>0</v>
      </c>
      <c r="S1416" t="s">
        <v>96</v>
      </c>
      <c r="T1416" t="s">
        <v>1635</v>
      </c>
      <c r="U1416">
        <v>72.350000000000009</v>
      </c>
      <c r="V1416">
        <v>0</v>
      </c>
      <c r="W1416">
        <v>0</v>
      </c>
      <c r="X1416">
        <v>3</v>
      </c>
      <c r="Y1416" s="6">
        <v>46082</v>
      </c>
    </row>
    <row r="1417" spans="1:26" x14ac:dyDescent="0.3">
      <c r="A1417" t="s">
        <v>1522</v>
      </c>
      <c r="B1417" s="5">
        <v>46128</v>
      </c>
      <c r="C1417" s="5">
        <v>46129</v>
      </c>
      <c r="D1417" s="5">
        <v>46133</v>
      </c>
      <c r="E1417" s="5">
        <v>46133</v>
      </c>
      <c r="F1417" t="s">
        <v>31</v>
      </c>
      <c r="G1417" t="s">
        <v>56</v>
      </c>
      <c r="H1417" t="s">
        <v>23</v>
      </c>
      <c r="I1417" t="s">
        <v>42</v>
      </c>
      <c r="J1417">
        <v>983.4</v>
      </c>
      <c r="K1417">
        <v>7806.2</v>
      </c>
      <c r="L1417">
        <v>22470000</v>
      </c>
      <c r="M1417" t="b">
        <v>0</v>
      </c>
      <c r="N1417" t="b">
        <v>0</v>
      </c>
      <c r="O1417">
        <v>16000</v>
      </c>
      <c r="P1417" t="b">
        <v>0</v>
      </c>
      <c r="Q1417" t="b">
        <v>0</v>
      </c>
      <c r="R1417" t="b">
        <v>0</v>
      </c>
      <c r="S1417" t="s">
        <v>96</v>
      </c>
      <c r="T1417" t="s">
        <v>1614</v>
      </c>
      <c r="U1417">
        <v>48.78875</v>
      </c>
      <c r="V1417">
        <v>0</v>
      </c>
      <c r="W1417">
        <v>0</v>
      </c>
      <c r="X1417">
        <v>4</v>
      </c>
      <c r="Y1417" s="6">
        <v>46113</v>
      </c>
    </row>
    <row r="1418" spans="1:26" x14ac:dyDescent="0.3">
      <c r="A1418" t="s">
        <v>1523</v>
      </c>
      <c r="B1418" s="5">
        <v>46160</v>
      </c>
      <c r="C1418" s="5">
        <v>46161</v>
      </c>
      <c r="D1418" s="5">
        <v>46164</v>
      </c>
      <c r="E1418" s="5">
        <v>46164</v>
      </c>
      <c r="F1418" t="s">
        <v>33</v>
      </c>
      <c r="G1418" t="s">
        <v>59</v>
      </c>
      <c r="H1418" t="s">
        <v>24</v>
      </c>
      <c r="I1418" t="s">
        <v>44</v>
      </c>
      <c r="J1418">
        <v>504.8</v>
      </c>
      <c r="K1418">
        <v>634.29999999999995</v>
      </c>
      <c r="L1418">
        <v>4877000</v>
      </c>
      <c r="M1418" t="b">
        <v>0</v>
      </c>
      <c r="N1418" t="b">
        <v>0</v>
      </c>
      <c r="O1418">
        <v>1500</v>
      </c>
      <c r="P1418" t="b">
        <v>0</v>
      </c>
      <c r="Q1418" t="b">
        <v>0</v>
      </c>
      <c r="R1418" t="b">
        <v>0</v>
      </c>
      <c r="S1418" t="s">
        <v>96</v>
      </c>
      <c r="T1418" t="s">
        <v>1648</v>
      </c>
      <c r="U1418">
        <v>42.286666666666662</v>
      </c>
      <c r="V1418">
        <v>0</v>
      </c>
      <c r="W1418">
        <v>0</v>
      </c>
      <c r="X1418">
        <v>3</v>
      </c>
      <c r="Y1418" s="6">
        <v>46143</v>
      </c>
    </row>
    <row r="1419" spans="1:26" x14ac:dyDescent="0.3">
      <c r="A1419" t="s">
        <v>1524</v>
      </c>
      <c r="B1419" s="5">
        <v>46142</v>
      </c>
      <c r="C1419" s="5">
        <v>46143</v>
      </c>
      <c r="D1419" s="5">
        <v>46146</v>
      </c>
      <c r="E1419" s="5">
        <v>46146</v>
      </c>
      <c r="F1419" t="s">
        <v>33</v>
      </c>
      <c r="G1419" t="s">
        <v>59</v>
      </c>
      <c r="H1419" t="s">
        <v>21</v>
      </c>
      <c r="I1419" t="s">
        <v>44</v>
      </c>
      <c r="J1419">
        <v>513.6</v>
      </c>
      <c r="K1419">
        <v>872.9</v>
      </c>
      <c r="L1419">
        <v>5237000</v>
      </c>
      <c r="M1419" t="b">
        <v>0</v>
      </c>
      <c r="N1419" t="b">
        <v>0</v>
      </c>
      <c r="O1419">
        <v>1500</v>
      </c>
      <c r="P1419" t="b">
        <v>0</v>
      </c>
      <c r="Q1419" t="b">
        <v>0</v>
      </c>
      <c r="R1419" t="b">
        <v>0</v>
      </c>
      <c r="S1419" t="s">
        <v>96</v>
      </c>
      <c r="T1419" t="s">
        <v>1648</v>
      </c>
      <c r="U1419">
        <v>58.193333333333328</v>
      </c>
      <c r="V1419">
        <v>0</v>
      </c>
      <c r="W1419">
        <v>0</v>
      </c>
      <c r="X1419">
        <v>3</v>
      </c>
      <c r="Y1419" s="6">
        <v>46143</v>
      </c>
    </row>
    <row r="1420" spans="1:26" x14ac:dyDescent="0.3">
      <c r="A1420" t="s">
        <v>1525</v>
      </c>
      <c r="B1420" s="5">
        <v>46134</v>
      </c>
      <c r="C1420" s="5">
        <v>46135</v>
      </c>
      <c r="D1420" s="5">
        <v>46138</v>
      </c>
      <c r="E1420" s="5">
        <v>46139</v>
      </c>
      <c r="F1420" t="s">
        <v>32</v>
      </c>
      <c r="G1420" t="s">
        <v>54</v>
      </c>
      <c r="H1420" t="s">
        <v>24</v>
      </c>
      <c r="I1420" t="s">
        <v>44</v>
      </c>
      <c r="J1420">
        <v>563.1</v>
      </c>
      <c r="K1420">
        <v>459.2</v>
      </c>
      <c r="L1420">
        <v>5805000</v>
      </c>
      <c r="M1420" t="b">
        <v>0</v>
      </c>
      <c r="N1420" t="b">
        <v>0</v>
      </c>
      <c r="O1420">
        <v>1500</v>
      </c>
      <c r="P1420" t="b">
        <v>0</v>
      </c>
      <c r="Q1420" t="b">
        <v>0</v>
      </c>
      <c r="R1420" t="b">
        <v>0</v>
      </c>
      <c r="S1420" t="s">
        <v>101</v>
      </c>
      <c r="T1420" t="s">
        <v>1655</v>
      </c>
      <c r="U1420">
        <v>30.61333333333333</v>
      </c>
      <c r="V1420">
        <v>0</v>
      </c>
      <c r="W1420">
        <v>0</v>
      </c>
      <c r="X1420">
        <v>4</v>
      </c>
      <c r="Y1420" s="6">
        <v>46113</v>
      </c>
      <c r="Z1420">
        <v>1</v>
      </c>
    </row>
    <row r="1421" spans="1:26" x14ac:dyDescent="0.3">
      <c r="A1421" t="s">
        <v>1526</v>
      </c>
      <c r="B1421" s="5">
        <v>46173</v>
      </c>
      <c r="C1421" s="5">
        <v>46174</v>
      </c>
      <c r="D1421" s="5">
        <v>46176</v>
      </c>
      <c r="E1421" s="5">
        <v>46176</v>
      </c>
      <c r="F1421" t="s">
        <v>32</v>
      </c>
      <c r="G1421" t="s">
        <v>55</v>
      </c>
      <c r="H1421" t="s">
        <v>24</v>
      </c>
      <c r="I1421" t="s">
        <v>43</v>
      </c>
      <c r="J1421">
        <v>132.5</v>
      </c>
      <c r="K1421">
        <v>1720.5</v>
      </c>
      <c r="L1421">
        <v>12945000</v>
      </c>
      <c r="M1421" t="b">
        <v>0</v>
      </c>
      <c r="N1421" t="b">
        <v>0</v>
      </c>
      <c r="O1421">
        <v>5000</v>
      </c>
      <c r="P1421" t="b">
        <v>0</v>
      </c>
      <c r="Q1421" t="b">
        <v>0</v>
      </c>
      <c r="R1421" t="b">
        <v>0</v>
      </c>
      <c r="S1421" t="s">
        <v>96</v>
      </c>
      <c r="T1421" t="s">
        <v>1633</v>
      </c>
      <c r="U1421">
        <v>34.409999999999997</v>
      </c>
      <c r="V1421">
        <v>0</v>
      </c>
      <c r="W1421">
        <v>0</v>
      </c>
      <c r="X1421">
        <v>2</v>
      </c>
      <c r="Y1421" s="6">
        <v>46174</v>
      </c>
    </row>
    <row r="1422" spans="1:26" x14ac:dyDescent="0.3">
      <c r="A1422" t="s">
        <v>1527</v>
      </c>
      <c r="B1422" s="5">
        <v>46145</v>
      </c>
      <c r="C1422" s="5">
        <v>46147</v>
      </c>
      <c r="D1422" s="5">
        <v>46151</v>
      </c>
      <c r="E1422" s="5">
        <v>46152</v>
      </c>
      <c r="F1422" t="s">
        <v>34</v>
      </c>
      <c r="G1422" t="s">
        <v>60</v>
      </c>
      <c r="H1422" t="s">
        <v>24</v>
      </c>
      <c r="I1422" t="s">
        <v>42</v>
      </c>
      <c r="J1422">
        <v>647.70000000000005</v>
      </c>
      <c r="K1422">
        <v>14010.4</v>
      </c>
      <c r="L1422">
        <v>16968000</v>
      </c>
      <c r="M1422" t="b">
        <v>0</v>
      </c>
      <c r="N1422" t="b">
        <v>0</v>
      </c>
      <c r="O1422">
        <v>16000</v>
      </c>
      <c r="P1422" t="b">
        <v>0</v>
      </c>
      <c r="Q1422" t="b">
        <v>0</v>
      </c>
      <c r="R1422" t="b">
        <v>0</v>
      </c>
      <c r="S1422" t="s">
        <v>101</v>
      </c>
      <c r="T1422" t="s">
        <v>1644</v>
      </c>
      <c r="U1422">
        <v>87.564999999999998</v>
      </c>
      <c r="V1422">
        <v>0</v>
      </c>
      <c r="W1422">
        <v>0</v>
      </c>
      <c r="X1422">
        <v>5</v>
      </c>
      <c r="Y1422" s="6">
        <v>46143</v>
      </c>
      <c r="Z1422">
        <v>1</v>
      </c>
    </row>
    <row r="1423" spans="1:26" x14ac:dyDescent="0.3">
      <c r="A1423" t="s">
        <v>1528</v>
      </c>
      <c r="B1423" s="5">
        <v>46081</v>
      </c>
      <c r="C1423" s="5">
        <v>46082</v>
      </c>
      <c r="D1423" s="5">
        <v>46083</v>
      </c>
      <c r="E1423" s="5">
        <v>46084</v>
      </c>
      <c r="F1423" t="s">
        <v>34</v>
      </c>
      <c r="G1423" t="s">
        <v>61</v>
      </c>
      <c r="H1423" t="s">
        <v>23</v>
      </c>
      <c r="I1423" t="s">
        <v>42</v>
      </c>
      <c r="J1423">
        <v>22.6</v>
      </c>
      <c r="K1423">
        <v>14677.7</v>
      </c>
      <c r="L1423">
        <v>6116000</v>
      </c>
      <c r="M1423" t="b">
        <v>0</v>
      </c>
      <c r="N1423" t="b">
        <v>0</v>
      </c>
      <c r="O1423">
        <v>16000</v>
      </c>
      <c r="P1423" t="b">
        <v>0</v>
      </c>
      <c r="Q1423" t="b">
        <v>0</v>
      </c>
      <c r="R1423" t="b">
        <v>0</v>
      </c>
      <c r="S1423" t="s">
        <v>101</v>
      </c>
      <c r="T1423" t="s">
        <v>1638</v>
      </c>
      <c r="U1423">
        <v>91.735624999999999</v>
      </c>
      <c r="V1423">
        <v>0</v>
      </c>
      <c r="W1423">
        <v>0</v>
      </c>
      <c r="X1423">
        <v>2</v>
      </c>
      <c r="Y1423" s="6">
        <v>46082</v>
      </c>
      <c r="Z1423">
        <v>1</v>
      </c>
    </row>
    <row r="1424" spans="1:26" x14ac:dyDescent="0.3">
      <c r="A1424" t="s">
        <v>1529</v>
      </c>
      <c r="B1424" s="5">
        <v>46075</v>
      </c>
      <c r="C1424" s="5">
        <v>46076</v>
      </c>
      <c r="D1424" s="5">
        <v>46077</v>
      </c>
      <c r="E1424" s="5">
        <v>46077</v>
      </c>
      <c r="F1424" t="s">
        <v>34</v>
      </c>
      <c r="G1424" t="s">
        <v>55</v>
      </c>
      <c r="H1424" t="s">
        <v>20</v>
      </c>
      <c r="I1424" t="s">
        <v>43</v>
      </c>
      <c r="J1424">
        <v>55.7</v>
      </c>
      <c r="K1424">
        <v>881.2</v>
      </c>
      <c r="L1424">
        <v>1509000</v>
      </c>
      <c r="M1424" t="b">
        <v>0</v>
      </c>
      <c r="N1424" t="b">
        <v>0</v>
      </c>
      <c r="O1424">
        <v>5000</v>
      </c>
      <c r="P1424" t="b">
        <v>0</v>
      </c>
      <c r="Q1424" t="b">
        <v>0</v>
      </c>
      <c r="R1424" t="b">
        <v>0</v>
      </c>
      <c r="S1424" t="s">
        <v>96</v>
      </c>
      <c r="T1424" t="s">
        <v>1639</v>
      </c>
      <c r="U1424">
        <v>17.623999999999999</v>
      </c>
      <c r="V1424">
        <v>0</v>
      </c>
      <c r="W1424">
        <v>0</v>
      </c>
      <c r="X1424">
        <v>1</v>
      </c>
      <c r="Y1424" s="6">
        <v>46054</v>
      </c>
    </row>
    <row r="1425" spans="1:26" x14ac:dyDescent="0.3">
      <c r="A1425" t="s">
        <v>1530</v>
      </c>
      <c r="B1425" s="5">
        <v>46113</v>
      </c>
      <c r="C1425" s="5">
        <v>46114</v>
      </c>
      <c r="D1425" s="5">
        <v>46118</v>
      </c>
      <c r="E1425" s="5">
        <v>46118</v>
      </c>
      <c r="F1425" t="s">
        <v>34</v>
      </c>
      <c r="G1425" t="s">
        <v>56</v>
      </c>
      <c r="H1425" t="s">
        <v>21</v>
      </c>
      <c r="I1425" t="s">
        <v>44</v>
      </c>
      <c r="J1425">
        <v>945.7</v>
      </c>
      <c r="K1425">
        <v>654.4</v>
      </c>
      <c r="L1425">
        <v>9681000</v>
      </c>
      <c r="M1425" t="b">
        <v>0</v>
      </c>
      <c r="N1425" t="b">
        <v>0</v>
      </c>
      <c r="O1425">
        <v>1500</v>
      </c>
      <c r="P1425" t="b">
        <v>0</v>
      </c>
      <c r="Q1425" t="b">
        <v>0</v>
      </c>
      <c r="R1425" t="b">
        <v>0</v>
      </c>
      <c r="S1425" t="s">
        <v>96</v>
      </c>
      <c r="T1425" t="s">
        <v>1646</v>
      </c>
      <c r="U1425">
        <v>43.626666666666672</v>
      </c>
      <c r="V1425">
        <v>0</v>
      </c>
      <c r="W1425">
        <v>0</v>
      </c>
      <c r="X1425">
        <v>4</v>
      </c>
      <c r="Y1425" s="6">
        <v>46113</v>
      </c>
    </row>
    <row r="1426" spans="1:26" x14ac:dyDescent="0.3">
      <c r="A1426" t="s">
        <v>1531</v>
      </c>
      <c r="B1426" s="5">
        <v>46106</v>
      </c>
      <c r="C1426" s="5">
        <v>46107</v>
      </c>
      <c r="D1426" s="5">
        <v>46111</v>
      </c>
      <c r="E1426" s="5">
        <v>46112</v>
      </c>
      <c r="F1426" t="s">
        <v>34</v>
      </c>
      <c r="G1426" t="s">
        <v>56</v>
      </c>
      <c r="H1426" t="s">
        <v>23</v>
      </c>
      <c r="I1426" t="s">
        <v>43</v>
      </c>
      <c r="J1426">
        <v>921</v>
      </c>
      <c r="K1426">
        <v>828.5</v>
      </c>
      <c r="L1426">
        <v>12133000</v>
      </c>
      <c r="M1426" t="b">
        <v>0</v>
      </c>
      <c r="N1426" t="b">
        <v>0</v>
      </c>
      <c r="O1426">
        <v>5000</v>
      </c>
      <c r="P1426" t="b">
        <v>0</v>
      </c>
      <c r="Q1426" t="b">
        <v>0</v>
      </c>
      <c r="R1426" t="b">
        <v>0</v>
      </c>
      <c r="S1426" t="s">
        <v>101</v>
      </c>
      <c r="T1426" t="s">
        <v>1646</v>
      </c>
      <c r="U1426">
        <v>16.57</v>
      </c>
      <c r="V1426">
        <v>0</v>
      </c>
      <c r="W1426">
        <v>0</v>
      </c>
      <c r="X1426">
        <v>5</v>
      </c>
      <c r="Y1426" s="6">
        <v>46082</v>
      </c>
      <c r="Z1426">
        <v>1</v>
      </c>
    </row>
    <row r="1427" spans="1:26" x14ac:dyDescent="0.3">
      <c r="A1427" t="s">
        <v>1532</v>
      </c>
      <c r="B1427" s="5">
        <v>46078</v>
      </c>
      <c r="C1427" s="5">
        <v>46078</v>
      </c>
      <c r="D1427" s="5">
        <v>46079</v>
      </c>
      <c r="E1427" s="5">
        <v>46079</v>
      </c>
      <c r="F1427" t="s">
        <v>31</v>
      </c>
      <c r="G1427" t="s">
        <v>55</v>
      </c>
      <c r="H1427" t="s">
        <v>20</v>
      </c>
      <c r="I1427" t="s">
        <v>42</v>
      </c>
      <c r="J1427">
        <v>18.899999999999999</v>
      </c>
      <c r="K1427">
        <v>5033.7</v>
      </c>
      <c r="L1427">
        <v>2664000</v>
      </c>
      <c r="M1427" t="b">
        <v>0</v>
      </c>
      <c r="N1427" t="b">
        <v>0</v>
      </c>
      <c r="O1427">
        <v>16000</v>
      </c>
      <c r="P1427" t="b">
        <v>0</v>
      </c>
      <c r="Q1427" t="b">
        <v>0</v>
      </c>
      <c r="R1427" t="b">
        <v>0</v>
      </c>
      <c r="S1427" t="s">
        <v>96</v>
      </c>
      <c r="T1427" t="s">
        <v>1629</v>
      </c>
      <c r="U1427">
        <v>31.460625</v>
      </c>
      <c r="V1427">
        <v>0</v>
      </c>
      <c r="W1427">
        <v>0</v>
      </c>
      <c r="X1427">
        <v>1</v>
      </c>
      <c r="Y1427" s="6">
        <v>46054</v>
      </c>
    </row>
    <row r="1428" spans="1:26" x14ac:dyDescent="0.3">
      <c r="A1428" t="s">
        <v>1533</v>
      </c>
      <c r="B1428" s="5">
        <v>46066</v>
      </c>
      <c r="C1428" s="5">
        <v>46068</v>
      </c>
      <c r="D1428" s="5">
        <v>46071</v>
      </c>
      <c r="E1428" s="5">
        <v>46074</v>
      </c>
      <c r="F1428" t="s">
        <v>34</v>
      </c>
      <c r="G1428" t="s">
        <v>54</v>
      </c>
      <c r="H1428" t="s">
        <v>24</v>
      </c>
      <c r="I1428" t="s">
        <v>44</v>
      </c>
      <c r="J1428">
        <v>439.9</v>
      </c>
      <c r="K1428">
        <v>657.5</v>
      </c>
      <c r="L1428">
        <v>4643000</v>
      </c>
      <c r="M1428" t="b">
        <v>0</v>
      </c>
      <c r="N1428" t="b">
        <v>0</v>
      </c>
      <c r="O1428">
        <v>1500</v>
      </c>
      <c r="P1428" t="b">
        <v>0</v>
      </c>
      <c r="Q1428" t="b">
        <v>0</v>
      </c>
      <c r="R1428" t="b">
        <v>0</v>
      </c>
      <c r="S1428" t="s">
        <v>101</v>
      </c>
      <c r="T1428" t="s">
        <v>1635</v>
      </c>
      <c r="U1428">
        <v>43.833333333333343</v>
      </c>
      <c r="V1428">
        <v>0</v>
      </c>
      <c r="W1428">
        <v>0</v>
      </c>
      <c r="X1428">
        <v>6</v>
      </c>
      <c r="Y1428" s="6">
        <v>46054</v>
      </c>
      <c r="Z1428">
        <v>3</v>
      </c>
    </row>
    <row r="1429" spans="1:26" x14ac:dyDescent="0.3">
      <c r="A1429" t="s">
        <v>1534</v>
      </c>
      <c r="B1429" s="5">
        <v>46090</v>
      </c>
      <c r="C1429" s="5">
        <v>46091</v>
      </c>
      <c r="D1429" s="5">
        <v>46094</v>
      </c>
      <c r="E1429" s="5">
        <v>46094</v>
      </c>
      <c r="F1429" t="s">
        <v>32</v>
      </c>
      <c r="G1429" t="s">
        <v>63</v>
      </c>
      <c r="H1429" t="s">
        <v>20</v>
      </c>
      <c r="I1429" t="s">
        <v>43</v>
      </c>
      <c r="J1429">
        <v>179.2</v>
      </c>
      <c r="K1429">
        <v>2244.1999999999998</v>
      </c>
      <c r="L1429">
        <v>3778000</v>
      </c>
      <c r="M1429" t="b">
        <v>0</v>
      </c>
      <c r="N1429" t="b">
        <v>0</v>
      </c>
      <c r="O1429">
        <v>5000</v>
      </c>
      <c r="P1429" t="b">
        <v>0</v>
      </c>
      <c r="Q1429" t="b">
        <v>0</v>
      </c>
      <c r="R1429" t="b">
        <v>0</v>
      </c>
      <c r="S1429" t="s">
        <v>96</v>
      </c>
      <c r="T1429" t="s">
        <v>1634</v>
      </c>
      <c r="U1429">
        <v>44.883999999999993</v>
      </c>
      <c r="V1429">
        <v>0</v>
      </c>
      <c r="W1429">
        <v>0</v>
      </c>
      <c r="X1429">
        <v>3</v>
      </c>
      <c r="Y1429" s="6">
        <v>46082</v>
      </c>
    </row>
    <row r="1430" spans="1:26" x14ac:dyDescent="0.3">
      <c r="A1430" t="s">
        <v>1535</v>
      </c>
      <c r="B1430" s="5">
        <v>46112</v>
      </c>
      <c r="C1430" s="5">
        <v>46113</v>
      </c>
      <c r="D1430" s="5">
        <v>46116</v>
      </c>
      <c r="E1430" s="5">
        <v>46117</v>
      </c>
      <c r="F1430" t="s">
        <v>34</v>
      </c>
      <c r="G1430" t="s">
        <v>54</v>
      </c>
      <c r="H1430" t="s">
        <v>20</v>
      </c>
      <c r="I1430" t="s">
        <v>44</v>
      </c>
      <c r="J1430">
        <v>483.9</v>
      </c>
      <c r="K1430">
        <v>577.79999999999995</v>
      </c>
      <c r="L1430">
        <v>5115000</v>
      </c>
      <c r="M1430" t="b">
        <v>0</v>
      </c>
      <c r="N1430" t="b">
        <v>0</v>
      </c>
      <c r="O1430">
        <v>1500</v>
      </c>
      <c r="P1430" t="b">
        <v>0</v>
      </c>
      <c r="Q1430" t="b">
        <v>0</v>
      </c>
      <c r="R1430" t="b">
        <v>0</v>
      </c>
      <c r="S1430" t="s">
        <v>101</v>
      </c>
      <c r="T1430" t="s">
        <v>1635</v>
      </c>
      <c r="U1430">
        <v>38.520000000000003</v>
      </c>
      <c r="V1430">
        <v>0</v>
      </c>
      <c r="W1430">
        <v>0</v>
      </c>
      <c r="X1430">
        <v>4</v>
      </c>
      <c r="Y1430" s="6">
        <v>46113</v>
      </c>
      <c r="Z1430">
        <v>1</v>
      </c>
    </row>
    <row r="1431" spans="1:26" x14ac:dyDescent="0.3">
      <c r="A1431" t="s">
        <v>1536</v>
      </c>
      <c r="B1431" s="5">
        <v>46166</v>
      </c>
      <c r="C1431" s="5">
        <v>46167</v>
      </c>
      <c r="D1431" s="5">
        <v>46169</v>
      </c>
      <c r="E1431" s="5">
        <v>46170</v>
      </c>
      <c r="F1431" t="s">
        <v>33</v>
      </c>
      <c r="G1431" t="s">
        <v>62</v>
      </c>
      <c r="H1431" t="s">
        <v>21</v>
      </c>
      <c r="I1431" t="s">
        <v>43</v>
      </c>
      <c r="J1431">
        <v>144.4</v>
      </c>
      <c r="K1431">
        <v>3312.8</v>
      </c>
      <c r="L1431">
        <v>4424000</v>
      </c>
      <c r="M1431" t="b">
        <v>0</v>
      </c>
      <c r="N1431" t="b">
        <v>0</v>
      </c>
      <c r="O1431">
        <v>5000</v>
      </c>
      <c r="P1431" t="b">
        <v>0</v>
      </c>
      <c r="Q1431" t="b">
        <v>0</v>
      </c>
      <c r="R1431" t="b">
        <v>0</v>
      </c>
      <c r="S1431" t="s">
        <v>101</v>
      </c>
      <c r="T1431" t="s">
        <v>1657</v>
      </c>
      <c r="U1431">
        <v>66.256</v>
      </c>
      <c r="V1431">
        <v>0</v>
      </c>
      <c r="W1431">
        <v>0</v>
      </c>
      <c r="X1431">
        <v>3</v>
      </c>
      <c r="Y1431" s="6">
        <v>46143</v>
      </c>
      <c r="Z1431">
        <v>1</v>
      </c>
    </row>
    <row r="1432" spans="1:26" x14ac:dyDescent="0.3">
      <c r="A1432" t="s">
        <v>1537</v>
      </c>
      <c r="B1432" s="5">
        <v>46096</v>
      </c>
      <c r="C1432" s="5">
        <v>46097</v>
      </c>
      <c r="D1432" s="5">
        <v>46099</v>
      </c>
      <c r="E1432" s="5">
        <v>46100</v>
      </c>
      <c r="F1432" t="s">
        <v>31</v>
      </c>
      <c r="G1432" t="s">
        <v>52</v>
      </c>
      <c r="H1432" t="s">
        <v>24</v>
      </c>
      <c r="I1432" t="s">
        <v>43</v>
      </c>
      <c r="J1432">
        <v>296.5</v>
      </c>
      <c r="K1432">
        <v>4169.3</v>
      </c>
      <c r="L1432">
        <v>6353000</v>
      </c>
      <c r="M1432" t="b">
        <v>0</v>
      </c>
      <c r="N1432" t="b">
        <v>0</v>
      </c>
      <c r="O1432">
        <v>5000</v>
      </c>
      <c r="P1432" t="b">
        <v>0</v>
      </c>
      <c r="Q1432" t="b">
        <v>0</v>
      </c>
      <c r="R1432" t="b">
        <v>0</v>
      </c>
      <c r="S1432" t="s">
        <v>101</v>
      </c>
      <c r="T1432" t="s">
        <v>1618</v>
      </c>
      <c r="U1432">
        <v>83.38600000000001</v>
      </c>
      <c r="V1432">
        <v>0</v>
      </c>
      <c r="W1432">
        <v>0</v>
      </c>
      <c r="X1432">
        <v>3</v>
      </c>
      <c r="Y1432" s="6">
        <v>46082</v>
      </c>
      <c r="Z1432">
        <v>1</v>
      </c>
    </row>
    <row r="1433" spans="1:26" x14ac:dyDescent="0.3">
      <c r="A1433" t="s">
        <v>1538</v>
      </c>
      <c r="B1433" s="5">
        <v>46137</v>
      </c>
      <c r="C1433" s="5">
        <v>46138</v>
      </c>
      <c r="D1433" s="5">
        <v>46140</v>
      </c>
      <c r="E1433" s="5">
        <v>46140</v>
      </c>
      <c r="F1433" t="s">
        <v>34</v>
      </c>
      <c r="G1433" t="s">
        <v>58</v>
      </c>
      <c r="H1433" t="s">
        <v>23</v>
      </c>
      <c r="I1433" t="s">
        <v>42</v>
      </c>
      <c r="J1433">
        <v>144.80000000000001</v>
      </c>
      <c r="K1433">
        <v>13356.3</v>
      </c>
      <c r="L1433">
        <v>7128000</v>
      </c>
      <c r="M1433" t="b">
        <v>0</v>
      </c>
      <c r="N1433" t="b">
        <v>0</v>
      </c>
      <c r="O1433">
        <v>16000</v>
      </c>
      <c r="P1433" t="b">
        <v>0</v>
      </c>
      <c r="Q1433" t="b">
        <v>0</v>
      </c>
      <c r="R1433" t="b">
        <v>0</v>
      </c>
      <c r="S1433" t="s">
        <v>96</v>
      </c>
      <c r="T1433" t="s">
        <v>1637</v>
      </c>
      <c r="U1433">
        <v>83.476874999999993</v>
      </c>
      <c r="V1433">
        <v>0</v>
      </c>
      <c r="W1433">
        <v>0</v>
      </c>
      <c r="X1433">
        <v>2</v>
      </c>
      <c r="Y1433" s="6">
        <v>46113</v>
      </c>
    </row>
    <row r="1434" spans="1:26" x14ac:dyDescent="0.3">
      <c r="A1434" t="s">
        <v>1539</v>
      </c>
      <c r="B1434" s="5">
        <v>46077</v>
      </c>
      <c r="C1434" s="5">
        <v>46077</v>
      </c>
      <c r="D1434" s="5">
        <v>46080</v>
      </c>
      <c r="E1434" s="5">
        <v>46080</v>
      </c>
      <c r="F1434" t="s">
        <v>34</v>
      </c>
      <c r="G1434" t="s">
        <v>53</v>
      </c>
      <c r="H1434" t="s">
        <v>24</v>
      </c>
      <c r="I1434" t="s">
        <v>44</v>
      </c>
      <c r="J1434">
        <v>313.5</v>
      </c>
      <c r="K1434">
        <v>850.8</v>
      </c>
      <c r="L1434">
        <v>4007000</v>
      </c>
      <c r="M1434" t="b">
        <v>0</v>
      </c>
      <c r="N1434" t="b">
        <v>0</v>
      </c>
      <c r="O1434">
        <v>1500</v>
      </c>
      <c r="P1434" t="b">
        <v>0</v>
      </c>
      <c r="Q1434" t="b">
        <v>0</v>
      </c>
      <c r="R1434" t="b">
        <v>0</v>
      </c>
      <c r="S1434" t="s">
        <v>96</v>
      </c>
      <c r="T1434" t="s">
        <v>1636</v>
      </c>
      <c r="U1434">
        <v>56.719999999999992</v>
      </c>
      <c r="V1434">
        <v>0</v>
      </c>
      <c r="W1434">
        <v>0</v>
      </c>
      <c r="X1434">
        <v>3</v>
      </c>
      <c r="Y1434" s="6">
        <v>46054</v>
      </c>
    </row>
    <row r="1435" spans="1:26" x14ac:dyDescent="0.3">
      <c r="A1435" t="s">
        <v>1540</v>
      </c>
      <c r="B1435" s="5">
        <v>46063</v>
      </c>
      <c r="C1435" s="5">
        <v>46064</v>
      </c>
      <c r="D1435" s="5">
        <v>46068</v>
      </c>
      <c r="E1435" s="5">
        <v>46069</v>
      </c>
      <c r="F1435" t="s">
        <v>33</v>
      </c>
      <c r="G1435" t="s">
        <v>54</v>
      </c>
      <c r="H1435" t="s">
        <v>23</v>
      </c>
      <c r="I1435" t="s">
        <v>43</v>
      </c>
      <c r="J1435">
        <v>889</v>
      </c>
      <c r="K1435">
        <v>2295</v>
      </c>
      <c r="L1435">
        <v>13228000</v>
      </c>
      <c r="M1435" t="b">
        <v>0</v>
      </c>
      <c r="N1435" t="b">
        <v>0</v>
      </c>
      <c r="O1435">
        <v>5000</v>
      </c>
      <c r="P1435" t="b">
        <v>0</v>
      </c>
      <c r="Q1435" t="b">
        <v>0</v>
      </c>
      <c r="R1435" t="b">
        <v>0</v>
      </c>
      <c r="S1435" t="s">
        <v>101</v>
      </c>
      <c r="T1435" t="s">
        <v>1642</v>
      </c>
      <c r="U1435">
        <v>45.9</v>
      </c>
      <c r="V1435">
        <v>0</v>
      </c>
      <c r="W1435">
        <v>0</v>
      </c>
      <c r="X1435">
        <v>5</v>
      </c>
      <c r="Y1435" s="6">
        <v>46054</v>
      </c>
      <c r="Z1435">
        <v>1</v>
      </c>
    </row>
    <row r="1436" spans="1:26" x14ac:dyDescent="0.3">
      <c r="A1436" t="s">
        <v>1541</v>
      </c>
      <c r="B1436" s="5">
        <v>46040</v>
      </c>
      <c r="C1436" s="5">
        <v>46042</v>
      </c>
      <c r="D1436" s="5">
        <v>46046</v>
      </c>
      <c r="E1436" s="5">
        <v>46046</v>
      </c>
      <c r="F1436" t="s">
        <v>34</v>
      </c>
      <c r="G1436" t="s">
        <v>60</v>
      </c>
      <c r="H1436" t="s">
        <v>22</v>
      </c>
      <c r="I1436" t="s">
        <v>42</v>
      </c>
      <c r="J1436">
        <v>623.9</v>
      </c>
      <c r="K1436">
        <v>11232</v>
      </c>
      <c r="L1436">
        <v>15635000</v>
      </c>
      <c r="M1436" t="b">
        <v>0</v>
      </c>
      <c r="N1436" t="b">
        <v>0</v>
      </c>
      <c r="O1436">
        <v>16000</v>
      </c>
      <c r="P1436" t="b">
        <v>0</v>
      </c>
      <c r="Q1436" t="b">
        <v>0</v>
      </c>
      <c r="R1436" t="b">
        <v>0</v>
      </c>
      <c r="S1436" t="s">
        <v>96</v>
      </c>
      <c r="T1436" t="s">
        <v>1644</v>
      </c>
      <c r="U1436">
        <v>70.199999999999989</v>
      </c>
      <c r="V1436">
        <v>0</v>
      </c>
      <c r="W1436">
        <v>0</v>
      </c>
      <c r="X1436">
        <v>4</v>
      </c>
      <c r="Y1436" s="6">
        <v>46023</v>
      </c>
    </row>
    <row r="1437" spans="1:26" x14ac:dyDescent="0.3">
      <c r="A1437" t="s">
        <v>1542</v>
      </c>
      <c r="B1437" s="5">
        <v>46203</v>
      </c>
      <c r="C1437" s="5">
        <v>46203</v>
      </c>
      <c r="D1437" s="5">
        <v>46207</v>
      </c>
      <c r="E1437" s="5">
        <v>46207</v>
      </c>
      <c r="F1437" t="s">
        <v>34</v>
      </c>
      <c r="G1437" t="s">
        <v>56</v>
      </c>
      <c r="H1437" t="s">
        <v>21</v>
      </c>
      <c r="I1437" t="s">
        <v>44</v>
      </c>
      <c r="J1437">
        <v>894.6</v>
      </c>
      <c r="K1437">
        <v>907.2</v>
      </c>
      <c r="L1437">
        <v>10509000</v>
      </c>
      <c r="M1437" t="b">
        <v>0</v>
      </c>
      <c r="N1437" t="b">
        <v>0</v>
      </c>
      <c r="O1437">
        <v>1500</v>
      </c>
      <c r="P1437" t="b">
        <v>0</v>
      </c>
      <c r="Q1437" t="b">
        <v>0</v>
      </c>
      <c r="R1437" t="b">
        <v>0</v>
      </c>
      <c r="S1437" t="s">
        <v>96</v>
      </c>
      <c r="T1437" t="s">
        <v>1646</v>
      </c>
      <c r="U1437">
        <v>60.48</v>
      </c>
      <c r="V1437">
        <v>0</v>
      </c>
      <c r="W1437">
        <v>0</v>
      </c>
      <c r="X1437">
        <v>4</v>
      </c>
      <c r="Y1437" s="6">
        <v>46174</v>
      </c>
    </row>
    <row r="1438" spans="1:26" x14ac:dyDescent="0.3">
      <c r="A1438" t="s">
        <v>1543</v>
      </c>
      <c r="B1438" s="5">
        <v>46196</v>
      </c>
      <c r="C1438" s="5">
        <v>46197</v>
      </c>
      <c r="D1438" s="5">
        <v>46199</v>
      </c>
      <c r="E1438" s="5">
        <v>46200</v>
      </c>
      <c r="F1438" t="s">
        <v>31</v>
      </c>
      <c r="G1438" t="s">
        <v>57</v>
      </c>
      <c r="H1438" t="s">
        <v>23</v>
      </c>
      <c r="I1438" t="s">
        <v>44</v>
      </c>
      <c r="J1438">
        <v>128.69999999999999</v>
      </c>
      <c r="K1438">
        <v>244</v>
      </c>
      <c r="L1438">
        <v>1580000</v>
      </c>
      <c r="M1438" t="b">
        <v>0</v>
      </c>
      <c r="N1438" t="b">
        <v>0</v>
      </c>
      <c r="O1438">
        <v>1500</v>
      </c>
      <c r="P1438" t="b">
        <v>0</v>
      </c>
      <c r="Q1438" t="b">
        <v>0</v>
      </c>
      <c r="R1438" t="b">
        <v>0</v>
      </c>
      <c r="S1438" t="s">
        <v>101</v>
      </c>
      <c r="T1438" t="s">
        <v>1617</v>
      </c>
      <c r="U1438">
        <v>16.266666666666669</v>
      </c>
      <c r="V1438">
        <v>0</v>
      </c>
      <c r="W1438">
        <v>0</v>
      </c>
      <c r="X1438">
        <v>3</v>
      </c>
      <c r="Y1438" s="6">
        <v>46174</v>
      </c>
      <c r="Z1438">
        <v>1</v>
      </c>
    </row>
    <row r="1439" spans="1:26" x14ac:dyDescent="0.3">
      <c r="A1439" t="s">
        <v>1544</v>
      </c>
      <c r="B1439" s="5">
        <v>46137</v>
      </c>
      <c r="C1439" s="5">
        <v>46138</v>
      </c>
      <c r="D1439" s="5">
        <v>46139</v>
      </c>
      <c r="E1439" s="5">
        <v>46139</v>
      </c>
      <c r="F1439" t="s">
        <v>31</v>
      </c>
      <c r="G1439" t="s">
        <v>61</v>
      </c>
      <c r="H1439" t="s">
        <v>23</v>
      </c>
      <c r="I1439" t="s">
        <v>42</v>
      </c>
      <c r="J1439">
        <v>44</v>
      </c>
      <c r="K1439">
        <v>4195.5</v>
      </c>
      <c r="L1439">
        <v>3294000</v>
      </c>
      <c r="M1439" t="b">
        <v>0</v>
      </c>
      <c r="N1439" t="b">
        <v>0</v>
      </c>
      <c r="O1439">
        <v>16000</v>
      </c>
      <c r="P1439" t="b">
        <v>0</v>
      </c>
      <c r="Q1439" t="b">
        <v>0</v>
      </c>
      <c r="R1439" t="b">
        <v>0</v>
      </c>
      <c r="S1439" t="s">
        <v>96</v>
      </c>
      <c r="T1439" t="s">
        <v>1645</v>
      </c>
      <c r="U1439">
        <v>26.221875000000001</v>
      </c>
      <c r="V1439">
        <v>0</v>
      </c>
      <c r="W1439">
        <v>0</v>
      </c>
      <c r="X1439">
        <v>1</v>
      </c>
      <c r="Y1439" s="6">
        <v>46113</v>
      </c>
    </row>
    <row r="1440" spans="1:26" x14ac:dyDescent="0.3">
      <c r="A1440" t="s">
        <v>1545</v>
      </c>
      <c r="B1440" s="5">
        <v>46067</v>
      </c>
      <c r="C1440" s="5">
        <v>46067</v>
      </c>
      <c r="D1440" s="5">
        <v>46069</v>
      </c>
      <c r="E1440" s="5">
        <v>46069</v>
      </c>
      <c r="F1440" t="s">
        <v>34</v>
      </c>
      <c r="G1440" t="s">
        <v>58</v>
      </c>
      <c r="H1440" t="s">
        <v>21</v>
      </c>
      <c r="I1440" t="s">
        <v>44</v>
      </c>
      <c r="J1440">
        <v>151.6</v>
      </c>
      <c r="K1440">
        <v>533.79999999999995</v>
      </c>
      <c r="L1440">
        <v>2037000</v>
      </c>
      <c r="M1440" t="b">
        <v>0</v>
      </c>
      <c r="N1440" t="b">
        <v>0</v>
      </c>
      <c r="O1440">
        <v>1500</v>
      </c>
      <c r="P1440" t="b">
        <v>0</v>
      </c>
      <c r="Q1440" t="b">
        <v>0</v>
      </c>
      <c r="R1440" t="b">
        <v>0</v>
      </c>
      <c r="S1440" t="s">
        <v>96</v>
      </c>
      <c r="T1440" t="s">
        <v>1637</v>
      </c>
      <c r="U1440">
        <v>35.586666666666659</v>
      </c>
      <c r="V1440">
        <v>0</v>
      </c>
      <c r="W1440">
        <v>0</v>
      </c>
      <c r="X1440">
        <v>2</v>
      </c>
      <c r="Y1440" s="6">
        <v>46054</v>
      </c>
    </row>
    <row r="1441" spans="1:26" x14ac:dyDescent="0.3">
      <c r="A1441" t="s">
        <v>1546</v>
      </c>
      <c r="B1441" s="5">
        <v>46079</v>
      </c>
      <c r="C1441" s="5">
        <v>46080</v>
      </c>
      <c r="D1441" s="5">
        <v>46081</v>
      </c>
      <c r="E1441" s="5">
        <v>46084</v>
      </c>
      <c r="F1441" t="s">
        <v>31</v>
      </c>
      <c r="G1441" t="s">
        <v>55</v>
      </c>
      <c r="H1441" t="s">
        <v>24</v>
      </c>
      <c r="I1441" t="s">
        <v>43</v>
      </c>
      <c r="J1441">
        <v>31.3</v>
      </c>
      <c r="K1441">
        <v>2438.9</v>
      </c>
      <c r="L1441">
        <v>2033000</v>
      </c>
      <c r="M1441" t="b">
        <v>0</v>
      </c>
      <c r="N1441" t="b">
        <v>0</v>
      </c>
      <c r="O1441">
        <v>5000</v>
      </c>
      <c r="P1441" t="b">
        <v>0</v>
      </c>
      <c r="Q1441" t="b">
        <v>0</v>
      </c>
      <c r="R1441" t="b">
        <v>0</v>
      </c>
      <c r="S1441" t="s">
        <v>101</v>
      </c>
      <c r="T1441" t="s">
        <v>1629</v>
      </c>
      <c r="U1441">
        <v>48.777999999999999</v>
      </c>
      <c r="V1441">
        <v>0</v>
      </c>
      <c r="W1441">
        <v>0</v>
      </c>
      <c r="X1441">
        <v>4</v>
      </c>
      <c r="Y1441" s="6">
        <v>46054</v>
      </c>
      <c r="Z1441">
        <v>3</v>
      </c>
    </row>
    <row r="1442" spans="1:26" x14ac:dyDescent="0.3">
      <c r="A1442" t="s">
        <v>1547</v>
      </c>
      <c r="B1442" s="5">
        <v>46057</v>
      </c>
      <c r="C1442" s="5">
        <v>46058</v>
      </c>
      <c r="D1442" s="5">
        <v>46059</v>
      </c>
      <c r="E1442" s="5">
        <v>46059</v>
      </c>
      <c r="F1442" t="s">
        <v>34</v>
      </c>
      <c r="G1442" t="s">
        <v>55</v>
      </c>
      <c r="H1442" t="s">
        <v>22</v>
      </c>
      <c r="I1442" t="s">
        <v>43</v>
      </c>
      <c r="J1442">
        <v>56</v>
      </c>
      <c r="K1442">
        <v>1756.8</v>
      </c>
      <c r="L1442">
        <v>2021000</v>
      </c>
      <c r="M1442" t="b">
        <v>0</v>
      </c>
      <c r="N1442" t="b">
        <v>0</v>
      </c>
      <c r="O1442">
        <v>5000</v>
      </c>
      <c r="P1442" t="b">
        <v>0</v>
      </c>
      <c r="Q1442" t="b">
        <v>0</v>
      </c>
      <c r="R1442" t="b">
        <v>0</v>
      </c>
      <c r="S1442" t="s">
        <v>96</v>
      </c>
      <c r="T1442" t="s">
        <v>1639</v>
      </c>
      <c r="U1442">
        <v>35.136000000000003</v>
      </c>
      <c r="V1442">
        <v>0</v>
      </c>
      <c r="W1442">
        <v>0</v>
      </c>
      <c r="X1442">
        <v>1</v>
      </c>
      <c r="Y1442" s="6">
        <v>46054</v>
      </c>
    </row>
    <row r="1443" spans="1:26" x14ac:dyDescent="0.3">
      <c r="A1443" t="s">
        <v>1548</v>
      </c>
      <c r="B1443" s="5">
        <v>46090</v>
      </c>
      <c r="C1443" s="5">
        <v>46090</v>
      </c>
      <c r="D1443" s="5">
        <v>46091</v>
      </c>
      <c r="E1443" s="5">
        <v>46093</v>
      </c>
      <c r="F1443" t="s">
        <v>34</v>
      </c>
      <c r="G1443" t="s">
        <v>55</v>
      </c>
      <c r="H1443" t="s">
        <v>24</v>
      </c>
      <c r="I1443" t="s">
        <v>42</v>
      </c>
      <c r="J1443">
        <v>50.2</v>
      </c>
      <c r="K1443">
        <v>10604.4</v>
      </c>
      <c r="L1443">
        <v>4527000</v>
      </c>
      <c r="M1443" t="b">
        <v>0</v>
      </c>
      <c r="N1443" t="b">
        <v>0</v>
      </c>
      <c r="O1443">
        <v>16000</v>
      </c>
      <c r="P1443" t="b">
        <v>0</v>
      </c>
      <c r="Q1443" t="b">
        <v>0</v>
      </c>
      <c r="R1443" t="b">
        <v>0</v>
      </c>
      <c r="S1443" t="s">
        <v>101</v>
      </c>
      <c r="T1443" t="s">
        <v>1639</v>
      </c>
      <c r="U1443">
        <v>66.277500000000003</v>
      </c>
      <c r="V1443">
        <v>0</v>
      </c>
      <c r="W1443">
        <v>0</v>
      </c>
      <c r="X1443">
        <v>3</v>
      </c>
      <c r="Y1443" s="6">
        <v>46082</v>
      </c>
      <c r="Z1443">
        <v>2</v>
      </c>
    </row>
    <row r="1444" spans="1:26" x14ac:dyDescent="0.3">
      <c r="A1444" t="s">
        <v>1549</v>
      </c>
      <c r="B1444" s="5">
        <v>46076</v>
      </c>
      <c r="C1444" s="5">
        <v>46077</v>
      </c>
      <c r="D1444" s="5">
        <v>46079</v>
      </c>
      <c r="E1444" s="5">
        <v>46079</v>
      </c>
      <c r="F1444" t="s">
        <v>34</v>
      </c>
      <c r="G1444" t="s">
        <v>57</v>
      </c>
      <c r="H1444" t="s">
        <v>24</v>
      </c>
      <c r="I1444" t="s">
        <v>42</v>
      </c>
      <c r="J1444">
        <v>152.5</v>
      </c>
      <c r="K1444">
        <v>3610.1</v>
      </c>
      <c r="L1444">
        <v>4757000</v>
      </c>
      <c r="M1444" t="b">
        <v>0</v>
      </c>
      <c r="N1444" t="b">
        <v>0</v>
      </c>
      <c r="O1444">
        <v>16000</v>
      </c>
      <c r="P1444" t="b">
        <v>0</v>
      </c>
      <c r="Q1444" t="b">
        <v>0</v>
      </c>
      <c r="R1444" t="b">
        <v>0</v>
      </c>
      <c r="S1444" t="s">
        <v>96</v>
      </c>
      <c r="T1444" t="s">
        <v>1620</v>
      </c>
      <c r="U1444">
        <v>22.563124999999999</v>
      </c>
      <c r="V1444">
        <v>0</v>
      </c>
      <c r="W1444">
        <v>0</v>
      </c>
      <c r="X1444">
        <v>2</v>
      </c>
      <c r="Y1444" s="6">
        <v>46054</v>
      </c>
    </row>
    <row r="1445" spans="1:26" x14ac:dyDescent="0.3">
      <c r="A1445" t="s">
        <v>1550</v>
      </c>
      <c r="B1445" s="5">
        <v>46042</v>
      </c>
      <c r="C1445" s="5">
        <v>46043</v>
      </c>
      <c r="D1445" s="5">
        <v>46045</v>
      </c>
      <c r="E1445" s="5">
        <v>46045</v>
      </c>
      <c r="F1445" t="s">
        <v>32</v>
      </c>
      <c r="G1445" t="s">
        <v>53</v>
      </c>
      <c r="H1445" t="s">
        <v>21</v>
      </c>
      <c r="I1445" t="s">
        <v>43</v>
      </c>
      <c r="J1445">
        <v>245.1</v>
      </c>
      <c r="K1445">
        <v>4212.2</v>
      </c>
      <c r="L1445">
        <v>5762000</v>
      </c>
      <c r="M1445" t="b">
        <v>0</v>
      </c>
      <c r="N1445" t="b">
        <v>0</v>
      </c>
      <c r="O1445">
        <v>5000</v>
      </c>
      <c r="P1445" t="b">
        <v>0</v>
      </c>
      <c r="Q1445" t="b">
        <v>0</v>
      </c>
      <c r="R1445" t="b">
        <v>0</v>
      </c>
      <c r="S1445" t="s">
        <v>96</v>
      </c>
      <c r="T1445" t="s">
        <v>1612</v>
      </c>
      <c r="U1445">
        <v>84.244</v>
      </c>
      <c r="V1445">
        <v>0</v>
      </c>
      <c r="W1445">
        <v>0</v>
      </c>
      <c r="X1445">
        <v>2</v>
      </c>
      <c r="Y1445" s="6">
        <v>46023</v>
      </c>
    </row>
    <row r="1446" spans="1:26" x14ac:dyDescent="0.3">
      <c r="A1446" t="s">
        <v>1551</v>
      </c>
      <c r="B1446" s="5">
        <v>46099</v>
      </c>
      <c r="C1446" s="5">
        <v>46100</v>
      </c>
      <c r="D1446" s="5">
        <v>46103</v>
      </c>
      <c r="E1446" s="5">
        <v>46105</v>
      </c>
      <c r="F1446" t="s">
        <v>32</v>
      </c>
      <c r="G1446" t="s">
        <v>54</v>
      </c>
      <c r="H1446" t="s">
        <v>24</v>
      </c>
      <c r="I1446" t="s">
        <v>43</v>
      </c>
      <c r="J1446">
        <v>507.7</v>
      </c>
      <c r="K1446">
        <v>3404</v>
      </c>
      <c r="L1446">
        <v>8586000</v>
      </c>
      <c r="M1446" t="b">
        <v>0</v>
      </c>
      <c r="N1446" t="b">
        <v>0</v>
      </c>
      <c r="O1446">
        <v>5000</v>
      </c>
      <c r="P1446" t="b">
        <v>0</v>
      </c>
      <c r="Q1446" t="b">
        <v>0</v>
      </c>
      <c r="R1446" t="b">
        <v>0</v>
      </c>
      <c r="S1446" t="s">
        <v>101</v>
      </c>
      <c r="T1446" t="s">
        <v>1655</v>
      </c>
      <c r="U1446">
        <v>68.08</v>
      </c>
      <c r="V1446">
        <v>0</v>
      </c>
      <c r="W1446">
        <v>0</v>
      </c>
      <c r="X1446">
        <v>5</v>
      </c>
      <c r="Y1446" s="6">
        <v>46082</v>
      </c>
      <c r="Z1446">
        <v>2</v>
      </c>
    </row>
    <row r="1447" spans="1:26" x14ac:dyDescent="0.3">
      <c r="A1447" t="s">
        <v>1552</v>
      </c>
      <c r="B1447" s="5">
        <v>46107</v>
      </c>
      <c r="C1447" s="5">
        <v>46108</v>
      </c>
      <c r="D1447" s="5">
        <v>46112</v>
      </c>
      <c r="E1447" s="5">
        <v>46112</v>
      </c>
      <c r="F1447" t="s">
        <v>31</v>
      </c>
      <c r="G1447" t="s">
        <v>56</v>
      </c>
      <c r="H1447" t="s">
        <v>23</v>
      </c>
      <c r="I1447" t="s">
        <v>44</v>
      </c>
      <c r="J1447">
        <v>993.3</v>
      </c>
      <c r="K1447">
        <v>1224.9000000000001</v>
      </c>
      <c r="L1447">
        <v>8955000</v>
      </c>
      <c r="M1447" t="b">
        <v>0</v>
      </c>
      <c r="N1447" t="b">
        <v>0</v>
      </c>
      <c r="O1447">
        <v>1500</v>
      </c>
      <c r="P1447" t="b">
        <v>0</v>
      </c>
      <c r="Q1447" t="b">
        <v>0</v>
      </c>
      <c r="R1447" t="b">
        <v>0</v>
      </c>
      <c r="S1447" t="s">
        <v>96</v>
      </c>
      <c r="T1447" t="s">
        <v>1614</v>
      </c>
      <c r="U1447">
        <v>81.660000000000011</v>
      </c>
      <c r="V1447">
        <v>0</v>
      </c>
      <c r="W1447">
        <v>0</v>
      </c>
      <c r="X1447">
        <v>4</v>
      </c>
      <c r="Y1447" s="6">
        <v>46082</v>
      </c>
    </row>
    <row r="1448" spans="1:26" x14ac:dyDescent="0.3">
      <c r="A1448" t="s">
        <v>1553</v>
      </c>
      <c r="B1448" s="5">
        <v>46133</v>
      </c>
      <c r="C1448" s="5">
        <v>46133</v>
      </c>
      <c r="D1448" s="5">
        <v>46137</v>
      </c>
      <c r="E1448" s="5">
        <v>46137</v>
      </c>
      <c r="F1448" t="s">
        <v>33</v>
      </c>
      <c r="G1448" t="s">
        <v>55</v>
      </c>
      <c r="H1448" t="s">
        <v>22</v>
      </c>
      <c r="I1448" t="s">
        <v>42</v>
      </c>
      <c r="J1448">
        <v>629</v>
      </c>
      <c r="K1448">
        <v>11641.7</v>
      </c>
      <c r="L1448">
        <v>15622000</v>
      </c>
      <c r="M1448" t="b">
        <v>0</v>
      </c>
      <c r="N1448" t="b">
        <v>0</v>
      </c>
      <c r="O1448">
        <v>16000</v>
      </c>
      <c r="P1448" t="b">
        <v>0</v>
      </c>
      <c r="Q1448" t="b">
        <v>0</v>
      </c>
      <c r="R1448" t="b">
        <v>0</v>
      </c>
      <c r="S1448" t="s">
        <v>96</v>
      </c>
      <c r="T1448" t="s">
        <v>1626</v>
      </c>
      <c r="U1448">
        <v>72.760625000000005</v>
      </c>
      <c r="V1448">
        <v>0</v>
      </c>
      <c r="W1448">
        <v>0</v>
      </c>
      <c r="X1448">
        <v>4</v>
      </c>
      <c r="Y1448" s="6">
        <v>46113</v>
      </c>
    </row>
    <row r="1449" spans="1:26" x14ac:dyDescent="0.3">
      <c r="A1449" t="s">
        <v>1554</v>
      </c>
      <c r="B1449" s="5">
        <v>46043</v>
      </c>
      <c r="C1449" s="5">
        <v>46044</v>
      </c>
      <c r="D1449" s="5">
        <v>46046</v>
      </c>
      <c r="E1449" s="5">
        <v>46046</v>
      </c>
      <c r="F1449" t="s">
        <v>32</v>
      </c>
      <c r="G1449" t="s">
        <v>53</v>
      </c>
      <c r="H1449" t="s">
        <v>20</v>
      </c>
      <c r="I1449" t="s">
        <v>43</v>
      </c>
      <c r="J1449">
        <v>291.10000000000002</v>
      </c>
      <c r="K1449">
        <v>2524.5500000000002</v>
      </c>
      <c r="L1449">
        <v>4515000</v>
      </c>
      <c r="M1449" t="b">
        <v>0</v>
      </c>
      <c r="N1449" t="b">
        <v>0</v>
      </c>
      <c r="O1449">
        <v>5000</v>
      </c>
      <c r="P1449" t="b">
        <v>0</v>
      </c>
      <c r="Q1449" t="b">
        <v>0</v>
      </c>
      <c r="R1449" t="b">
        <v>0</v>
      </c>
      <c r="S1449" t="s">
        <v>96</v>
      </c>
      <c r="T1449" t="s">
        <v>1612</v>
      </c>
      <c r="U1449">
        <v>50.491000000000007</v>
      </c>
      <c r="V1449">
        <v>0</v>
      </c>
      <c r="W1449">
        <v>0</v>
      </c>
      <c r="X1449">
        <v>2</v>
      </c>
      <c r="Y1449" s="6">
        <v>46023</v>
      </c>
    </row>
    <row r="1450" spans="1:26" x14ac:dyDescent="0.3">
      <c r="A1450" t="s">
        <v>1555</v>
      </c>
      <c r="B1450" s="5">
        <v>46045</v>
      </c>
      <c r="C1450" s="5">
        <v>46046</v>
      </c>
      <c r="D1450" s="5">
        <v>46049</v>
      </c>
      <c r="E1450" s="5">
        <v>46050</v>
      </c>
      <c r="F1450" t="s">
        <v>33</v>
      </c>
      <c r="G1450" t="s">
        <v>57</v>
      </c>
      <c r="H1450" t="s">
        <v>24</v>
      </c>
      <c r="I1450" t="s">
        <v>44</v>
      </c>
      <c r="J1450">
        <v>506</v>
      </c>
      <c r="K1450">
        <v>1286.7</v>
      </c>
      <c r="L1450">
        <v>4935000</v>
      </c>
      <c r="M1450" t="b">
        <v>0</v>
      </c>
      <c r="N1450" t="b">
        <v>0</v>
      </c>
      <c r="O1450">
        <v>1500</v>
      </c>
      <c r="P1450" t="b">
        <v>0</v>
      </c>
      <c r="Q1450" t="b">
        <v>0</v>
      </c>
      <c r="R1450" t="b">
        <v>0</v>
      </c>
      <c r="S1450" t="s">
        <v>101</v>
      </c>
      <c r="T1450" t="s">
        <v>1624</v>
      </c>
      <c r="U1450">
        <v>85.78</v>
      </c>
      <c r="V1450">
        <v>0</v>
      </c>
      <c r="W1450">
        <v>0</v>
      </c>
      <c r="X1450">
        <v>4</v>
      </c>
      <c r="Y1450" s="6">
        <v>46023</v>
      </c>
      <c r="Z1450">
        <v>1</v>
      </c>
    </row>
    <row r="1451" spans="1:26" x14ac:dyDescent="0.3">
      <c r="A1451" t="s">
        <v>1556</v>
      </c>
      <c r="B1451" s="5">
        <v>46164</v>
      </c>
      <c r="C1451" s="5">
        <v>46165</v>
      </c>
      <c r="D1451" s="5">
        <v>46166</v>
      </c>
      <c r="E1451" s="5">
        <v>46166</v>
      </c>
      <c r="F1451" t="s">
        <v>32</v>
      </c>
      <c r="G1451" t="s">
        <v>57</v>
      </c>
      <c r="H1451" t="s">
        <v>21</v>
      </c>
      <c r="I1451" t="s">
        <v>43</v>
      </c>
      <c r="K1451">
        <v>3193.7</v>
      </c>
      <c r="L1451">
        <v>1486000</v>
      </c>
      <c r="M1451" t="b">
        <v>0</v>
      </c>
      <c r="N1451" t="b">
        <v>1</v>
      </c>
      <c r="O1451">
        <v>5000</v>
      </c>
      <c r="P1451" t="b">
        <v>0</v>
      </c>
      <c r="Q1451" t="b">
        <v>0</v>
      </c>
      <c r="R1451" t="b">
        <v>1</v>
      </c>
      <c r="S1451" t="s">
        <v>96</v>
      </c>
      <c r="T1451" t="s">
        <v>1630</v>
      </c>
      <c r="U1451">
        <v>63.874000000000002</v>
      </c>
      <c r="V1451">
        <v>0</v>
      </c>
      <c r="W1451">
        <v>1</v>
      </c>
      <c r="X1451">
        <v>1</v>
      </c>
      <c r="Y1451" s="6">
        <v>46143</v>
      </c>
    </row>
    <row r="1452" spans="1:26" x14ac:dyDescent="0.3">
      <c r="A1452" t="s">
        <v>1557</v>
      </c>
      <c r="B1452" s="5">
        <v>46141</v>
      </c>
      <c r="C1452" s="5">
        <v>46143</v>
      </c>
      <c r="D1452" s="5">
        <v>46145</v>
      </c>
      <c r="E1452" s="5"/>
      <c r="F1452" t="s">
        <v>31</v>
      </c>
      <c r="G1452" t="s">
        <v>53</v>
      </c>
      <c r="H1452" t="s">
        <v>20</v>
      </c>
      <c r="I1452" t="s">
        <v>44</v>
      </c>
      <c r="J1452">
        <v>300</v>
      </c>
      <c r="K1452">
        <v>381.4</v>
      </c>
      <c r="L1452">
        <v>3255000</v>
      </c>
      <c r="M1452" t="b">
        <v>0</v>
      </c>
      <c r="N1452" t="b">
        <v>0</v>
      </c>
      <c r="O1452">
        <v>1500</v>
      </c>
      <c r="P1452" t="b">
        <v>0</v>
      </c>
      <c r="Q1452" t="b">
        <v>0</v>
      </c>
      <c r="R1452" t="b">
        <v>0</v>
      </c>
      <c r="S1452" t="s">
        <v>203</v>
      </c>
      <c r="T1452" t="s">
        <v>1627</v>
      </c>
      <c r="U1452">
        <v>25.426666666666659</v>
      </c>
      <c r="V1452">
        <v>0</v>
      </c>
      <c r="W1452">
        <v>0</v>
      </c>
      <c r="Y1452" s="6">
        <v>46143</v>
      </c>
    </row>
    <row r="1453" spans="1:26" x14ac:dyDescent="0.3">
      <c r="A1453" t="s">
        <v>1558</v>
      </c>
      <c r="B1453" s="5">
        <v>46116</v>
      </c>
      <c r="C1453" s="5">
        <v>46116</v>
      </c>
      <c r="D1453" s="5">
        <v>46120</v>
      </c>
      <c r="E1453" s="5">
        <v>46120</v>
      </c>
      <c r="F1453" t="s">
        <v>33</v>
      </c>
      <c r="G1453" t="s">
        <v>54</v>
      </c>
      <c r="H1453" t="s">
        <v>20</v>
      </c>
      <c r="I1453" t="s">
        <v>43</v>
      </c>
      <c r="J1453">
        <v>894</v>
      </c>
      <c r="K1453">
        <v>1670.2</v>
      </c>
      <c r="L1453">
        <v>13608000</v>
      </c>
      <c r="M1453" t="b">
        <v>0</v>
      </c>
      <c r="N1453" t="b">
        <v>0</v>
      </c>
      <c r="O1453">
        <v>5000</v>
      </c>
      <c r="P1453" t="b">
        <v>0</v>
      </c>
      <c r="Q1453" t="b">
        <v>0</v>
      </c>
      <c r="R1453" t="b">
        <v>0</v>
      </c>
      <c r="S1453" t="s">
        <v>96</v>
      </c>
      <c r="T1453" t="s">
        <v>1642</v>
      </c>
      <c r="U1453">
        <v>33.404000000000003</v>
      </c>
      <c r="V1453">
        <v>0</v>
      </c>
      <c r="W1453">
        <v>0</v>
      </c>
      <c r="X1453">
        <v>4</v>
      </c>
      <c r="Y1453" s="6">
        <v>46113</v>
      </c>
    </row>
    <row r="1454" spans="1:26" x14ac:dyDescent="0.3">
      <c r="A1454" t="s">
        <v>1559</v>
      </c>
      <c r="B1454" s="5">
        <v>46091</v>
      </c>
      <c r="C1454" s="5">
        <v>46092</v>
      </c>
      <c r="D1454" s="5">
        <v>46095</v>
      </c>
      <c r="E1454" s="5">
        <v>46095</v>
      </c>
      <c r="F1454" t="s">
        <v>33</v>
      </c>
      <c r="G1454" t="s">
        <v>63</v>
      </c>
      <c r="H1454" t="s">
        <v>21</v>
      </c>
      <c r="I1454" t="s">
        <v>43</v>
      </c>
      <c r="J1454">
        <v>307.89999999999998</v>
      </c>
      <c r="K1454">
        <v>784</v>
      </c>
      <c r="L1454">
        <v>4526000</v>
      </c>
      <c r="M1454" t="b">
        <v>0</v>
      </c>
      <c r="N1454" t="b">
        <v>0</v>
      </c>
      <c r="O1454">
        <v>5000</v>
      </c>
      <c r="P1454" t="b">
        <v>0</v>
      </c>
      <c r="Q1454" t="b">
        <v>0</v>
      </c>
      <c r="R1454" t="b">
        <v>0</v>
      </c>
      <c r="S1454" t="s">
        <v>96</v>
      </c>
      <c r="T1454" t="s">
        <v>1625</v>
      </c>
      <c r="U1454">
        <v>15.68</v>
      </c>
      <c r="V1454">
        <v>0</v>
      </c>
      <c r="W1454">
        <v>0</v>
      </c>
      <c r="X1454">
        <v>3</v>
      </c>
      <c r="Y1454" s="6">
        <v>46082</v>
      </c>
    </row>
    <row r="1455" spans="1:26" x14ac:dyDescent="0.3">
      <c r="A1455" t="s">
        <v>1560</v>
      </c>
      <c r="B1455" s="5">
        <v>46099</v>
      </c>
      <c r="C1455" s="5">
        <v>46100</v>
      </c>
      <c r="D1455" s="5">
        <v>46103</v>
      </c>
      <c r="E1455" s="5">
        <v>46103</v>
      </c>
      <c r="F1455" t="s">
        <v>32</v>
      </c>
      <c r="G1455" t="s">
        <v>54</v>
      </c>
      <c r="H1455" t="s">
        <v>21</v>
      </c>
      <c r="I1455" t="s">
        <v>42</v>
      </c>
      <c r="J1455">
        <v>537.9</v>
      </c>
      <c r="K1455">
        <v>13413</v>
      </c>
      <c r="L1455">
        <v>13444000</v>
      </c>
      <c r="M1455" t="b">
        <v>0</v>
      </c>
      <c r="N1455" t="b">
        <v>0</v>
      </c>
      <c r="O1455">
        <v>16000</v>
      </c>
      <c r="P1455" t="b">
        <v>0</v>
      </c>
      <c r="Q1455" t="b">
        <v>0</v>
      </c>
      <c r="R1455" t="b">
        <v>0</v>
      </c>
      <c r="S1455" t="s">
        <v>96</v>
      </c>
      <c r="T1455" t="s">
        <v>1655</v>
      </c>
      <c r="U1455">
        <v>83.831249999999997</v>
      </c>
      <c r="V1455">
        <v>0</v>
      </c>
      <c r="W1455">
        <v>0</v>
      </c>
      <c r="X1455">
        <v>3</v>
      </c>
      <c r="Y1455" s="6">
        <v>46082</v>
      </c>
    </row>
    <row r="1456" spans="1:26" x14ac:dyDescent="0.3">
      <c r="A1456" t="s">
        <v>1561</v>
      </c>
      <c r="B1456" s="5">
        <v>46125</v>
      </c>
      <c r="C1456" s="5">
        <v>46126</v>
      </c>
      <c r="D1456" s="5">
        <v>46129</v>
      </c>
      <c r="E1456" s="5">
        <v>46131</v>
      </c>
      <c r="F1456" t="s">
        <v>32</v>
      </c>
      <c r="G1456" t="s">
        <v>52</v>
      </c>
      <c r="H1456" t="s">
        <v>20</v>
      </c>
      <c r="I1456" t="s">
        <v>45</v>
      </c>
      <c r="J1456">
        <v>320.8</v>
      </c>
      <c r="K1456">
        <v>667.8</v>
      </c>
      <c r="L1456">
        <v>4070000</v>
      </c>
      <c r="M1456" t="b">
        <v>0</v>
      </c>
      <c r="N1456" t="b">
        <v>0</v>
      </c>
      <c r="O1456">
        <v>1000</v>
      </c>
      <c r="P1456" t="b">
        <v>0</v>
      </c>
      <c r="Q1456" t="b">
        <v>0</v>
      </c>
      <c r="R1456" t="b">
        <v>0</v>
      </c>
      <c r="S1456" t="s">
        <v>101</v>
      </c>
      <c r="T1456" t="s">
        <v>1611</v>
      </c>
      <c r="U1456">
        <v>66.78</v>
      </c>
      <c r="V1456">
        <v>0</v>
      </c>
      <c r="W1456">
        <v>0</v>
      </c>
      <c r="X1456">
        <v>5</v>
      </c>
      <c r="Y1456" s="6">
        <v>46113</v>
      </c>
      <c r="Z1456">
        <v>2</v>
      </c>
    </row>
    <row r="1457" spans="1:26" x14ac:dyDescent="0.3">
      <c r="A1457" t="s">
        <v>1562</v>
      </c>
      <c r="B1457" s="5">
        <v>46059</v>
      </c>
      <c r="C1457" s="5">
        <v>46060</v>
      </c>
      <c r="D1457" s="5">
        <v>46062</v>
      </c>
      <c r="E1457" s="5">
        <v>46062</v>
      </c>
      <c r="F1457" t="s">
        <v>32</v>
      </c>
      <c r="G1457" t="s">
        <v>53</v>
      </c>
      <c r="H1457" t="s">
        <v>20</v>
      </c>
      <c r="I1457" t="s">
        <v>44</v>
      </c>
      <c r="J1457">
        <v>242.1</v>
      </c>
      <c r="K1457">
        <v>159.9</v>
      </c>
      <c r="L1457">
        <v>3266000</v>
      </c>
      <c r="M1457" t="b">
        <v>0</v>
      </c>
      <c r="N1457" t="b">
        <v>0</v>
      </c>
      <c r="O1457">
        <v>1500</v>
      </c>
      <c r="P1457" t="b">
        <v>0</v>
      </c>
      <c r="Q1457" t="b">
        <v>0</v>
      </c>
      <c r="R1457" t="b">
        <v>0</v>
      </c>
      <c r="S1457" t="s">
        <v>96</v>
      </c>
      <c r="T1457" t="s">
        <v>1612</v>
      </c>
      <c r="U1457">
        <v>10.66</v>
      </c>
      <c r="V1457">
        <v>0</v>
      </c>
      <c r="W1457">
        <v>0</v>
      </c>
      <c r="X1457">
        <v>2</v>
      </c>
      <c r="Y1457" s="6">
        <v>46054</v>
      </c>
    </row>
    <row r="1458" spans="1:26" x14ac:dyDescent="0.3">
      <c r="A1458" t="s">
        <v>1563</v>
      </c>
      <c r="B1458" s="5">
        <v>46067</v>
      </c>
      <c r="C1458" s="5">
        <v>46068</v>
      </c>
      <c r="D1458" s="5">
        <v>46071</v>
      </c>
      <c r="E1458" s="5">
        <v>46071</v>
      </c>
      <c r="F1458" t="s">
        <v>34</v>
      </c>
      <c r="G1458" t="s">
        <v>59</v>
      </c>
      <c r="H1458" t="s">
        <v>22</v>
      </c>
      <c r="I1458" t="s">
        <v>44</v>
      </c>
      <c r="J1458">
        <v>310.8</v>
      </c>
      <c r="K1458">
        <v>267.60000000000002</v>
      </c>
      <c r="L1458">
        <v>29080000</v>
      </c>
      <c r="M1458" t="b">
        <v>0</v>
      </c>
      <c r="N1458" t="b">
        <v>0</v>
      </c>
      <c r="O1458">
        <v>1500</v>
      </c>
      <c r="P1458" t="b">
        <v>0</v>
      </c>
      <c r="Q1458" t="b">
        <v>0</v>
      </c>
      <c r="R1458" t="b">
        <v>0</v>
      </c>
      <c r="S1458" t="s">
        <v>96</v>
      </c>
      <c r="T1458" t="s">
        <v>1616</v>
      </c>
      <c r="U1458">
        <v>17.84</v>
      </c>
      <c r="V1458">
        <v>0</v>
      </c>
      <c r="W1458">
        <v>0</v>
      </c>
      <c r="X1458">
        <v>3</v>
      </c>
      <c r="Y1458" s="6">
        <v>46054</v>
      </c>
    </row>
    <row r="1459" spans="1:26" x14ac:dyDescent="0.3">
      <c r="A1459" t="s">
        <v>1564</v>
      </c>
      <c r="B1459" s="5">
        <v>46135</v>
      </c>
      <c r="C1459" s="5">
        <v>46136</v>
      </c>
      <c r="D1459" s="5">
        <v>46139</v>
      </c>
      <c r="E1459" s="5">
        <v>46139</v>
      </c>
      <c r="F1459" t="s">
        <v>33</v>
      </c>
      <c r="G1459" t="s">
        <v>59</v>
      </c>
      <c r="H1459" t="s">
        <v>20</v>
      </c>
      <c r="I1459" t="s">
        <v>43</v>
      </c>
      <c r="J1459">
        <v>466.3</v>
      </c>
      <c r="K1459">
        <v>1754.5</v>
      </c>
      <c r="L1459">
        <v>6573000</v>
      </c>
      <c r="M1459" t="b">
        <v>0</v>
      </c>
      <c r="N1459" t="b">
        <v>0</v>
      </c>
      <c r="O1459">
        <v>5000</v>
      </c>
      <c r="P1459" t="b">
        <v>0</v>
      </c>
      <c r="Q1459" t="b">
        <v>0</v>
      </c>
      <c r="R1459" t="b">
        <v>0</v>
      </c>
      <c r="S1459" t="s">
        <v>96</v>
      </c>
      <c r="T1459" t="s">
        <v>1648</v>
      </c>
      <c r="U1459">
        <v>35.090000000000003</v>
      </c>
      <c r="V1459">
        <v>0</v>
      </c>
      <c r="W1459">
        <v>0</v>
      </c>
      <c r="X1459">
        <v>3</v>
      </c>
      <c r="Y1459" s="6">
        <v>46113</v>
      </c>
    </row>
    <row r="1460" spans="1:26" x14ac:dyDescent="0.3">
      <c r="A1460" t="s">
        <v>1565</v>
      </c>
      <c r="B1460" s="5">
        <v>46079</v>
      </c>
      <c r="C1460" s="5">
        <v>46080</v>
      </c>
      <c r="D1460" s="5">
        <v>46083</v>
      </c>
      <c r="E1460" s="5">
        <v>46083</v>
      </c>
      <c r="F1460" t="s">
        <v>34</v>
      </c>
      <c r="G1460" t="s">
        <v>63</v>
      </c>
      <c r="H1460" t="s">
        <v>24</v>
      </c>
      <c r="I1460" t="s">
        <v>43</v>
      </c>
      <c r="J1460">
        <v>312.8</v>
      </c>
      <c r="K1460">
        <v>4334</v>
      </c>
      <c r="L1460">
        <v>5888000</v>
      </c>
      <c r="M1460" t="b">
        <v>0</v>
      </c>
      <c r="N1460" t="b">
        <v>0</v>
      </c>
      <c r="O1460">
        <v>5000</v>
      </c>
      <c r="P1460" t="b">
        <v>0</v>
      </c>
      <c r="Q1460" t="b">
        <v>0</v>
      </c>
      <c r="R1460" t="b">
        <v>0</v>
      </c>
      <c r="S1460" t="s">
        <v>96</v>
      </c>
      <c r="T1460" t="s">
        <v>1613</v>
      </c>
      <c r="U1460">
        <v>86.68</v>
      </c>
      <c r="V1460">
        <v>0</v>
      </c>
      <c r="W1460">
        <v>0</v>
      </c>
      <c r="X1460">
        <v>3</v>
      </c>
      <c r="Y1460" s="6">
        <v>46054</v>
      </c>
    </row>
    <row r="1461" spans="1:26" x14ac:dyDescent="0.3">
      <c r="A1461" t="s">
        <v>1566</v>
      </c>
      <c r="B1461" s="5">
        <v>46121</v>
      </c>
      <c r="C1461" s="5">
        <v>46121</v>
      </c>
      <c r="D1461" s="5">
        <v>46124</v>
      </c>
      <c r="E1461" s="5">
        <v>46124</v>
      </c>
      <c r="F1461" t="s">
        <v>32</v>
      </c>
      <c r="G1461" t="s">
        <v>60</v>
      </c>
      <c r="H1461" t="s">
        <v>24</v>
      </c>
      <c r="I1461" t="s">
        <v>44</v>
      </c>
      <c r="J1461">
        <v>457</v>
      </c>
      <c r="K1461">
        <v>1116.7</v>
      </c>
      <c r="L1461">
        <v>5117000</v>
      </c>
      <c r="M1461" t="b">
        <v>0</v>
      </c>
      <c r="N1461" t="b">
        <v>0</v>
      </c>
      <c r="O1461">
        <v>1500</v>
      </c>
      <c r="P1461" t="b">
        <v>0</v>
      </c>
      <c r="Q1461" t="b">
        <v>0</v>
      </c>
      <c r="R1461" t="b">
        <v>0</v>
      </c>
      <c r="S1461" t="s">
        <v>96</v>
      </c>
      <c r="T1461" t="s">
        <v>1647</v>
      </c>
      <c r="U1461">
        <v>74.446666666666673</v>
      </c>
      <c r="V1461">
        <v>0</v>
      </c>
      <c r="W1461">
        <v>0</v>
      </c>
      <c r="X1461">
        <v>3</v>
      </c>
      <c r="Y1461" s="6">
        <v>46113</v>
      </c>
    </row>
    <row r="1462" spans="1:26" x14ac:dyDescent="0.3">
      <c r="A1462" t="s">
        <v>1567</v>
      </c>
      <c r="B1462" s="5">
        <v>46076</v>
      </c>
      <c r="C1462" s="5">
        <v>46077</v>
      </c>
      <c r="D1462" s="5">
        <v>46081</v>
      </c>
      <c r="E1462" s="5">
        <v>46081</v>
      </c>
      <c r="F1462" t="s">
        <v>34</v>
      </c>
      <c r="G1462" t="s">
        <v>56</v>
      </c>
      <c r="H1462" t="s">
        <v>21</v>
      </c>
      <c r="I1462" t="s">
        <v>43</v>
      </c>
      <c r="J1462">
        <v>935.5</v>
      </c>
      <c r="K1462">
        <v>3287.9</v>
      </c>
      <c r="L1462">
        <v>12886000</v>
      </c>
      <c r="M1462" t="b">
        <v>0</v>
      </c>
      <c r="N1462" t="b">
        <v>0</v>
      </c>
      <c r="O1462">
        <v>5000</v>
      </c>
      <c r="P1462" t="b">
        <v>0</v>
      </c>
      <c r="Q1462" t="b">
        <v>0</v>
      </c>
      <c r="R1462" t="b">
        <v>0</v>
      </c>
      <c r="S1462" t="s">
        <v>96</v>
      </c>
      <c r="T1462" t="s">
        <v>1646</v>
      </c>
      <c r="U1462">
        <v>65.75800000000001</v>
      </c>
      <c r="V1462">
        <v>0</v>
      </c>
      <c r="W1462">
        <v>0</v>
      </c>
      <c r="X1462">
        <v>4</v>
      </c>
      <c r="Y1462" s="6">
        <v>46054</v>
      </c>
    </row>
    <row r="1463" spans="1:26" x14ac:dyDescent="0.3">
      <c r="A1463" t="s">
        <v>1568</v>
      </c>
      <c r="B1463" s="5">
        <v>46053</v>
      </c>
      <c r="C1463" s="5">
        <v>46055</v>
      </c>
      <c r="D1463" s="5">
        <v>46058</v>
      </c>
      <c r="E1463" s="5">
        <v>46058</v>
      </c>
      <c r="F1463" t="s">
        <v>31</v>
      </c>
      <c r="G1463" t="s">
        <v>63</v>
      </c>
      <c r="H1463" t="s">
        <v>22</v>
      </c>
      <c r="I1463" t="s">
        <v>44</v>
      </c>
      <c r="J1463">
        <v>288.89999999999998</v>
      </c>
      <c r="K1463">
        <v>364.7</v>
      </c>
      <c r="L1463">
        <v>3092000</v>
      </c>
      <c r="M1463" t="b">
        <v>0</v>
      </c>
      <c r="N1463" t="b">
        <v>0</v>
      </c>
      <c r="O1463">
        <v>1500</v>
      </c>
      <c r="P1463" t="b">
        <v>0</v>
      </c>
      <c r="Q1463" t="b">
        <v>0</v>
      </c>
      <c r="R1463" t="b">
        <v>0</v>
      </c>
      <c r="S1463" t="s">
        <v>96</v>
      </c>
      <c r="T1463" t="s">
        <v>1640</v>
      </c>
      <c r="U1463">
        <v>24.313333333333329</v>
      </c>
      <c r="V1463">
        <v>0</v>
      </c>
      <c r="W1463">
        <v>0</v>
      </c>
      <c r="X1463">
        <v>3</v>
      </c>
      <c r="Y1463" s="6">
        <v>46054</v>
      </c>
    </row>
    <row r="1464" spans="1:26" x14ac:dyDescent="0.3">
      <c r="A1464" t="s">
        <v>1569</v>
      </c>
      <c r="B1464" s="5">
        <v>46143</v>
      </c>
      <c r="C1464" s="5">
        <v>46143</v>
      </c>
      <c r="D1464" s="5">
        <v>46147</v>
      </c>
      <c r="E1464" s="5">
        <v>46148</v>
      </c>
      <c r="F1464" t="s">
        <v>33</v>
      </c>
      <c r="G1464" t="s">
        <v>55</v>
      </c>
      <c r="H1464" t="s">
        <v>22</v>
      </c>
      <c r="I1464" t="s">
        <v>44</v>
      </c>
      <c r="J1464">
        <v>601.5</v>
      </c>
      <c r="K1464">
        <v>817.9</v>
      </c>
      <c r="L1464">
        <v>6722000</v>
      </c>
      <c r="M1464" t="b">
        <v>0</v>
      </c>
      <c r="N1464" t="b">
        <v>0</v>
      </c>
      <c r="O1464">
        <v>1500</v>
      </c>
      <c r="P1464" t="b">
        <v>0</v>
      </c>
      <c r="Q1464" t="b">
        <v>0</v>
      </c>
      <c r="R1464" t="b">
        <v>0</v>
      </c>
      <c r="S1464" t="s">
        <v>101</v>
      </c>
      <c r="T1464" t="s">
        <v>1626</v>
      </c>
      <c r="U1464">
        <v>54.526666666666671</v>
      </c>
      <c r="V1464">
        <v>0</v>
      </c>
      <c r="W1464">
        <v>0</v>
      </c>
      <c r="X1464">
        <v>5</v>
      </c>
      <c r="Y1464" s="6">
        <v>46143</v>
      </c>
      <c r="Z1464">
        <v>1</v>
      </c>
    </row>
    <row r="1465" spans="1:26" x14ac:dyDescent="0.3">
      <c r="A1465" t="s">
        <v>1570</v>
      </c>
      <c r="B1465" s="5">
        <v>46151</v>
      </c>
      <c r="C1465" s="5">
        <v>46152</v>
      </c>
      <c r="D1465" s="5">
        <v>46156</v>
      </c>
      <c r="E1465" s="5">
        <v>46155</v>
      </c>
      <c r="F1465" t="s">
        <v>31</v>
      </c>
      <c r="G1465" t="s">
        <v>60</v>
      </c>
      <c r="H1465" t="s">
        <v>23</v>
      </c>
      <c r="I1465" t="s">
        <v>42</v>
      </c>
      <c r="J1465">
        <v>557.6</v>
      </c>
      <c r="K1465">
        <v>2632.3</v>
      </c>
      <c r="L1465">
        <v>12091000</v>
      </c>
      <c r="M1465" t="b">
        <v>0</v>
      </c>
      <c r="N1465" t="b">
        <v>0</v>
      </c>
      <c r="O1465">
        <v>16000</v>
      </c>
      <c r="P1465" t="b">
        <v>0</v>
      </c>
      <c r="Q1465" t="b">
        <v>0</v>
      </c>
      <c r="R1465" t="b">
        <v>0</v>
      </c>
      <c r="S1465" t="s">
        <v>96</v>
      </c>
      <c r="T1465" t="s">
        <v>1652</v>
      </c>
      <c r="U1465">
        <v>16.451875000000001</v>
      </c>
      <c r="V1465">
        <v>0</v>
      </c>
      <c r="W1465">
        <v>0</v>
      </c>
      <c r="X1465">
        <v>3</v>
      </c>
      <c r="Y1465" s="6">
        <v>46143</v>
      </c>
    </row>
    <row r="1466" spans="1:26" x14ac:dyDescent="0.3">
      <c r="A1466" t="s">
        <v>1571</v>
      </c>
      <c r="B1466" s="5">
        <v>46037</v>
      </c>
      <c r="C1466" s="5">
        <v>46037</v>
      </c>
      <c r="D1466" s="5">
        <v>46040</v>
      </c>
      <c r="E1466" s="5">
        <v>46041</v>
      </c>
      <c r="F1466" t="s">
        <v>31</v>
      </c>
      <c r="G1466" t="s">
        <v>54</v>
      </c>
      <c r="H1466" t="s">
        <v>23</v>
      </c>
      <c r="I1466" t="s">
        <v>44</v>
      </c>
      <c r="J1466">
        <v>451.7</v>
      </c>
      <c r="K1466">
        <v>866.3</v>
      </c>
      <c r="L1466">
        <v>5318000</v>
      </c>
      <c r="M1466" t="b">
        <v>0</v>
      </c>
      <c r="N1466" t="b">
        <v>0</v>
      </c>
      <c r="O1466">
        <v>1500</v>
      </c>
      <c r="P1466" t="b">
        <v>0</v>
      </c>
      <c r="Q1466" t="b">
        <v>0</v>
      </c>
      <c r="R1466" t="b">
        <v>0</v>
      </c>
      <c r="S1466" t="s">
        <v>101</v>
      </c>
      <c r="T1466" t="s">
        <v>1631</v>
      </c>
      <c r="U1466">
        <v>57.753333333333337</v>
      </c>
      <c r="V1466">
        <v>0</v>
      </c>
      <c r="W1466">
        <v>0</v>
      </c>
      <c r="X1466">
        <v>4</v>
      </c>
      <c r="Y1466" s="6">
        <v>46023</v>
      </c>
      <c r="Z1466">
        <v>1</v>
      </c>
    </row>
    <row r="1467" spans="1:26" x14ac:dyDescent="0.3">
      <c r="A1467" t="s">
        <v>1572</v>
      </c>
      <c r="B1467" s="5">
        <v>46096</v>
      </c>
      <c r="C1467" s="5">
        <v>46096</v>
      </c>
      <c r="D1467" s="5">
        <v>46099</v>
      </c>
      <c r="E1467" s="5">
        <v>46099</v>
      </c>
      <c r="F1467" t="s">
        <v>32</v>
      </c>
      <c r="G1467" t="s">
        <v>60</v>
      </c>
      <c r="H1467" t="s">
        <v>23</v>
      </c>
      <c r="I1467" t="s">
        <v>42</v>
      </c>
      <c r="J1467">
        <v>483.3</v>
      </c>
      <c r="K1467">
        <v>3816.1</v>
      </c>
      <c r="L1467">
        <v>11549000</v>
      </c>
      <c r="M1467" t="b">
        <v>0</v>
      </c>
      <c r="N1467" t="b">
        <v>0</v>
      </c>
      <c r="O1467">
        <v>16000</v>
      </c>
      <c r="P1467" t="b">
        <v>0</v>
      </c>
      <c r="Q1467" t="b">
        <v>0</v>
      </c>
      <c r="R1467" t="b">
        <v>0</v>
      </c>
      <c r="S1467" t="s">
        <v>96</v>
      </c>
      <c r="T1467" t="s">
        <v>1647</v>
      </c>
      <c r="U1467">
        <v>23.850625000000001</v>
      </c>
      <c r="V1467">
        <v>0</v>
      </c>
      <c r="W1467">
        <v>0</v>
      </c>
      <c r="X1467">
        <v>3</v>
      </c>
      <c r="Y1467" s="6">
        <v>46082</v>
      </c>
    </row>
    <row r="1468" spans="1:26" x14ac:dyDescent="0.3">
      <c r="A1468" t="s">
        <v>1573</v>
      </c>
      <c r="B1468" s="5">
        <v>46195</v>
      </c>
      <c r="C1468" s="5">
        <v>46196</v>
      </c>
      <c r="D1468" s="5">
        <v>46199</v>
      </c>
      <c r="E1468" s="5">
        <v>46199</v>
      </c>
      <c r="F1468" t="s">
        <v>31</v>
      </c>
      <c r="G1468" t="s">
        <v>60</v>
      </c>
      <c r="H1468" t="s">
        <v>20</v>
      </c>
      <c r="I1468" t="s">
        <v>43</v>
      </c>
      <c r="J1468">
        <v>566.70000000000005</v>
      </c>
      <c r="K1468">
        <v>1786.2</v>
      </c>
      <c r="L1468">
        <v>8362000</v>
      </c>
      <c r="M1468" t="b">
        <v>0</v>
      </c>
      <c r="N1468" t="b">
        <v>0</v>
      </c>
      <c r="O1468">
        <v>5000</v>
      </c>
      <c r="P1468" t="b">
        <v>0</v>
      </c>
      <c r="Q1468" t="b">
        <v>0</v>
      </c>
      <c r="R1468" t="b">
        <v>0</v>
      </c>
      <c r="S1468" t="s">
        <v>96</v>
      </c>
      <c r="T1468" t="s">
        <v>1652</v>
      </c>
      <c r="U1468">
        <v>35.723999999999997</v>
      </c>
      <c r="V1468">
        <v>0</v>
      </c>
      <c r="W1468">
        <v>0</v>
      </c>
      <c r="X1468">
        <v>3</v>
      </c>
      <c r="Y1468" s="6">
        <v>46174</v>
      </c>
    </row>
    <row r="1469" spans="1:26" x14ac:dyDescent="0.3">
      <c r="A1469" t="s">
        <v>1574</v>
      </c>
      <c r="B1469" s="5">
        <v>46198</v>
      </c>
      <c r="C1469" s="5">
        <v>46199</v>
      </c>
      <c r="D1469" s="5">
        <v>46203</v>
      </c>
      <c r="E1469" s="5">
        <v>46203</v>
      </c>
      <c r="F1469" t="s">
        <v>33</v>
      </c>
      <c r="G1469" t="s">
        <v>57</v>
      </c>
      <c r="H1469" t="s">
        <v>20</v>
      </c>
      <c r="I1469" t="s">
        <v>42</v>
      </c>
      <c r="J1469">
        <v>482.7</v>
      </c>
      <c r="K1469">
        <v>12371.9</v>
      </c>
      <c r="L1469">
        <v>12553000</v>
      </c>
      <c r="M1469" t="b">
        <v>0</v>
      </c>
      <c r="N1469" t="b">
        <v>0</v>
      </c>
      <c r="O1469">
        <v>16000</v>
      </c>
      <c r="P1469" t="b">
        <v>0</v>
      </c>
      <c r="Q1469" t="b">
        <v>0</v>
      </c>
      <c r="R1469" t="b">
        <v>0</v>
      </c>
      <c r="S1469" t="s">
        <v>96</v>
      </c>
      <c r="T1469" t="s">
        <v>1624</v>
      </c>
      <c r="U1469">
        <v>77.324375000000003</v>
      </c>
      <c r="V1469">
        <v>0</v>
      </c>
      <c r="W1469">
        <v>0</v>
      </c>
      <c r="X1469">
        <v>4</v>
      </c>
      <c r="Y1469" s="6">
        <v>46174</v>
      </c>
    </row>
    <row r="1470" spans="1:26" x14ac:dyDescent="0.3">
      <c r="A1470" t="s">
        <v>1575</v>
      </c>
      <c r="B1470" s="5">
        <v>46116</v>
      </c>
      <c r="C1470" s="5">
        <v>46118</v>
      </c>
      <c r="D1470" s="5">
        <v>46121</v>
      </c>
      <c r="E1470" s="5">
        <v>46121</v>
      </c>
      <c r="F1470" t="s">
        <v>31</v>
      </c>
      <c r="G1470" t="s">
        <v>53</v>
      </c>
      <c r="H1470" t="s">
        <v>21</v>
      </c>
      <c r="I1470" t="s">
        <v>44</v>
      </c>
      <c r="J1470">
        <v>338.6</v>
      </c>
      <c r="K1470">
        <v>303.8</v>
      </c>
      <c r="L1470">
        <v>3800000</v>
      </c>
      <c r="M1470" t="b">
        <v>0</v>
      </c>
      <c r="N1470" t="b">
        <v>0</v>
      </c>
      <c r="O1470">
        <v>1500</v>
      </c>
      <c r="P1470" t="b">
        <v>0</v>
      </c>
      <c r="Q1470" t="b">
        <v>0</v>
      </c>
      <c r="R1470" t="b">
        <v>0</v>
      </c>
      <c r="S1470" t="s">
        <v>96</v>
      </c>
      <c r="T1470" t="s">
        <v>1627</v>
      </c>
      <c r="U1470">
        <v>20.25333333333333</v>
      </c>
      <c r="V1470">
        <v>0</v>
      </c>
      <c r="W1470">
        <v>0</v>
      </c>
      <c r="X1470">
        <v>3</v>
      </c>
      <c r="Y1470" s="6">
        <v>46113</v>
      </c>
    </row>
    <row r="1471" spans="1:26" x14ac:dyDescent="0.3">
      <c r="A1471" t="s">
        <v>1576</v>
      </c>
      <c r="B1471" s="5">
        <v>46177</v>
      </c>
      <c r="C1471" s="5">
        <v>46178</v>
      </c>
      <c r="D1471" s="5">
        <v>46180</v>
      </c>
      <c r="E1471" s="5">
        <v>46180</v>
      </c>
      <c r="F1471" t="s">
        <v>34</v>
      </c>
      <c r="G1471" t="s">
        <v>61</v>
      </c>
      <c r="H1471" t="s">
        <v>23</v>
      </c>
      <c r="I1471" t="s">
        <v>44</v>
      </c>
      <c r="J1471">
        <v>151</v>
      </c>
      <c r="K1471">
        <v>953</v>
      </c>
      <c r="L1471">
        <v>2183000</v>
      </c>
      <c r="M1471" t="b">
        <v>0</v>
      </c>
      <c r="N1471" t="b">
        <v>0</v>
      </c>
      <c r="O1471">
        <v>1500</v>
      </c>
      <c r="P1471" t="b">
        <v>0</v>
      </c>
      <c r="Q1471" t="b">
        <v>0</v>
      </c>
      <c r="R1471" t="b">
        <v>0</v>
      </c>
      <c r="S1471" t="s">
        <v>96</v>
      </c>
      <c r="T1471" t="s">
        <v>1638</v>
      </c>
      <c r="U1471">
        <v>63.533333333333331</v>
      </c>
      <c r="V1471">
        <v>0</v>
      </c>
      <c r="W1471">
        <v>0</v>
      </c>
      <c r="X1471">
        <v>2</v>
      </c>
      <c r="Y1471" s="6">
        <v>46174</v>
      </c>
    </row>
  </sheetData>
  <phoneticPr fontId="3"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5DB7-5F9D-4D65-ABD4-A68CE2CCE8D3}">
  <dimension ref="A1:N11"/>
  <sheetViews>
    <sheetView showGridLines="0" tabSelected="1" topLeftCell="A7" zoomScale="76" zoomScaleNormal="76" workbookViewId="0">
      <selection activeCell="J16" sqref="J16"/>
    </sheetView>
  </sheetViews>
  <sheetFormatPr defaultRowHeight="14.4" x14ac:dyDescent="0.3"/>
  <cols>
    <col min="1" max="14" width="12.77734375" customWidth="1"/>
  </cols>
  <sheetData>
    <row r="1" spans="1:14" x14ac:dyDescent="0.3">
      <c r="A1" s="40" t="s">
        <v>1603</v>
      </c>
      <c r="B1" s="40"/>
      <c r="C1" s="40"/>
      <c r="D1" s="40"/>
      <c r="E1" s="40"/>
      <c r="F1" s="40"/>
      <c r="G1" s="40"/>
      <c r="H1" s="40"/>
      <c r="I1" s="40"/>
      <c r="J1" s="40"/>
      <c r="K1" s="40"/>
      <c r="L1" s="40"/>
      <c r="M1" s="40"/>
      <c r="N1" s="40"/>
    </row>
    <row r="2" spans="1:14" x14ac:dyDescent="0.3">
      <c r="A2" s="40"/>
      <c r="B2" s="40"/>
      <c r="C2" s="40"/>
      <c r="D2" s="40"/>
      <c r="E2" s="40"/>
      <c r="F2" s="40"/>
      <c r="G2" s="40"/>
      <c r="H2" s="40"/>
      <c r="I2" s="40"/>
      <c r="J2" s="40"/>
      <c r="K2" s="40"/>
      <c r="L2" s="40"/>
      <c r="M2" s="40"/>
      <c r="N2" s="40"/>
    </row>
    <row r="3" spans="1:14" ht="15" thickBot="1" x14ac:dyDescent="0.35"/>
    <row r="4" spans="1:14" x14ac:dyDescent="0.3">
      <c r="A4" s="13" t="s">
        <v>1604</v>
      </c>
      <c r="B4" s="14"/>
      <c r="C4" s="14"/>
      <c r="D4" s="13" t="s">
        <v>3</v>
      </c>
      <c r="E4" s="14"/>
      <c r="F4" s="15"/>
      <c r="G4" s="13" t="s">
        <v>4</v>
      </c>
      <c r="H4" s="14"/>
      <c r="I4" s="15"/>
      <c r="J4" s="13" t="s">
        <v>5</v>
      </c>
      <c r="K4" s="14"/>
      <c r="L4" s="15"/>
    </row>
    <row r="5" spans="1:14" x14ac:dyDescent="0.3">
      <c r="A5" s="41">
        <f>GETPIVOTDATA("Shipment Count",Pivot_Monthly!$A$3)</f>
        <v>1470</v>
      </c>
      <c r="B5" s="42"/>
      <c r="C5" s="42"/>
      <c r="D5" s="16">
        <f>GETPIVOTDATA("Shipment_ID",Pivot_Monthly!$D$16,"Delivery_Status","On Time")</f>
        <v>0.69978858350951378</v>
      </c>
      <c r="E5" s="17"/>
      <c r="F5" s="18"/>
      <c r="G5" s="16">
        <f>GETPIVOTDATA("Shipment_ID",Pivot_Monthly!$D$16,"Delivery_Status","Late")</f>
        <v>0.30021141649048627</v>
      </c>
      <c r="H5" s="17"/>
      <c r="I5" s="18"/>
      <c r="J5" s="22">
        <f>GETPIVOTDATA("Delivery_Time_Days",Pivot_Monthly!$N$3)</f>
        <v>3.1465821000704723</v>
      </c>
      <c r="K5" s="23"/>
      <c r="L5" s="24"/>
    </row>
    <row r="6" spans="1:14" ht="15" thickBot="1" x14ac:dyDescent="0.35">
      <c r="A6" s="43"/>
      <c r="B6" s="44"/>
      <c r="C6" s="44"/>
      <c r="D6" s="19"/>
      <c r="E6" s="20"/>
      <c r="F6" s="21"/>
      <c r="G6" s="19"/>
      <c r="H6" s="20"/>
      <c r="I6" s="21"/>
      <c r="J6" s="25"/>
      <c r="K6" s="26"/>
      <c r="L6" s="27"/>
    </row>
    <row r="7" spans="1:14" ht="15" thickBot="1" x14ac:dyDescent="0.35"/>
    <row r="8" spans="1:14" x14ac:dyDescent="0.3">
      <c r="A8" s="13" t="s">
        <v>6</v>
      </c>
      <c r="B8" s="14"/>
      <c r="C8" s="15"/>
      <c r="D8" s="13" t="s">
        <v>7</v>
      </c>
      <c r="E8" s="14"/>
      <c r="F8" s="15"/>
      <c r="G8" s="13" t="s">
        <v>1582</v>
      </c>
      <c r="H8" s="14"/>
      <c r="I8" s="15"/>
      <c r="J8" s="13" t="s">
        <v>11</v>
      </c>
      <c r="K8" s="14"/>
      <c r="L8" s="15"/>
    </row>
    <row r="9" spans="1:14" x14ac:dyDescent="0.3">
      <c r="A9" s="22">
        <f>GETPIVOTDATA("Delay_Days",Pivot_Monthly!$K$3)</f>
        <v>1.3474178403755868</v>
      </c>
      <c r="B9" s="23"/>
      <c r="C9" s="24"/>
      <c r="D9" s="28">
        <f>GETPIVOTDATA("Shipment Cost",Pivot_Monthly!$A$3)</f>
        <v>9528795000</v>
      </c>
      <c r="E9" s="29"/>
      <c r="F9" s="30"/>
      <c r="G9" s="34">
        <f>GETPIVOTDATA("Average Shipping Cost",Pivot_Monthly!$A$3)</f>
        <v>6491004.768392371</v>
      </c>
      <c r="H9" s="35"/>
      <c r="I9" s="36"/>
      <c r="J9" s="16">
        <f>GETPIVOTDATA("Data_Quality_Issue_Flag",Pivot_Monthly!$N$8)</f>
        <v>1.8367346938775512E-2</v>
      </c>
      <c r="K9" s="17"/>
      <c r="L9" s="18"/>
    </row>
    <row r="10" spans="1:14" ht="15" thickBot="1" x14ac:dyDescent="0.35">
      <c r="A10" s="25"/>
      <c r="B10" s="26"/>
      <c r="C10" s="27"/>
      <c r="D10" s="31"/>
      <c r="E10" s="32"/>
      <c r="F10" s="33"/>
      <c r="G10" s="37"/>
      <c r="H10" s="38"/>
      <c r="I10" s="39"/>
      <c r="J10" s="19"/>
      <c r="K10" s="20"/>
      <c r="L10" s="21"/>
    </row>
    <row r="11" spans="1:14" x14ac:dyDescent="0.3">
      <c r="C11" s="11"/>
      <c r="J11" s="10"/>
    </row>
  </sheetData>
  <mergeCells count="17">
    <mergeCell ref="A1:N2"/>
    <mergeCell ref="A4:C4"/>
    <mergeCell ref="A5:C6"/>
    <mergeCell ref="D4:F4"/>
    <mergeCell ref="D5:F6"/>
    <mergeCell ref="G4:I4"/>
    <mergeCell ref="G5:I6"/>
    <mergeCell ref="J4:L4"/>
    <mergeCell ref="J5:L6"/>
    <mergeCell ref="J8:L8"/>
    <mergeCell ref="J9:L10"/>
    <mergeCell ref="A8:C8"/>
    <mergeCell ref="A9:C10"/>
    <mergeCell ref="D8:F8"/>
    <mergeCell ref="D9:F10"/>
    <mergeCell ref="G8:I8"/>
    <mergeCell ref="G9:I1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7BDDE1-65A0-4759-9570-B7D2F0A568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Overall KPI</vt:lpstr>
      <vt:lpstr>Carrier Performance</vt:lpstr>
      <vt:lpstr>Warehouse Performance</vt:lpstr>
      <vt:lpstr>Vehicle Performance</vt:lpstr>
      <vt:lpstr>Route Performance</vt:lpstr>
      <vt:lpstr>Monthly Performance</vt:lpstr>
      <vt:lpstr>Data Quality</vt:lpstr>
      <vt:lpstr>Processed Data</vt:lpstr>
      <vt:lpstr>Sheet1</vt:lpstr>
      <vt:lpstr>Pivot_Monthly</vt:lpstr>
      <vt:lpstr>Pivot_Carrier</vt:lpstr>
      <vt:lpstr>Pivot_Warehouse</vt:lpstr>
      <vt:lpstr>Pivot_Vehicle</vt:lpstr>
      <vt:lpstr>Pivot_Route</vt:lpstr>
      <vt:lpstr>Refresh_Data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EHSAN</cp:lastModifiedBy>
  <dcterms:created xsi:type="dcterms:W3CDTF">2026-09-15T10:42:45Z</dcterms:created>
  <dcterms:modified xsi:type="dcterms:W3CDTF">2026-09-24T07:38:32Z</dcterms:modified>
</cp:coreProperties>
</file>